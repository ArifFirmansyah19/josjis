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Compatibility="false"/>
  <bookViews>
    <workbookView showHorizontalScroll="true" showVerticalScroll="true" showSheetTabs="true" xWindow="0" yWindow="0" windowWidth="16384" windowHeight="8192" tabRatio="500" firstSheet="0" activeTab="0"/>
  </bookViews>
  <sheets>
    <sheet name="Original" sheetId="1" state="visible" r:id="rId3"/>
    <sheet name="Advis" sheetId="2" state="visible" r:id="rId4"/>
    <sheet name="All Suspend" sheetId="3" state="hidden" r:id="rId5"/>
    <sheet name="Debet Suspend" sheetId="4" state="hidden" r:id="rId6"/>
    <sheet name="Nota Pulsa &amp; Listrik" sheetId="5" state="hidden" r:id="rId7"/>
    <sheet name="Nota Jasa Kebersihan" sheetId="6" state="hidden" r:id="rId8"/>
    <sheet name="Nota Listrik Kantor" sheetId="7" state="hidden" r:id="rId9"/>
    <sheet name="Nota" sheetId="8" state="hidden" r:id="rId10"/>
    <sheet name="Sheet3" sheetId="9" state="hidden" r:id="rId11"/>
    <sheet name="Data Buku Besar" sheetId="10" state="hidden" r:id="rId12"/>
    <sheet name="Buku Besar" sheetId="11" state="hidden" r:id="rId13"/>
    <sheet name="Kop Judul" sheetId="12" state="hidden" r:id="rId14"/>
    <sheet name="OVB All Suspend" sheetId="13" state="hidden" r:id="rId15"/>
    <sheet name="Memo Setor" sheetId="14" state="hidden" r:id="rId16"/>
    <sheet name="Betabon" sheetId="15" state="hidden" r:id="rId17"/>
    <sheet name="Lebel" sheetId="16" state="hidden" r:id="rId18"/>
    <sheet name="Rumus " sheetId="17" state="hidden" r:id="rId19"/>
    <sheet name="Sheet1" sheetId="18" state="hidden" r:id="rId20"/>
    <sheet name="Sheet2" sheetId="19" state="hidden" r:id="rId21"/>
  </sheets>
  <externalReferences>
    <externalReference r:id="rId22"/>
    <externalReference r:id="rId23"/>
  </externalReferences>
  <definedNames>
    <definedName function="false" hidden="false" localSheetId="1" name="_xlnm.Print_Area" vbProcedure="false">Advis!$B$14:$F$31</definedName>
    <definedName function="false" hidden="false" localSheetId="2" name="_xlnm.Print_Area" vbProcedure="false">'All Suspend'!$B$13:$F$30</definedName>
    <definedName function="false" hidden="false" localSheetId="14" name="_xlnm.Print_Area" vbProcedure="false">Betabon!$B$4:$G$16</definedName>
    <definedName function="false" hidden="false" localSheetId="10" name="_xlnm.Print_Area" vbProcedure="false">'Buku Besar'!$B$8:$H$28</definedName>
    <definedName function="false" hidden="false" localSheetId="3" name="_xlnm.Print_Area" vbProcedure="false">'Debet Suspend'!$B$4:$G$20</definedName>
    <definedName function="false" hidden="false" localSheetId="11" name="_xlnm.Print_Area" vbProcedure="false">'Kop Judul'!$A$2,'Kop Judul'!$A$4,'Kop Judul'!$A$6,'Kop Judul'!$A$8,'Kop Judul'!$A$10,'Kop Judul'!$A$12,'Kop Judul'!$A$14,'Kop Judul'!$A$16,'Kop Judul'!$A$18</definedName>
    <definedName function="false" hidden="false" localSheetId="15" name="_xlnm.Print_Area" vbProcedure="false">Lebel!$A$1:$C$24</definedName>
    <definedName function="false" hidden="false" localSheetId="13" name="_xlnm.Print_Area" vbProcedure="false">'Memo Setor'!$B$2:$G$9</definedName>
    <definedName function="false" hidden="false" localSheetId="7" name="_xlnm.Print_Area" vbProcedure="false">Nota!$A$1:$I$103</definedName>
    <definedName function="false" hidden="false" localSheetId="5" name="_xlnm.Print_Area" vbProcedure="false">'Nota Jasa Kebersihan'!$A$1:$I$34</definedName>
    <definedName function="false" hidden="false" localSheetId="6" name="_xlnm.Print_Area" vbProcedure="false">'Nota Listrik Kantor'!$A$1:$I$33</definedName>
    <definedName function="false" hidden="false" localSheetId="4" name="_xlnm.Print_Area" vbProcedure="false">'Nota Pulsa &amp; Listrik'!$A$1:$J$31</definedName>
    <definedName function="false" hidden="false" localSheetId="12" name="_xlnm.Print_Area" vbProcedure="false">'OVB All Suspend'!$B$3:$F$20</definedName>
    <definedName function="false" hidden="false" name="Excel_BuiltIn_Print_Area" vbProcedure="false">'[2]'!$A$1:$I$73</definedName>
    <definedName function="false" hidden="false" name="PRINT_AREA_MI" vbProcedure="false">'[2]'!$A$1:$I$73</definedName>
    <definedName function="false" hidden="false" name="_1" vbProcedure="false">'[2]'!$A$1:$F$63</definedName>
    <definedName function="false" hidden="false" name="_2" vbProcedure="false">'[2]'!$IP$8118</definedName>
    <definedName function="false" hidden="false" name="_Order1" vbProcedure="false">255</definedName>
    <definedName function="false" hidden="false" name="_Order2" vbProcedure="false">255</definedName>
    <definedName function="false" hidden="false" localSheetId="1" name="Excel_BuiltIn__FilterDatabase" vbProcedure="false">Advis!$A$1:$B$1</definedName>
    <definedName function="false" hidden="false" localSheetId="2" name="Excel_BuiltIn__FilterDatabase" vbProcedure="false">#REF!</definedName>
    <definedName function="false" hidden="false" localSheetId="10" name="Excel_BuiltIn__FilterDatabase" vbProcedure="false">#REF!</definedName>
    <definedName function="false" hidden="false" localSheetId="16" name="BANDUNG" vbProcedure="false">'Rumus '!$BE$61:$BN$149</definedName>
    <definedName function="false" hidden="false" localSheetId="16" name="PADANG" vbProcedure="false">'Rumus '!$BE$2:$BN$40</definedName>
    <definedName function="false" hidden="false" localSheetId="16" name="Print_Area_MI" vbProcedure="false">#REF!</definedName>
    <definedName function="false" hidden="false" localSheetId="16" name="SURABAYA" vbProcedure="false">'Rumus '!$BE$132:$BN$172</definedName>
    <definedName function="false" hidden="false" localSheetId="16" name="_Fill" vbProcedure="false">'Rumus '!$X$6:$X$53</definedName>
    <definedName function="false" hidden="false" localSheetId="16" name="_Key1" vbProcedure="false">'Rumus '!$X$7:$X$59</definedName>
    <definedName function="false" hidden="false" localSheetId="16" name="_Key2" vbProcedure="false">'Rumus '!$Z$4</definedName>
    <definedName function="false" hidden="false" localSheetId="16" name="_Regression_Int" vbProcedure="false">1</definedName>
    <definedName function="false" hidden="false" localSheetId="16" name="_Sort" vbProcedure="false">'Rumus '!$X$7:$AX$58</definedName>
  </definedNames>
  <calcPr iterateCount="100" refMode="A1" iterate="false" iterateDelta="0.001"/>
  <extLst>
    <ext uri="{7626C862-2A13-11E5-B345-FEFF819CDC9F}">
      <ns2:extCalcPr stringRefSyntax="CalcA1"/>
    </ext>
  </extLst>
</workbook>
</file>

<file path=xl/sharedStrings.xml><?xml version="1.0" encoding="utf-8"?>
<sst xmlns="http://schemas.openxmlformats.org/spreadsheetml/2006/main" count="10015" uniqueCount="713">
  <si>
    <t xml:space="preserve">No Urut</t>
  </si>
  <si>
    <t xml:space="preserve">Nama MKS</t>
  </si>
  <si>
    <t xml:space="preserve">No Rekening Pinjaman</t>
  </si>
  <si>
    <t xml:space="preserve">No Rekening Tabungan</t>
  </si>
  <si>
    <t xml:space="preserve">Nama Nasabah</t>
  </si>
  <si>
    <t xml:space="preserve">Baki Debet</t>
  </si>
  <si>
    <t xml:space="preserve">Blokir</t>
  </si>
  <si>
    <t xml:space="preserve">Nominal</t>
  </si>
  <si>
    <t xml:space="preserve">Tabungan</t>
  </si>
  <si>
    <t xml:space="preserve">Angsuran</t>
  </si>
  <si>
    <t xml:space="preserve">Kol</t>
  </si>
  <si>
    <t xml:space="preserve">Hari Tunggakan</t>
  </si>
  <si>
    <t xml:space="preserve">Nama Perusahaan</t>
  </si>
  <si>
    <t xml:space="preserve">Alamat</t>
  </si>
  <si>
    <t xml:space="preserve">No. Telepon</t>
  </si>
  <si>
    <t xml:space="preserve">Limit</t>
  </si>
  <si>
    <t xml:space="preserve">Tunggakan Pokok</t>
  </si>
  <si>
    <t xml:space="preserve">Tunggakan Bunga</t>
  </si>
  <si>
    <t xml:space="preserve">Denda</t>
  </si>
  <si>
    <t xml:space="preserve">Total Tunggakan</t>
  </si>
  <si>
    <t xml:space="preserve">Total Kewajiban</t>
  </si>
  <si>
    <t xml:space="preserve">Loan Acct Status</t>
  </si>
  <si>
    <t xml:space="preserve">Jatuh Tempo Pinjaman</t>
  </si>
  <si>
    <t xml:space="preserve">Jatuh Tempo Tagihan</t>
  </si>
  <si>
    <t xml:space="preserve">Last Payment Date</t>
  </si>
  <si>
    <t xml:space="preserve">Installment amount</t>
  </si>
  <si>
    <t xml:space="preserve">AGF Account 1</t>
  </si>
  <si>
    <t xml:space="preserve">AGF Account 1 Balance</t>
  </si>
  <si>
    <t xml:space="preserve">AGF Account 2</t>
  </si>
  <si>
    <t xml:space="preserve">AGF Account 2 Balance</t>
  </si>
  <si>
    <t xml:space="preserve">BDM Color</t>
  </si>
  <si>
    <t xml:space="preserve">Product</t>
  </si>
  <si>
    <t xml:space="preserve">GIANTI</t>
  </si>
  <si>
    <t xml:space="preserve">ABDULLAH BAHRI</t>
  </si>
  <si>
    <t xml:space="preserve">Desa Tugu Mulyo DS III RT 003 Lempuing 000030657 </t>
  </si>
  <si>
    <t xml:space="preserve">/085384662555</t>
  </si>
  <si>
    <t xml:space="preserve">KUR Penjaminan PERUM JAMKRINDO (Perhitungan Credit Line Penjaminan Kredit)</t>
  </si>
  <si>
    <t xml:space="preserve">ARTIFAN</t>
  </si>
  <si>
    <t xml:space="preserve">Desa Kerta Mukti RT 006 RW 003 Mesuji Raya 000030681 </t>
  </si>
  <si>
    <t xml:space="preserve">/082337983488</t>
  </si>
  <si>
    <t xml:space="preserve">JUAL BELI SAPI</t>
  </si>
  <si>
    <t xml:space="preserve">ROHID HIDAYAT</t>
  </si>
  <si>
    <t xml:space="preserve">Dusun III Embacang RT 003 RW 002 Mesuji Raya 000030657 </t>
  </si>
  <si>
    <t xml:space="preserve">/085282833993</t>
  </si>
  <si>
    <t xml:space="preserve">PUPUT WARYANTO</t>
  </si>
  <si>
    <t xml:space="preserve">PELUNASAN</t>
  </si>
  <si>
    <t xml:space="preserve">Dusun II Desa DAbuk Makmur RT 003 RW 003 Mesuji Raya 000030681 </t>
  </si>
  <si>
    <t xml:space="preserve">tidak memiliki</t>
  </si>
  <si>
    <t xml:space="preserve">WARUNG MANISAN DAN SEMBAKO</t>
  </si>
  <si>
    <t xml:space="preserve">DESMALA</t>
  </si>
  <si>
    <t xml:space="preserve">Dusun II Desa Kerta Mukti RT 001 RW 002 Mesuji Raya 000030681 </t>
  </si>
  <si>
    <t xml:space="preserve">RHOHINO</t>
  </si>
  <si>
    <t xml:space="preserve">RULLY NOVIANA</t>
  </si>
  <si>
    <t xml:space="preserve">WAHYU RAHMADANI</t>
  </si>
  <si>
    <t xml:space="preserve">IKA EVI YANI</t>
  </si>
  <si>
    <t xml:space="preserve">aaaa</t>
  </si>
  <si>
    <t xml:space="preserve">BLM POSTING</t>
  </si>
  <si>
    <t xml:space="preserve">MTR</t>
  </si>
  <si>
    <t xml:space="preserve">v</t>
  </si>
  <si>
    <t xml:space="preserve">TIDAK ADA</t>
  </si>
  <si>
    <t xml:space="preserve">2A</t>
  </si>
  <si>
    <t xml:space="preserve">1</t>
  </si>
  <si>
    <t xml:space="preserve">1120011706640</t>
  </si>
  <si>
    <t xml:space="preserve">GREEN</t>
  </si>
  <si>
    <t xml:space="preserve">tidak ada</t>
  </si>
  <si>
    <t xml:space="preserve">1120012053315</t>
  </si>
  <si>
    <t xml:space="preserve">&lt;&lt;------ masukkan nomor yang akan dicetak advis nya</t>
  </si>
  <si>
    <t xml:space="preserve">=VLOOKUP(A1,Sheet1!B4:t88,1)</t>
  </si>
  <si>
    <t xml:space="preserve">Nama</t>
  </si>
  <si>
    <t xml:space="preserve">:</t>
  </si>
  <si>
    <t xml:space="preserve">NO GNC</t>
  </si>
  <si>
    <t xml:space="preserve">113-0009891445</t>
  </si>
  <si>
    <t xml:space="preserve">NAMA GNC</t>
  </si>
  <si>
    <t xml:space="preserve">GNC PNPL 11288</t>
  </si>
  <si>
    <t xml:space="preserve">GNC Mikro</t>
  </si>
  <si>
    <t xml:space="preserve">NAMA TTD</t>
  </si>
  <si>
    <t xml:space="preserve">-</t>
  </si>
  <si>
    <t xml:space="preserve">Jumlah</t>
  </si>
  <si>
    <t xml:space="preserve">4056-Angsuran</t>
  </si>
  <si>
    <t xml:space="preserve">Pesan</t>
  </si>
  <si>
    <t xml:space="preserve">Pembayaran Angsuran</t>
  </si>
  <si>
    <t xml:space="preserve">4052-Angsuran dari GNC</t>
  </si>
  <si>
    <t xml:space="preserve">Kotran</t>
  </si>
  <si>
    <t xml:space="preserve">4204-Pelunasan</t>
  </si>
  <si>
    <t xml:space="preserve">1314-GNC ke Tabungan</t>
  </si>
  <si>
    <t xml:space="preserve">4234-Penarikan Kelebihan Bayar</t>
  </si>
  <si>
    <t xml:space="preserve"> </t>
  </si>
  <si>
    <t xml:space="preserve">4104 - Pelunasan Pokok Sebagian</t>
  </si>
  <si>
    <t xml:space="preserve">    </t>
  </si>
  <si>
    <t xml:space="preserve">D/</t>
  </si>
  <si>
    <t xml:space="preserve">No GNC</t>
  </si>
  <si>
    <t xml:space="preserve">112-00-0706273-5</t>
  </si>
  <si>
    <t xml:space="preserve">1209 - Debet Giro ke GL</t>
  </si>
  <si>
    <t xml:space="preserve">195 116 01</t>
  </si>
  <si>
    <t xml:space="preserve">Nama GNC</t>
  </si>
  <si>
    <t xml:space="preserve">GNC - PNPL Asuran (11277)</t>
  </si>
  <si>
    <t xml:space="preserve">1208 - Debet GL ke Giro</t>
  </si>
  <si>
    <t xml:space="preserve">210 112 06</t>
  </si>
  <si>
    <t xml:space="preserve">112-00-1105617-8</t>
  </si>
  <si>
    <t xml:space="preserve">No GNC Tujuan</t>
  </si>
  <si>
    <t xml:space="preserve">112-00-1202930-7</t>
  </si>
  <si>
    <t xml:space="preserve">1314 - Debet Giro ke Tabungan</t>
  </si>
  <si>
    <t xml:space="preserve">195 116 20</t>
  </si>
  <si>
    <t xml:space="preserve">GNC Cluster Tugumulyo</t>
  </si>
  <si>
    <t xml:space="preserve">Nama GNC Tujuan</t>
  </si>
  <si>
    <t xml:space="preserve">Ahmad Munharib</t>
  </si>
  <si>
    <t xml:space="preserve">1107 - Kredit Giro Debit GL</t>
  </si>
  <si>
    <t xml:space="preserve">112-00-1032445-2</t>
  </si>
  <si>
    <t xml:space="preserve">1417 - Pembulatan</t>
  </si>
  <si>
    <t xml:space="preserve">Ari Gusman</t>
  </si>
  <si>
    <t xml:space="preserve">Noted</t>
  </si>
  <si>
    <t xml:space="preserve">JRB.R01.BR/MTU/106/2022</t>
  </si>
  <si>
    <t xml:space="preserve">7016 - Pembayaran tagihan dari Giro</t>
  </si>
  <si>
    <t xml:space="preserve">112-00-1491876-2</t>
  </si>
  <si>
    <t xml:space="preserve">Refferensi</t>
  </si>
  <si>
    <t xml:space="preserve">0000 0000 2022 1575 430</t>
  </si>
  <si>
    <t xml:space="preserve">Jenis Suspend</t>
  </si>
  <si>
    <t xml:space="preserve">11277 - KCP MMU Martapura</t>
  </si>
  <si>
    <t xml:space="preserve">                             (Fredi Yulianto/F.595)</t>
  </si>
  <si>
    <t xml:space="preserve">025 OPERASIONAL</t>
  </si>
  <si>
    <t xml:space="preserve">026 LISTRIK</t>
  </si>
  <si>
    <t xml:space="preserve">295RETRIBUSI JASA KEBERSIHAN JANUARI2022</t>
  </si>
  <si>
    <t xml:space="preserve">Kotran 0001</t>
  </si>
  <si>
    <t xml:space="preserve">All Suspend Deposit - 195 116 01</t>
  </si>
  <si>
    <t xml:space="preserve">All Akun Susp Transaksi Antar APL - 195 116 20</t>
  </si>
  <si>
    <t xml:space="preserve">Kotran 0002</t>
  </si>
  <si>
    <t xml:space="preserve">  KCP MMU MARTAPURA</t>
  </si>
  <si>
    <t xml:space="preserve">M2M PUSLATPUR</t>
  </si>
  <si>
    <t xml:space="preserve">Martapura, </t>
  </si>
  <si>
    <t xml:space="preserve">Fredi Yulianto</t>
  </si>
  <si>
    <t xml:space="preserve">F.595</t>
  </si>
  <si>
    <t xml:space="preserve">118 LISTRIK</t>
  </si>
  <si>
    <t xml:space="preserve">117 OPERASIONAL</t>
  </si>
  <si>
    <t xml:space="preserve">MANY TO MANY PUSLATPUR</t>
  </si>
  <si>
    <t xml:space="preserve">POT PUSLATPUR</t>
  </si>
  <si>
    <t xml:space="preserve">Premi Asmik</t>
  </si>
  <si>
    <t xml:space="preserve">PPH Pasal 4 Bunga Simpanan</t>
  </si>
  <si>
    <t xml:space="preserve">pengembalian biaya provisi dan add]00002</t>
  </si>
  <si>
    <t xml:space="preserve">085 Operasional</t>
  </si>
  <si>
    <t xml:space="preserve">143 OPERASIONAL</t>
  </si>
  <si>
    <t xml:space="preserve">144 PLN</t>
  </si>
  <si>
    <t xml:space="preserve">048 Listrik</t>
  </si>
  <si>
    <t xml:space="preserve">Pulsa</t>
  </si>
  <si>
    <t xml:space="preserve">Nomor</t>
  </si>
  <si>
    <t xml:space="preserve">JRB.R02.MTU/145B/2022</t>
  </si>
  <si>
    <t xml:space="preserve">Business Area</t>
  </si>
  <si>
    <t xml:space="preserve">: BC77</t>
  </si>
  <si>
    <t xml:space="preserve">Tanggal</t>
  </si>
  <si>
    <t xml:space="preserve">URC</t>
  </si>
  <si>
    <t xml:space="preserve">: 11277M</t>
  </si>
  <si>
    <t xml:space="preserve">Perihal</t>
  </si>
  <si>
    <t xml:space="preserve">Fund Center</t>
  </si>
  <si>
    <t xml:space="preserve">: -</t>
  </si>
  <si>
    <t xml:space="preserve">Dari</t>
  </si>
  <si>
    <t xml:space="preserve">KCP MMU Palembang Martapura</t>
  </si>
  <si>
    <t xml:space="preserve">Internal Order</t>
  </si>
  <si>
    <t xml:space="preserve">: 11277M01</t>
  </si>
  <si>
    <t xml:space="preserve">Kepada</t>
  </si>
  <si>
    <t xml:space="preserve">Business Support Area Palembang Sudirman</t>
  </si>
  <si>
    <t xml:space="preserve">A.</t>
  </si>
  <si>
    <t xml:space="preserve">DEBET</t>
  </si>
  <si>
    <t xml:space="preserve">No.</t>
  </si>
  <si>
    <t xml:space="preserve">Nomor &amp; Nama Akun Buku Besar </t>
  </si>
  <si>
    <t xml:space="preserve">Nama Pegawai</t>
  </si>
  <si>
    <t xml:space="preserve">Nota Ke</t>
  </si>
  <si>
    <t xml:space="preserve">Tanggal Nota</t>
  </si>
  <si>
    <t xml:space="preserve">Keterangan</t>
  </si>
  <si>
    <t xml:space="preserve">Nama </t>
  </si>
  <si>
    <t xml:space="preserve">NIP</t>
  </si>
  <si>
    <t xml:space="preserve">1285460275</t>
  </si>
  <si>
    <t xml:space="preserve">GRAND TOTAL</t>
  </si>
  <si>
    <t xml:space="preserve">B.</t>
  </si>
  <si>
    <t xml:space="preserve">KREDIT</t>
  </si>
  <si>
    <t xml:space="preserve">Nama Pemilik Rekening / Nama</t>
  </si>
  <si>
    <t xml:space="preserve">No. Rekening</t>
  </si>
  <si>
    <t xml:space="preserve">112-00-5111111-5</t>
  </si>
  <si>
    <t xml:space="preserve">PT. Bank Mandiri (Persero) Tbk,</t>
  </si>
  <si>
    <t xml:space="preserve">KCP MMU Martapura</t>
  </si>
  <si>
    <t xml:space="preserve">Branch Manager</t>
  </si>
  <si>
    <t xml:space="preserve">Listrik</t>
  </si>
  <si>
    <t xml:space="preserve">540.112.19
BTK TUNJANGAN UTILITIS</t>
  </si>
  <si>
    <t xml:space="preserve">Permohonan Reimburse Tunjangan Utilitis</t>
  </si>
  <si>
    <t xml:space="preserve">Biaya Tunjangan Utilitis Branch 
Manager Bulan Mei 2022</t>
  </si>
  <si>
    <t xml:space="preserve">540.112.06
BTK Beban Tunjangan Pulsa Telepon Genggam</t>
  </si>
  <si>
    <t xml:space="preserve">Permohonan Reimburse Tunjangan Pulsa</t>
  </si>
  <si>
    <t xml:space="preserve">Biaya Tunjangan Pulsa Branch 
Manager Bulan Mei 2022</t>
  </si>
  <si>
    <t xml:space="preserve">Biaya Utilities Listrik Branch 
Manager Bulan Desember 2021</t>
  </si>
  <si>
    <t xml:space="preserve">Biaya Tunjangan Pulsa Branch 
Manager Bulan Desember 2021</t>
  </si>
  <si>
    <t xml:space="preserve">530.112.01</t>
  </si>
  <si>
    <t xml:space="preserve">BEBAN LISTRIK, AIR &amp; GAS KANTOR</t>
  </si>
  <si>
    <t xml:space="preserve">JRB.R02.MTU/146/2022</t>
  </si>
  <si>
    <t xml:space="preserve">02 Juni 2022</t>
  </si>
  <si>
    <t xml:space="preserve">Permohonan Reimburse Jasa Kebersihan Kantor</t>
  </si>
  <si>
    <t xml:space="preserve">No Nota</t>
  </si>
  <si>
    <t xml:space="preserve">530.112.07      BEBAN BARANG PIHAK KETIGA</t>
  </si>
  <si>
    <t xml:space="preserve">Biaya Jasa Kebersihan Kantor Bulan Mei 2022</t>
  </si>
  <si>
    <t xml:space="preserve">PNPL CASH ASURAN</t>
  </si>
  <si>
    <t xml:space="preserve">No. Rekening / GNC</t>
  </si>
  <si>
    <t xml:space="preserve">JRB.R02.MTU/144/2022</t>
  </si>
  <si>
    <t xml:space="preserve">Permohonan Reimburse Listrik Kantor</t>
  </si>
  <si>
    <t xml:space="preserve">530.112.01-01      Beban Listrik Kantor</t>
  </si>
  <si>
    <t xml:space="preserve">Biaya Listrik Kantor Bulan Juni 2022</t>
  </si>
  <si>
    <t xml:space="preserve">: JRB.R02.MTU/143/2022</t>
  </si>
  <si>
    <t xml:space="preserve">: 02 Juni 2022</t>
  </si>
  <si>
    <t xml:space="preserve">: Permohonan Reimburse Operasional</t>
  </si>
  <si>
    <t xml:space="preserve">: KCP MMU Palembang Martapura</t>
  </si>
  <si>
    <t xml:space="preserve">: Business Support Area Palembang Sudirman</t>
  </si>
  <si>
    <t xml:space="preserve">530.112.07</t>
  </si>
  <si>
    <t xml:space="preserve">Bingkai Penghargaan</t>
  </si>
  <si>
    <t xml:space="preserve">Beban Barang </t>
  </si>
  <si>
    <t xml:space="preserve">Spanduk HUT Prov Sumsel</t>
  </si>
  <si>
    <t xml:space="preserve">Pihak Ketiga</t>
  </si>
  <si>
    <t xml:space="preserve">Door Sensor</t>
  </si>
  <si>
    <t xml:space="preserve">Akrilik Display Qris 7 Buah</t>
  </si>
  <si>
    <t xml:space="preserve">Karet Gelang Merah</t>
  </si>
  <si>
    <t xml:space="preserve">Makan Weekend Bangking 21/05/2022</t>
  </si>
  <si>
    <t xml:space="preserve">Isi Ulang 2 Air Galon</t>
  </si>
  <si>
    <t xml:space="preserve">Makan Weekend Bangking 28/05/2022</t>
  </si>
  <si>
    <t xml:space="preserve">Jasa Las Kursi CSR</t>
  </si>
  <si>
    <t xml:space="preserve">Karet Warna Hijau</t>
  </si>
  <si>
    <t xml:space="preserve">Makan Lembur Tgl 31/05/2022</t>
  </si>
  <si>
    <t xml:space="preserve">TOTAL</t>
  </si>
  <si>
    <t xml:space="preserve">530.112.08</t>
  </si>
  <si>
    <t xml:space="preserve">Kwitansi dan Lem</t>
  </si>
  <si>
    <t xml:space="preserve">Beban Alat Tulis </t>
  </si>
  <si>
    <t xml:space="preserve">Tinta Eoson 774 BK</t>
  </si>
  <si>
    <t xml:space="preserve">Kantor</t>
  </si>
  <si>
    <t xml:space="preserve">Kertas A4 1 dua</t>
  </si>
  <si>
    <t xml:space="preserve">Cartridge Epson LQ 2180/2190</t>
  </si>
  <si>
    <t xml:space="preserve">Cartridge Epson PLQ20</t>
  </si>
  <si>
    <t xml:space="preserve">Kertas Stiker Untuk Cetak Qris</t>
  </si>
  <si>
    <t xml:space="preserve">530.113.01</t>
  </si>
  <si>
    <t xml:space="preserve">Retribusi Kebersihan Bulan Mei</t>
  </si>
  <si>
    <t xml:space="preserve">Beban Pemeliharaan</t>
  </si>
  <si>
    <t xml:space="preserve">Halaman </t>
  </si>
  <si>
    <t xml:space="preserve">/Gedung Kantor</t>
  </si>
  <si>
    <t xml:space="preserve">Pengiriman Reimbes via J&amp;T</t>
  </si>
  <si>
    <t xml:space="preserve">Beban Ekspedisi</t>
  </si>
  <si>
    <t xml:space="preserve">Jasa Kirim Mesin EDC Agen upgrade</t>
  </si>
  <si>
    <t xml:space="preserve">Pengiriman Mesin Agen ke Area via J&amp;T</t>
  </si>
  <si>
    <t xml:space="preserve">530.113.04</t>
  </si>
  <si>
    <t xml:space="preserve">Dexlite Genset</t>
  </si>
  <si>
    <t xml:space="preserve">Beban Pemeliharaan </t>
  </si>
  <si>
    <t xml:space="preserve">Inventaris Kantor</t>
  </si>
  <si>
    <t xml:space="preserve">530.112.01-02</t>
  </si>
  <si>
    <t xml:space="preserve">PDAM</t>
  </si>
  <si>
    <t xml:space="preserve">Beban Air Kantor</t>
  </si>
  <si>
    <t xml:space="preserve">530.111.01          </t>
  </si>
  <si>
    <t xml:space="preserve">Indihome Bulan Juni 2022 No 1117671023399</t>
  </si>
  <si>
    <t xml:space="preserve">Beban Telepon dan Fax</t>
  </si>
  <si>
    <t xml:space="preserve">530.131.02</t>
  </si>
  <si>
    <t xml:space="preserve">BBM (Pertalite) Branch Manager</t>
  </si>
  <si>
    <t xml:space="preserve">Beban </t>
  </si>
  <si>
    <t xml:space="preserve">BBM (Pertamax) Branch Manager</t>
  </si>
  <si>
    <t xml:space="preserve">Pengangkutan</t>
  </si>
  <si>
    <t xml:space="preserve">REVISI NOTA dan ADVIS</t>
  </si>
  <si>
    <t xml:space="preserve">- Surat No JRB.R02.MTU/117/2022 Tanggal 10 Mei 2022 - Buku Besar 530.112.01-02</t>
  </si>
  <si>
    <t xml:space="preserve">- Surat No JRB.R02.MTU/118/2022 Tanggal 10 Mei 2022 - Buku Besar 530.112.01-01</t>
  </si>
  <si>
    <t xml:space="preserve">- Surat No JRB.R02.MTU/143/2022 Tanggal 02 Juni 2022 - Buku Besar 530.112.01-02</t>
  </si>
  <si>
    <t xml:space="preserve">- Surat No JRB.R02.MTU/144/2022 Tanggal 02 Juni 2022 - Buku Besar 530.112.01-01</t>
  </si>
  <si>
    <t xml:space="preserve">No</t>
  </si>
  <si>
    <t xml:space="preserve">Nomor Buku Besar</t>
  </si>
  <si>
    <t xml:space="preserve">Nama Buku Besar</t>
  </si>
  <si>
    <t xml:space="preserve">Penggunaan</t>
  </si>
  <si>
    <t xml:space="preserve">Contoh Penggunaan</t>
  </si>
  <si>
    <t xml:space="preserve">530.111.01</t>
  </si>
  <si>
    <t xml:space="preserve">BEBAN TELPON DAN FAX</t>
  </si>
  <si>
    <t xml:space="preserve">Bayar tagihan telpon &amp; fax kantor</t>
  </si>
  <si>
    <t xml:space="preserve">530.112.01-01</t>
  </si>
  <si>
    <t xml:space="preserve">BEBAN LISTRIK KANTOR</t>
  </si>
  <si>
    <t xml:space="preserve">Tagihan Listrik/PLN Juni 2022</t>
  </si>
  <si>
    <t xml:space="preserve">Bayar tagihan PLN, PDAM kantor, solar genset</t>
  </si>
  <si>
    <t xml:space="preserve">BEBAN AIR KANTOR</t>
  </si>
  <si>
    <t xml:space="preserve">2B</t>
  </si>
  <si>
    <t xml:space="preserve">530.112.01-03</t>
  </si>
  <si>
    <t xml:space="preserve">BEBAN GAS KANTOR</t>
  </si>
  <si>
    <t xml:space="preserve">530.112.02</t>
  </si>
  <si>
    <t xml:space="preserve">BEBAN LISTRIK, AIR &amp; GAS RUMAH DINAS</t>
  </si>
  <si>
    <r>
      <rPr>
        <sz val="10"/>
        <rFont val="Arial"/>
        <family val="2"/>
      </rPr>
      <t xml:space="preserve">Bayar tagihan PLN, PDAM rumah dinas yang menjadi </t>
    </r>
    <r>
      <rPr>
        <b val="true"/>
        <sz val="11"/>
        <color rgb="FF000000"/>
        <rFont val="Calibri"/>
        <family val="2"/>
      </rPr>
      <t xml:space="preserve">asset Bank Mandiri</t>
    </r>
  </si>
  <si>
    <t xml:space="preserve">530.112.03</t>
  </si>
  <si>
    <t xml:space="preserve">BEBAN PERLENGKAPAN KANTOR</t>
  </si>
  <si>
    <t xml:space="preserve">Pembelian u/ penggantian kursi, meja, filling kabinet yg sudah rusak</t>
  </si>
  <si>
    <t xml:space="preserve">530.112.06</t>
  </si>
  <si>
    <t xml:space="preserve">BEBAN MATERAI</t>
  </si>
  <si>
    <t xml:space="preserve">Pembelian materai</t>
  </si>
  <si>
    <t xml:space="preserve">BEBAN BARANG PIHAK KETIGA</t>
  </si>
  <si>
    <t xml:space="preserve">Bingkai, Spanduk, Door Sensor, Akrilik, Karet, Makan Lembur, Isi Ulang Air Galon, dan Jasa Las</t>
  </si>
  <si>
    <t xml:space="preserve">Pemenuhan kebutuhan logistik pantry/konsumsi rapat, pembayaran speedy/TV kabel papan kurs atau ruang prioritas</t>
  </si>
  <si>
    <t xml:space="preserve">6A</t>
  </si>
  <si>
    <t xml:space="preserve">BEBAN ALAT TULIS KANTOR</t>
  </si>
  <si>
    <t xml:space="preserve">Kwitansi, Lem, Kertas, Cartridge dan Kertas Stiker</t>
  </si>
  <si>
    <t xml:space="preserve">Pembelian alat tulis kantor</t>
  </si>
  <si>
    <t xml:space="preserve">530.112.10</t>
  </si>
  <si>
    <t xml:space="preserve">BEBAN JASA PIHAK KETIGA</t>
  </si>
  <si>
    <t xml:space="preserve">Pembayaran jasa kebersihan kantor</t>
  </si>
  <si>
    <t xml:space="preserve">530.112.11</t>
  </si>
  <si>
    <t xml:space="preserve">BEBAN KRIYA MANDIRI</t>
  </si>
  <si>
    <t xml:space="preserve">Perdin Kriya</t>
  </si>
  <si>
    <t xml:space="preserve">BEBAN PEMELIHARAAN BGNAN/HLM KTR</t>
  </si>
  <si>
    <t xml:space="preserve">Biaya Retribusi Sampah Mei 2022</t>
  </si>
  <si>
    <t xml:space="preserve">Perbaikan bagian bangunan/halaman kantor yang rusak, pembayaran jasa cleaning service</t>
  </si>
  <si>
    <t xml:space="preserve">530.113.02</t>
  </si>
  <si>
    <t xml:space="preserve">BEBAN PEMELIHARAAN BGNAN/HLM RUMDIN</t>
  </si>
  <si>
    <t xml:space="preserve">Perbaikan bagian bangunan/halaman rumah dinas yang rusak</t>
  </si>
  <si>
    <t xml:space="preserve">BEBAN PEMELIHARAAN INVENTARIS KANTOR</t>
  </si>
  <si>
    <t xml:space="preserve">Solar Genset</t>
  </si>
  <si>
    <t xml:space="preserve">Servis AC/printer</t>
  </si>
  <si>
    <t xml:space="preserve">530.113.05</t>
  </si>
  <si>
    <t xml:space="preserve">BEBAN PEMELIHARAAN KENDARAAN BERMOTOR</t>
  </si>
  <si>
    <t xml:space="preserve">Servis/perlengkapan kebersihan/perlengkapan alat bengkel kendaraan/biaya parkir</t>
  </si>
  <si>
    <t xml:space="preserve">530.113.06</t>
  </si>
  <si>
    <t xml:space="preserve">BEBAN PEMELIHARAAN MESIN KANTOR/PERCETAKAN</t>
  </si>
  <si>
    <t xml:space="preserve">Servis Mesin Hitung Uang, pembayaran media cetak berlangganan</t>
  </si>
  <si>
    <t xml:space="preserve">530.115.01</t>
  </si>
  <si>
    <t xml:space="preserve">BEBAN SEWA RUMAH DINAS</t>
  </si>
  <si>
    <t xml:space="preserve">Pembayaran sewa rumah dinas/kost officer</t>
  </si>
  <si>
    <t xml:space="preserve">530.115.02</t>
  </si>
  <si>
    <t xml:space="preserve">BEBAN SEWA KEPERLUAN KANTOR LAINNYA</t>
  </si>
  <si>
    <t xml:space="preserve">Sewa mesin fotocopy</t>
  </si>
  <si>
    <t xml:space="preserve">530.115.03</t>
  </si>
  <si>
    <t xml:space="preserve">BEBAN SEWA RUANG KANTOR</t>
  </si>
  <si>
    <t xml:space="preserve">Biaya tagihan perpanjangan Sewa Gedung Kantor KCP MMU Martapura</t>
  </si>
  <si>
    <t xml:space="preserve">Sewa gedung kantor</t>
  </si>
  <si>
    <t xml:space="preserve">530.115.04</t>
  </si>
  <si>
    <t xml:space="preserve">BEBAN SEWA KENDARAAN</t>
  </si>
  <si>
    <t xml:space="preserve">Sewa kendaraan dinas</t>
  </si>
  <si>
    <t xml:space="preserve">530.116.01</t>
  </si>
  <si>
    <t xml:space="preserve">BEBAN HUMAS PENGEMBANGAN USAHA</t>
  </si>
  <si>
    <t xml:space="preserve">Pembayaran Bunga Papan, Sponsorship</t>
  </si>
  <si>
    <t xml:space="preserve">530.121.01</t>
  </si>
  <si>
    <t xml:space="preserve">BEBAN PREMI ASURANSI NON KREDIT</t>
  </si>
  <si>
    <t xml:space="preserve">Pembayaran staco/CIT ATM/titipan kas BI</t>
  </si>
  <si>
    <t xml:space="preserve">530.131.01</t>
  </si>
  <si>
    <t xml:space="preserve">BEBAN KEAMANAN</t>
  </si>
  <si>
    <t xml:space="preserve">Biaya jasa pengawalan remise/cash supply, perlengkapan keamanan/atk security</t>
  </si>
  <si>
    <t xml:space="preserve">BEBAN PENGANGKUTAN</t>
  </si>
  <si>
    <t xml:space="preserve">Pertamax BM</t>
  </si>
  <si>
    <t xml:space="preserve">BBM kendaraan dinas kantor</t>
  </si>
  <si>
    <t xml:space="preserve">530.131.10</t>
  </si>
  <si>
    <t xml:space="preserve">BEBAN EXPEDISI</t>
  </si>
  <si>
    <t xml:space="preserve">Pengiriman via J&amp;T </t>
  </si>
  <si>
    <t xml:space="preserve">Biaya pengiriman paket/dokumen</t>
  </si>
  <si>
    <t xml:space="preserve">530.131.13</t>
  </si>
  <si>
    <t xml:space="preserve">BEBAN PERJALANAN DINAS DN</t>
  </si>
  <si>
    <t xml:space="preserve">Biaya Perdin Refresment KSM dan Rewarding Program Numpang Tenar</t>
  </si>
  <si>
    <t xml:space="preserve">Biaya perdin pegawai PKWT/Tetap</t>
  </si>
  <si>
    <t xml:space="preserve">540.112.06</t>
  </si>
  <si>
    <t xml:space="preserve">BTK TUNJANGAN PULSA TELEPON GENGGAM</t>
  </si>
  <si>
    <t xml:space="preserve">Tunjangan Pulsa Branch Manager Bulan Mei 2022</t>
  </si>
  <si>
    <t xml:space="preserve">Untuk Officer yang mendapat fasilitas tunjangan telepon genggam</t>
  </si>
  <si>
    <t xml:space="preserve">540.112.19</t>
  </si>
  <si>
    <t xml:space="preserve">BTK TUNJANGAN UTILITIS</t>
  </si>
  <si>
    <t xml:space="preserve">Biaya Utilities Listrik Bulan Mei 2022 Branch Manager</t>
  </si>
  <si>
    <t xml:space="preserve">Untuk level Area Head &amp; Kepala Cabang</t>
  </si>
  <si>
    <t xml:space="preserve">540.115.2314</t>
  </si>
  <si>
    <t xml:space="preserve">BTK JASA TENAGA KERJA PIHAK KETIGA</t>
  </si>
  <si>
    <t xml:space="preserve">Pembayaran perdin pegawai TAD (driver, pramubhakti, security)</t>
  </si>
  <si>
    <t xml:space="preserve">&lt;&lt;------ masukkan no urut buku besar</t>
  </si>
  <si>
    <t xml:space="preserve">11277 -  KCP MMU Martapura</t>
  </si>
  <si>
    <t xml:space="preserve">Pembebanan Biaya/KCP MMU Martapura (11277M01)</t>
  </si>
  <si>
    <t xml:space="preserve">       112-00-0706273-5</t>
  </si>
  <si>
    <t xml:space="preserve">              GNC PNPL Ansuran 11277</t>
  </si>
  <si>
    <t xml:space="preserve">   (Fredi Yulianto/F.595)</t>
  </si>
  <si>
    <t xml:space="preserve">530.112.07 - BEBAN BARANG PIHAK KETIGA</t>
  </si>
  <si>
    <t xml:space="preserve">530.112.08 - BEBAN ALAT TULIS KANTOR</t>
  </si>
  <si>
    <t xml:space="preserve">530.113.01 - BEBAN PEMELIHARAAN BANGUNAN/HALAMAN KANTOR</t>
  </si>
  <si>
    <t xml:space="preserve">530.113.04 - BEBAN PEMELIHARAAN INVENTARIS KANTOR</t>
  </si>
  <si>
    <t xml:space="preserve">530.131.10 - BEBAN EXPEDISI</t>
  </si>
  <si>
    <t xml:space="preserve">530.112.01 - BEBAN LISTRIK KANTOR</t>
  </si>
  <si>
    <t xml:space="preserve">530.112.02 - BEBAN AIR KANTOR</t>
  </si>
  <si>
    <t xml:space="preserve">530.111.01 - BEBAN TELPON DAN FAX</t>
  </si>
  <si>
    <t xml:space="preserve">530.131.02 - BEBAN PENGANGKUTAN</t>
  </si>
  <si>
    <t xml:space="preserve">Martapura,  </t>
  </si>
  <si>
    <t xml:space="preserve">OVB</t>
  </si>
  <si>
    <t xml:space="preserve">All Suspend Deposit</t>
  </si>
  <si>
    <t xml:space="preserve">K/ 195.116.01</t>
  </si>
  <si>
    <t xml:space="preserve">Pemindahanbukuan Dari Rekening</t>
  </si>
  <si>
    <t xml:space="preserve">D/  112-00-0706273-5 (GNC 11277)</t>
  </si>
  <si>
    <t xml:space="preserve">Tarik tunai Petty Cash + Tunj Pulsa</t>
  </si>
  <si>
    <t xml:space="preserve">Ref : 0000-0000-2016-2875-430</t>
  </si>
  <si>
    <t xml:space="preserve">D/ 112-00-0706273-5</t>
  </si>
  <si>
    <t xml:space="preserve">                          Fredi Yulianto</t>
  </si>
  <si>
    <t xml:space="preserve">Palembang Sako Kenten</t>
  </si>
  <si>
    <t xml:space="preserve">GNC</t>
  </si>
  <si>
    <t xml:space="preserve">                                Fredi Yulianto</t>
  </si>
  <si>
    <t xml:space="preserve">MEMO SETORAN</t>
  </si>
  <si>
    <t xml:space="preserve">No Rekening</t>
  </si>
  <si>
    <t xml:space="preserve">Rp.</t>
  </si>
  <si>
    <t xml:space="preserve">No Telpon</t>
  </si>
  <si>
    <t xml:space="preserve">Berita (Bila Diperlakukan)</t>
  </si>
  <si>
    <t xml:space="preserve">         KCP MMU Martapura </t>
  </si>
  <si>
    <t xml:space="preserve">All Suspend Deposit (195.11.601)</t>
  </si>
  <si>
    <t xml:space="preserve">REIMBURSE OPERASIONAL</t>
  </si>
  <si>
    <t xml:space="preserve">REIMBURSE LISTRIK KANTOR</t>
  </si>
  <si>
    <t xml:space="preserve">REIMBURSE PULSA BM</t>
  </si>
  <si>
    <t xml:space="preserve">REIMBURSE UTILITIS PLN BM</t>
  </si>
  <si>
    <t xml:space="preserve">PERJANJIAN SEWA MENYEWA</t>
  </si>
  <si>
    <t xml:space="preserve">REIMBURSE JASA KEBERSIHAN</t>
  </si>
  <si>
    <t xml:space="preserve">REIMBURSE BANSOS</t>
  </si>
  <si>
    <t xml:space="preserve">REIMBURSE BBM MM</t>
  </si>
  <si>
    <t xml:space="preserve">Satuan</t>
  </si>
  <si>
    <t xml:space="preserve"> Satu</t>
  </si>
  <si>
    <t xml:space="preserve"> Seratus</t>
  </si>
  <si>
    <t xml:space="preserve">  Seribu</t>
  </si>
  <si>
    <t xml:space="preserve"> &amp; 1/100</t>
  </si>
  <si>
    <t xml:space="preserve"> Dua</t>
  </si>
  <si>
    <t xml:space="preserve"> Dua ratus</t>
  </si>
  <si>
    <t xml:space="preserve">  Dua ribu</t>
  </si>
  <si>
    <t xml:space="preserve"> &amp; 2/100</t>
  </si>
  <si>
    <t xml:space="preserve"> Tiga</t>
  </si>
  <si>
    <t xml:space="preserve"> Tiga ratus</t>
  </si>
  <si>
    <t xml:space="preserve"> Tiga ribu</t>
  </si>
  <si>
    <t xml:space="preserve"> &amp; 3/100</t>
  </si>
  <si>
    <t xml:space="preserve"> Empat</t>
  </si>
  <si>
    <t xml:space="preserve"> Empat ratus</t>
  </si>
  <si>
    <t xml:space="preserve"> Empat ribu</t>
  </si>
  <si>
    <t xml:space="preserve"> &amp; 4/100</t>
  </si>
  <si>
    <t xml:space="preserve">"</t>
  </si>
  <si>
    <t xml:space="preserve"> Lima</t>
  </si>
  <si>
    <t xml:space="preserve"> Lima ratus</t>
  </si>
  <si>
    <t xml:space="preserve"> Lima ribu</t>
  </si>
  <si>
    <t xml:space="preserve"> &amp; 5/100</t>
  </si>
  <si>
    <t xml:space="preserve"> Enam</t>
  </si>
  <si>
    <t xml:space="preserve"> Enam ratus</t>
  </si>
  <si>
    <t xml:space="preserve"> Enam ribu</t>
  </si>
  <si>
    <t xml:space="preserve"> &amp; 6/100</t>
  </si>
  <si>
    <t xml:space="preserve"> Tujuh</t>
  </si>
  <si>
    <t xml:space="preserve"> Tujuh ratus</t>
  </si>
  <si>
    <t xml:space="preserve"> Tujuh ribu</t>
  </si>
  <si>
    <t xml:space="preserve"> &amp; 7/100</t>
  </si>
  <si>
    <t xml:space="preserve"> Delapan</t>
  </si>
  <si>
    <t xml:space="preserve"> Delapan ratus</t>
  </si>
  <si>
    <t xml:space="preserve"> Delapan ribu</t>
  </si>
  <si>
    <t xml:space="preserve"> &amp; 8/100</t>
  </si>
  <si>
    <t xml:space="preserve"> Sembilan</t>
  </si>
  <si>
    <t xml:space="preserve"> Sembilan ratus</t>
  </si>
  <si>
    <t xml:space="preserve"> Sembilan ribu</t>
  </si>
  <si>
    <t xml:space="preserve"> &amp; 9/100</t>
  </si>
  <si>
    <t xml:space="preserve"> Sepuluh</t>
  </si>
  <si>
    <t xml:space="preserve"> Sepuluh  ribu</t>
  </si>
  <si>
    <t xml:space="preserve"> &amp; 10/100</t>
  </si>
  <si>
    <t xml:space="preserve"> Sebelas</t>
  </si>
  <si>
    <t xml:space="preserve"> Sebelas ribu</t>
  </si>
  <si>
    <t xml:space="preserve"> &amp; 11/100</t>
  </si>
  <si>
    <t xml:space="preserve">ERR</t>
  </si>
  <si>
    <t xml:space="preserve"> Dua belas</t>
  </si>
  <si>
    <t xml:space="preserve"> Dua belas ribu</t>
  </si>
  <si>
    <t xml:space="preserve"> &amp; 12/100</t>
  </si>
  <si>
    <t xml:space="preserve"> Tiga belas</t>
  </si>
  <si>
    <t xml:space="preserve"> Tiga belas ribu</t>
  </si>
  <si>
    <t xml:space="preserve"> &amp; 13/100</t>
  </si>
  <si>
    <t xml:space="preserve">Ratus </t>
  </si>
  <si>
    <t xml:space="preserve">Belas</t>
  </si>
  <si>
    <t xml:space="preserve"> Empat belas</t>
  </si>
  <si>
    <t xml:space="preserve"> Empat belas ribu</t>
  </si>
  <si>
    <t xml:space="preserve"> &amp; 14/100</t>
  </si>
  <si>
    <t xml:space="preserve"> Milyard</t>
  </si>
  <si>
    <t xml:space="preserve"> Lima belas</t>
  </si>
  <si>
    <t xml:space="preserve"> Lima belas ribu</t>
  </si>
  <si>
    <t xml:space="preserve"> &amp; 15/100</t>
  </si>
  <si>
    <t xml:space="preserve"> Enam belas</t>
  </si>
  <si>
    <t xml:space="preserve"> Enam belas ribu</t>
  </si>
  <si>
    <t xml:space="preserve"> &amp; 16/100</t>
  </si>
  <si>
    <t xml:space="preserve"> Tujuh belas</t>
  </si>
  <si>
    <t xml:space="preserve"> Tujuh belas ribu</t>
  </si>
  <si>
    <t xml:space="preserve"> &amp; 17/100</t>
  </si>
  <si>
    <t xml:space="preserve"> Delapan belas</t>
  </si>
  <si>
    <t xml:space="preserve"> Delapan belas ribu</t>
  </si>
  <si>
    <t xml:space="preserve"> &amp; 18/100</t>
  </si>
  <si>
    <t xml:space="preserve"> Sembilan belas</t>
  </si>
  <si>
    <t xml:space="preserve"> Sembilan belas ribu</t>
  </si>
  <si>
    <t xml:space="preserve"> &amp; 19/100</t>
  </si>
  <si>
    <t xml:space="preserve"> Dua puluh</t>
  </si>
  <si>
    <t xml:space="preserve"> Dua puluh ribu</t>
  </si>
  <si>
    <t xml:space="preserve"> &amp; 20/100</t>
  </si>
  <si>
    <t xml:space="preserve"> Dua puluh satu</t>
  </si>
  <si>
    <t xml:space="preserve"> Dua puluh satu ribu</t>
  </si>
  <si>
    <t xml:space="preserve"> &amp; 21/100</t>
  </si>
  <si>
    <t xml:space="preserve"> Dua puluh dua</t>
  </si>
  <si>
    <t xml:space="preserve"> Dua puluh dua ribu</t>
  </si>
  <si>
    <t xml:space="preserve"> &amp; 22/100</t>
  </si>
  <si>
    <t xml:space="preserve"> Dua puluh tiga</t>
  </si>
  <si>
    <t xml:space="preserve"> Dua puluh tiga ribu</t>
  </si>
  <si>
    <t xml:space="preserve"> &amp; 23/100</t>
  </si>
  <si>
    <t xml:space="preserve"> Dua puluh empat</t>
  </si>
  <si>
    <t xml:space="preserve"> Dua puluh empat ribu</t>
  </si>
  <si>
    <t xml:space="preserve"> &amp; 24/100</t>
  </si>
  <si>
    <t xml:space="preserve"> Dua puluh lima</t>
  </si>
  <si>
    <t xml:space="preserve"> Dua puluh lima ribu</t>
  </si>
  <si>
    <t xml:space="preserve"> &amp; 25/100</t>
  </si>
  <si>
    <t xml:space="preserve"> Dua puluh enam</t>
  </si>
  <si>
    <t xml:space="preserve"> Dua puluh enam ribu</t>
  </si>
  <si>
    <t xml:space="preserve"> &amp; 26/100</t>
  </si>
  <si>
    <t xml:space="preserve"> Dua puluh tujuh</t>
  </si>
  <si>
    <t xml:space="preserve"> Dua puluh tujuh ribu</t>
  </si>
  <si>
    <t xml:space="preserve"> &amp; 27/100</t>
  </si>
  <si>
    <t xml:space="preserve"> Dua puluh delapan</t>
  </si>
  <si>
    <t xml:space="preserve"> Dua puluh delapan ribu</t>
  </si>
  <si>
    <t xml:space="preserve"> &amp; 28/100</t>
  </si>
  <si>
    <t xml:space="preserve"> Dua puluh sembilan</t>
  </si>
  <si>
    <t xml:space="preserve"> Dua puluh sembilan ribu</t>
  </si>
  <si>
    <t xml:space="preserve"> &amp; 29/100</t>
  </si>
  <si>
    <t xml:space="preserve"> Tiga puluh</t>
  </si>
  <si>
    <t xml:space="preserve"> Tiga puluh ribu</t>
  </si>
  <si>
    <t xml:space="preserve"> &amp; 30/100</t>
  </si>
  <si>
    <t xml:space="preserve"> Tiga puluh satu</t>
  </si>
  <si>
    <t xml:space="preserve"> Tiga puluh satu ribu</t>
  </si>
  <si>
    <t xml:space="preserve"> &amp; 31/100</t>
  </si>
  <si>
    <t xml:space="preserve"> Tiga puluh dua</t>
  </si>
  <si>
    <t xml:space="preserve"> Tiga puluh dua ribu</t>
  </si>
  <si>
    <t xml:space="preserve"> &amp; 32/100</t>
  </si>
  <si>
    <t xml:space="preserve"> Tiga puluh tiga</t>
  </si>
  <si>
    <t xml:space="preserve"> Tiga puluh tiga ribu</t>
  </si>
  <si>
    <t xml:space="preserve"> &amp; 33/100</t>
  </si>
  <si>
    <t xml:space="preserve"> Tiga puluh empat</t>
  </si>
  <si>
    <t xml:space="preserve"> Tiga puluh empat ribu</t>
  </si>
  <si>
    <t xml:space="preserve"> &amp; 34/100</t>
  </si>
  <si>
    <t xml:space="preserve"> Tiga puluh lima</t>
  </si>
  <si>
    <t xml:space="preserve"> Tiga puluh lima ribu</t>
  </si>
  <si>
    <t xml:space="preserve"> &amp; 35/100</t>
  </si>
  <si>
    <t xml:space="preserve"> Tiga puluh enam</t>
  </si>
  <si>
    <t xml:space="preserve"> Tiga puluh enam ribu</t>
  </si>
  <si>
    <t xml:space="preserve"> &amp; 36/100</t>
  </si>
  <si>
    <t xml:space="preserve"> Tiga puluh tujuh</t>
  </si>
  <si>
    <t xml:space="preserve"> Tiga puluh tujuh ribu</t>
  </si>
  <si>
    <t xml:space="preserve"> &amp; 37/100</t>
  </si>
  <si>
    <t xml:space="preserve"> Tiga puluh delapan</t>
  </si>
  <si>
    <t xml:space="preserve"> Tiga puluh delapan ribu</t>
  </si>
  <si>
    <t xml:space="preserve"> &amp; 38/100</t>
  </si>
  <si>
    <t xml:space="preserve"> Tiga puluh sembilan</t>
  </si>
  <si>
    <t xml:space="preserve"> Tiga puluh sembilan ribu</t>
  </si>
  <si>
    <t xml:space="preserve"> &amp; 39/100</t>
  </si>
  <si>
    <t xml:space="preserve">  Empat puluh</t>
  </si>
  <si>
    <t xml:space="preserve"> Empat puluh ribu</t>
  </si>
  <si>
    <t xml:space="preserve"> &amp; 40/100</t>
  </si>
  <si>
    <t xml:space="preserve">  Empat puluh satu</t>
  </si>
  <si>
    <t xml:space="preserve"> Empat puluh satu ribu</t>
  </si>
  <si>
    <t xml:space="preserve"> &amp; 41/100</t>
  </si>
  <si>
    <t xml:space="preserve">  Empat puluh dua</t>
  </si>
  <si>
    <t xml:space="preserve"> Empat puluh dua ribu</t>
  </si>
  <si>
    <t xml:space="preserve"> &amp; 42/100</t>
  </si>
  <si>
    <t xml:space="preserve">  Empat puluh tiga</t>
  </si>
  <si>
    <t xml:space="preserve"> Empat puluh tiga ribu</t>
  </si>
  <si>
    <t xml:space="preserve"> &amp; 43/100</t>
  </si>
  <si>
    <t xml:space="preserve">  Empat puluh empat</t>
  </si>
  <si>
    <t xml:space="preserve"> Empat puluh empat ribu</t>
  </si>
  <si>
    <t xml:space="preserve"> &amp; 44/100</t>
  </si>
  <si>
    <t xml:space="preserve">  Empat puluh lima</t>
  </si>
  <si>
    <t xml:space="preserve"> Empat puluh lima ribu</t>
  </si>
  <si>
    <t xml:space="preserve"> &amp; 45/100</t>
  </si>
  <si>
    <t xml:space="preserve">  Empat puluh enam</t>
  </si>
  <si>
    <t xml:space="preserve"> Empat puluh enam ribu</t>
  </si>
  <si>
    <t xml:space="preserve"> &amp; 46/100</t>
  </si>
  <si>
    <t xml:space="preserve">  Empat puluh tujuh</t>
  </si>
  <si>
    <t xml:space="preserve"> Empat puluh tujuh ribu</t>
  </si>
  <si>
    <t xml:space="preserve"> &amp; 47/100</t>
  </si>
  <si>
    <t xml:space="preserve">  Empat puluh delapan</t>
  </si>
  <si>
    <t xml:space="preserve"> Empat puluh delapan ribu</t>
  </si>
  <si>
    <t xml:space="preserve"> &amp; 48/100</t>
  </si>
  <si>
    <t xml:space="preserve">  Empat puluh sembilan</t>
  </si>
  <si>
    <t xml:space="preserve"> Empat puluh sembilan ribu</t>
  </si>
  <si>
    <t xml:space="preserve"> &amp; 49/100</t>
  </si>
  <si>
    <t xml:space="preserve">  Lima puluh</t>
  </si>
  <si>
    <t xml:space="preserve"> Lima puluh ribu</t>
  </si>
  <si>
    <t xml:space="preserve"> &amp; 50/100</t>
  </si>
  <si>
    <t xml:space="preserve">  Lima puluh satu</t>
  </si>
  <si>
    <t xml:space="preserve"> Lima puluh satu ribu</t>
  </si>
  <si>
    <t xml:space="preserve"> &amp; 51/100</t>
  </si>
  <si>
    <t xml:space="preserve">  Lima puluh dua</t>
  </si>
  <si>
    <t xml:space="preserve"> Lima puluh dua ribu</t>
  </si>
  <si>
    <t xml:space="preserve"> &amp; 52/100</t>
  </si>
  <si>
    <t xml:space="preserve">  Lima puluh tiga</t>
  </si>
  <si>
    <t xml:space="preserve"> Lima puluh tiga ribu</t>
  </si>
  <si>
    <t xml:space="preserve"> &amp; 53/100</t>
  </si>
  <si>
    <t xml:space="preserve">  Lima puluh empat</t>
  </si>
  <si>
    <t xml:space="preserve"> Lima puluh empat ribu</t>
  </si>
  <si>
    <t xml:space="preserve"> &amp; 54/100</t>
  </si>
  <si>
    <t xml:space="preserve">  Lima puluh lima</t>
  </si>
  <si>
    <t xml:space="preserve"> Lima puluh lima ribu</t>
  </si>
  <si>
    <t xml:space="preserve"> &amp; 55/100</t>
  </si>
  <si>
    <t xml:space="preserve">  Lima puluh enam</t>
  </si>
  <si>
    <t xml:space="preserve"> Lima puluh enam ribu</t>
  </si>
  <si>
    <t xml:space="preserve"> &amp; 56/100</t>
  </si>
  <si>
    <t xml:space="preserve">  Lima puluh tujuh</t>
  </si>
  <si>
    <t xml:space="preserve"> Lima puluh tujuh ribu</t>
  </si>
  <si>
    <t xml:space="preserve"> &amp; 57/100</t>
  </si>
  <si>
    <t xml:space="preserve">  Lima puluh delapan</t>
  </si>
  <si>
    <t xml:space="preserve"> Lima puluh delapan ribu</t>
  </si>
  <si>
    <t xml:space="preserve"> &amp; 58/100</t>
  </si>
  <si>
    <t xml:space="preserve">  Lima puluh sembilan</t>
  </si>
  <si>
    <t xml:space="preserve"> Lima puluh sembilan ribu</t>
  </si>
  <si>
    <t xml:space="preserve"> &amp; 59/100</t>
  </si>
  <si>
    <t xml:space="preserve">  Enam puluh</t>
  </si>
  <si>
    <t xml:space="preserve"> Enam puluh ribu</t>
  </si>
  <si>
    <t xml:space="preserve"> &amp; 60/100</t>
  </si>
  <si>
    <t xml:space="preserve">  Enam puluh satu</t>
  </si>
  <si>
    <t xml:space="preserve"> Enam puluh satu ribu</t>
  </si>
  <si>
    <t xml:space="preserve"> &amp; 61/100</t>
  </si>
  <si>
    <t xml:space="preserve">  Enam puluh dua</t>
  </si>
  <si>
    <t xml:space="preserve"> Enam puluh dua ribu</t>
  </si>
  <si>
    <t xml:space="preserve"> &amp; 62/100</t>
  </si>
  <si>
    <t xml:space="preserve">  Enam puluh tiga</t>
  </si>
  <si>
    <t xml:space="preserve"> Enam puluh tiga ribu</t>
  </si>
  <si>
    <t xml:space="preserve"> &amp; 63/100</t>
  </si>
  <si>
    <t xml:space="preserve">  Enam puluh empat</t>
  </si>
  <si>
    <t xml:space="preserve"> Enam puluh empat ribu</t>
  </si>
  <si>
    <t xml:space="preserve"> &amp; 64/100</t>
  </si>
  <si>
    <t xml:space="preserve">  Enam puluh lima</t>
  </si>
  <si>
    <t xml:space="preserve"> Enam puluh lima ribu</t>
  </si>
  <si>
    <t xml:space="preserve"> &amp; 65/100</t>
  </si>
  <si>
    <t xml:space="preserve">  Enam puluh enam</t>
  </si>
  <si>
    <t xml:space="preserve"> Enam puluh enam ribu</t>
  </si>
  <si>
    <t xml:space="preserve"> &amp; 66/100</t>
  </si>
  <si>
    <t xml:space="preserve">  Enam puluh tujuh</t>
  </si>
  <si>
    <t xml:space="preserve"> Enam puluh tujuh ribu</t>
  </si>
  <si>
    <t xml:space="preserve"> &amp; 67/100</t>
  </si>
  <si>
    <t xml:space="preserve">  Enam puluh delapan</t>
  </si>
  <si>
    <t xml:space="preserve"> Enam puluh delapan ribu</t>
  </si>
  <si>
    <t xml:space="preserve"> &amp; 68/100</t>
  </si>
  <si>
    <t xml:space="preserve">  Enam puluh sembilan</t>
  </si>
  <si>
    <t xml:space="preserve"> Enam puluh sembilan ribu</t>
  </si>
  <si>
    <t xml:space="preserve"> &amp; 69/100</t>
  </si>
  <si>
    <t xml:space="preserve"> Tujuh puluh</t>
  </si>
  <si>
    <t xml:space="preserve"> Tujuh puluh ribu</t>
  </si>
  <si>
    <t xml:space="preserve"> &amp; 70/100</t>
  </si>
  <si>
    <t xml:space="preserve"> Tujuh puluhsatu</t>
  </si>
  <si>
    <t xml:space="preserve"> Tujuh puluh satu ribu</t>
  </si>
  <si>
    <t xml:space="preserve"> &amp; 71/100</t>
  </si>
  <si>
    <t xml:space="preserve"> Tujuh puluh dua</t>
  </si>
  <si>
    <t xml:space="preserve"> Tujuh puluh dua ribu</t>
  </si>
  <si>
    <t xml:space="preserve"> &amp; 72/100</t>
  </si>
  <si>
    <t xml:space="preserve"> Tujuh puluh tiga</t>
  </si>
  <si>
    <t xml:space="preserve"> Tujuh puluh tiga ribu</t>
  </si>
  <si>
    <t xml:space="preserve"> &amp; 73/100</t>
  </si>
  <si>
    <t xml:space="preserve"> Tujuh puluh empat</t>
  </si>
  <si>
    <t xml:space="preserve"> Tujuh puluh empat ribu</t>
  </si>
  <si>
    <t xml:space="preserve"> &amp; 74/100</t>
  </si>
  <si>
    <t xml:space="preserve"> Tujuh puluh lima</t>
  </si>
  <si>
    <t xml:space="preserve"> Tujuh puluh lima ribu</t>
  </si>
  <si>
    <t xml:space="preserve"> &amp; 75/100</t>
  </si>
  <si>
    <t xml:space="preserve"> Tujuh puluh enam</t>
  </si>
  <si>
    <t xml:space="preserve"> Tujuh puluh enam ribu</t>
  </si>
  <si>
    <t xml:space="preserve"> &amp; 76/100</t>
  </si>
  <si>
    <t xml:space="preserve"> Tujuh puluh tujuh</t>
  </si>
  <si>
    <t xml:space="preserve"> Tujuh puluh tujuh ribu</t>
  </si>
  <si>
    <t xml:space="preserve"> &amp; 77/100</t>
  </si>
  <si>
    <t xml:space="preserve"> Tujuh puluh delapan</t>
  </si>
  <si>
    <t xml:space="preserve"> Tujuh puluh delapan ribu</t>
  </si>
  <si>
    <t xml:space="preserve"> &amp; 78/100</t>
  </si>
  <si>
    <t xml:space="preserve"> Tujuhpuluhsembilan</t>
  </si>
  <si>
    <t xml:space="preserve"> Tujuh puluh sembilan ribu</t>
  </si>
  <si>
    <t xml:space="preserve"> &amp; 79/100</t>
  </si>
  <si>
    <t xml:space="preserve"> Delapan puluh</t>
  </si>
  <si>
    <t xml:space="preserve"> Delapan puluh ribu</t>
  </si>
  <si>
    <t xml:space="preserve"> &amp; 80/100</t>
  </si>
  <si>
    <t xml:space="preserve"> Delapan puluh satu</t>
  </si>
  <si>
    <t xml:space="preserve"> Delapan puluh satu ribu</t>
  </si>
  <si>
    <t xml:space="preserve"> &amp; 81/100</t>
  </si>
  <si>
    <t xml:space="preserve"> Delapan puluh dua</t>
  </si>
  <si>
    <t xml:space="preserve"> Delapan puluh dua ribu</t>
  </si>
  <si>
    <t xml:space="preserve"> &amp; 82/100</t>
  </si>
  <si>
    <t xml:space="preserve"> Delapan puluh tiga</t>
  </si>
  <si>
    <t xml:space="preserve"> Delapan puluh tiga ribu</t>
  </si>
  <si>
    <t xml:space="preserve"> &amp; 83/100</t>
  </si>
  <si>
    <t xml:space="preserve"> Delapan puluh empat</t>
  </si>
  <si>
    <t xml:space="preserve"> Delapan puluh empat ribu</t>
  </si>
  <si>
    <t xml:space="preserve"> &amp; 84/100</t>
  </si>
  <si>
    <t xml:space="preserve"> Delapan puluh lima</t>
  </si>
  <si>
    <t xml:space="preserve"> Delapan puluh lima ribu</t>
  </si>
  <si>
    <t xml:space="preserve"> &amp; 85/100</t>
  </si>
  <si>
    <t xml:space="preserve"> Delapan puluh enam</t>
  </si>
  <si>
    <t xml:space="preserve"> Delapan puluh enam ribu</t>
  </si>
  <si>
    <t xml:space="preserve"> &amp; 86/100</t>
  </si>
  <si>
    <t xml:space="preserve"> Delapan puluh tujuh</t>
  </si>
  <si>
    <t xml:space="preserve"> Delapan puluh tujuh ribu</t>
  </si>
  <si>
    <t xml:space="preserve"> &amp; 87/100</t>
  </si>
  <si>
    <t xml:space="preserve"> Delapan puluh delapan</t>
  </si>
  <si>
    <t xml:space="preserve"> Delapan puluh delapan ribu</t>
  </si>
  <si>
    <t xml:space="preserve"> &amp; 88/100</t>
  </si>
  <si>
    <t xml:space="preserve"> Delapan puluh sembilan</t>
  </si>
  <si>
    <t xml:space="preserve"> Delapan puluh sembilan ribu</t>
  </si>
  <si>
    <t xml:space="preserve"> &amp; 89/100</t>
  </si>
  <si>
    <t xml:space="preserve"> Sembilan puluh</t>
  </si>
  <si>
    <t xml:space="preserve"> Sembilan puluh ribu</t>
  </si>
  <si>
    <t xml:space="preserve"> &amp; 90/100</t>
  </si>
  <si>
    <t xml:space="preserve"> Sembilan puluh satu</t>
  </si>
  <si>
    <t xml:space="preserve"> Sembilan puluh satu ribu</t>
  </si>
  <si>
    <t xml:space="preserve"> &amp; 91/100</t>
  </si>
  <si>
    <t xml:space="preserve"> Sembilan puluh dua</t>
  </si>
  <si>
    <t xml:space="preserve"> Sembilan puluh dua ribu</t>
  </si>
  <si>
    <t xml:space="preserve"> &amp; 92/100</t>
  </si>
  <si>
    <t xml:space="preserve"> Sembilan puluh tiga</t>
  </si>
  <si>
    <t xml:space="preserve"> Sembilan puluh tiga ribu</t>
  </si>
  <si>
    <t xml:space="preserve"> &amp; 93/100</t>
  </si>
  <si>
    <t xml:space="preserve"> Sembilan puluh empat</t>
  </si>
  <si>
    <t xml:space="preserve"> Sembilan puluh empat ribu</t>
  </si>
  <si>
    <t xml:space="preserve"> &amp; 94/100</t>
  </si>
  <si>
    <t xml:space="preserve"> Sembilan puluh lima</t>
  </si>
  <si>
    <t xml:space="preserve"> Sembilan puluh lima ribu</t>
  </si>
  <si>
    <t xml:space="preserve"> &amp; 95/100</t>
  </si>
  <si>
    <t xml:space="preserve"> Sembilan puluh enam</t>
  </si>
  <si>
    <t xml:space="preserve"> Sembilan puluh enam ribu</t>
  </si>
  <si>
    <t xml:space="preserve"> &amp; 96/100</t>
  </si>
  <si>
    <t xml:space="preserve"> Sembilan puluh tujuh</t>
  </si>
  <si>
    <t xml:space="preserve"> Sembilan puluh tujuh ribu</t>
  </si>
  <si>
    <t xml:space="preserve"> &amp; 97/100</t>
  </si>
  <si>
    <t xml:space="preserve"> Sembilan puluh delapan</t>
  </si>
  <si>
    <t xml:space="preserve"> Sembilan puluh delapan ribu</t>
  </si>
  <si>
    <t xml:space="preserve"> &amp; 98/100</t>
  </si>
  <si>
    <t xml:space="preserve"> Sembilan puluh sembilan</t>
  </si>
  <si>
    <t xml:space="preserve"> Sembilan puluh sembilan ribu</t>
  </si>
  <si>
    <t xml:space="preserve"> &amp; 99/100</t>
  </si>
  <si>
    <t xml:space="preserve">Milyard</t>
  </si>
</sst>
</file>

<file path=xl/styles.xml><?xml version="1.0" encoding="utf-8"?>
<styleSheet xmlns="http://schemas.openxmlformats.org/spreadsheetml/2006/main">
  <numFmts count="33">
    <numFmt numFmtId="164" formatCode="General"/>
    <numFmt numFmtId="165" formatCode="_ * #,##0_ ;_ * \-#,##0_ ;_ * \-_ ;_ @_ "/>
    <numFmt numFmtId="166" formatCode="_ * #,##0.00_ ;_ * \-#,##0.00_ ;_ * \-??_ ;_ @_ "/>
    <numFmt numFmtId="167" formatCode="_ &quot;     &quot;* #,##0_ ;_ &quot;     &quot;* \-#,##0_ ;_ &quot;     &quot;* \-_ ;_ @_ "/>
    <numFmt numFmtId="168" formatCode="#,##0.00"/>
    <numFmt numFmtId="169" formatCode="_-* #,##0.00_-;\-* #,##0.00_-;_-* \-??_-;_-@_-"/>
    <numFmt numFmtId="170" formatCode="_(* #,##0_);_(* \(#,##0\);_(* \-??_);_(@_)"/>
    <numFmt numFmtId="171" formatCode="#,##0"/>
    <numFmt numFmtId="172" formatCode="[$-409]d\-mmm\-yy"/>
    <numFmt numFmtId="173" formatCode="dd/mm/yy;@"/>
    <numFmt numFmtId="174" formatCode="0"/>
    <numFmt numFmtId="175" formatCode="dd/mm/yyyy;@"/>
    <numFmt numFmtId="176" formatCode="0.000E+00"/>
    <numFmt numFmtId="177" formatCode="_-[$Rp-421]* #,##0.00_ ;_-[$Rp-421]* \-#,##0.00\ ;_-[$Rp-421]* \-??_ ;_-@_ "/>
    <numFmt numFmtId="178" formatCode="[$-421]dd\ mmmm\ yyyy;@"/>
    <numFmt numFmtId="179" formatCode="_([$Rp-421]* #,##0.00_);_([$Rp-421]* \(#,##0.00\);_([$Rp-421]* \-??_);_(@_)"/>
    <numFmt numFmtId="180" formatCode="_(&quot;Rp&quot;* #,##0.00_);_(&quot;Rp&quot;* \(#,##0.00\);_(&quot;Rp&quot;* \-??_);_(@_)"/>
    <numFmt numFmtId="181" formatCode="dd\ mmmm\ yy"/>
    <numFmt numFmtId="182" formatCode="[$-409]m/d/yyyy"/>
    <numFmt numFmtId="183" formatCode="_(&quot;Rp&quot;* #,##0_);_(&quot;Rp&quot;* \(#,##0\);_(&quot;Rp&quot;* \-??_);_(@_)"/>
    <numFmt numFmtId="184" formatCode="[$-409]#,##0_);\(#,##0\)"/>
    <numFmt numFmtId="185" formatCode="_ &quot;     &quot;* #,##0.00_ ;_ &quot;     &quot;* \-#,##0.00_ ;_ &quot;     &quot;* \-??_ ;_ @_ "/>
    <numFmt numFmtId="186" formatCode="_-[$Rp-421]* #,##0_-;\-[$Rp-421]* #,##0_-;_-[$Rp-421]* \-_-;_-@_-"/>
    <numFmt numFmtId="187" formatCode="_-[$Rp-421]* #,##0_ ;_-[$Rp-421]* \-#,##0\ ;_-[$Rp-421]* \-??_ ;_-@_ "/>
    <numFmt numFmtId="188" formatCode="_-[$Rp-421]* #,##0_ ;_-[$Rp-421]* \-#,##0\ ;_-[$Rp-421]* \-_ ;_-@_ "/>
    <numFmt numFmtId="189" formatCode="@"/>
    <numFmt numFmtId="190" formatCode="_-[$Rp-421]* #,##0.00_-;\-[$Rp-421]* #,##0.00_-;_-[$Rp-421]* \-??_-;_-@_-"/>
    <numFmt numFmtId="191" formatCode="_(* #,##0.00_);_(* \(#,##0.00\);_(* \-??_);_(@_)"/>
    <numFmt numFmtId="192" formatCode="_-* #,##0_-;\-* #,##0_-;_-* \-??_-;_-@_-"/>
    <numFmt numFmtId="193" formatCode="_([$Rp-421]* #,##0_);_([$Rp-421]* \(#,##0\);_([$Rp-421]* \-_);_(@_)"/>
    <numFmt numFmtId="194" formatCode="[$-409]#,##0.00_);\(#,##0.00\)"/>
    <numFmt numFmtId="195" formatCode="dd\-mmm\-yy_)"/>
    <numFmt numFmtId="196" formatCode=";;;"/>
  </numFmts>
  <fonts count="9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Arial"/>
      <family val="2"/>
    </font>
    <font>
      <sz val="12"/>
      <name val="Roman 10cpi"/>
      <family val="3"/>
    </font>
    <font>
      <sz val="10"/>
      <name val="Courier New"/>
      <family val="3"/>
    </font>
    <font>
      <sz val="10"/>
      <name val="Arial Narrow"/>
      <family val="2"/>
    </font>
    <font>
      <b val="true"/>
      <sz val="9"/>
      <color rgb="FF000080"/>
      <name val="Arial"/>
      <family val="2"/>
    </font>
    <font>
      <b val="true"/>
      <sz val="9"/>
      <color rgb="FF00FF00"/>
      <name val="Arial"/>
      <family val="2"/>
    </font>
    <font>
      <b val="true"/>
      <sz val="9"/>
      <color rgb="FF339966"/>
      <name val="Arial"/>
      <family val="2"/>
    </font>
    <font>
      <b val="true"/>
      <sz val="10"/>
      <color rgb="FF00FF00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sz val="14"/>
      <color rgb="FF003300"/>
      <name val="Arial"/>
      <family val="2"/>
    </font>
    <font>
      <b val="true"/>
      <sz val="12"/>
      <color rgb="FFFF0000"/>
      <name val="Arial"/>
      <family val="2"/>
    </font>
    <font>
      <sz val="12"/>
      <color rgb="FFFF0000"/>
      <name val="Arial"/>
      <family val="2"/>
    </font>
    <font>
      <b val="true"/>
      <sz val="10"/>
      <name val="Roman 10cpi"/>
      <family val="3"/>
    </font>
    <font>
      <sz val="10"/>
      <name val="Roman 10cpi"/>
      <family val="3"/>
    </font>
    <font>
      <sz val="12"/>
      <color rgb="FFFFFF00"/>
      <name val="Roman 10cpi"/>
      <family val="3"/>
    </font>
    <font>
      <sz val="12"/>
      <name val="Arial"/>
      <family val="2"/>
    </font>
    <font>
      <sz val="12"/>
      <name val="Century Gothic"/>
      <family val="2"/>
    </font>
    <font>
      <sz val="12"/>
      <name val="Comic Sans MS"/>
      <family val="4"/>
    </font>
    <font>
      <sz val="12"/>
      <name val="Big Stripes"/>
      <family val="2"/>
    </font>
    <font>
      <b val="true"/>
      <sz val="12"/>
      <name val="Arial Narrow"/>
      <family val="2"/>
    </font>
    <font>
      <b val="true"/>
      <sz val="12"/>
      <name val="Comic Sans MS"/>
      <family val="4"/>
    </font>
    <font>
      <b val="true"/>
      <sz val="12"/>
      <name val="Arial"/>
      <family val="2"/>
    </font>
    <font>
      <sz val="9"/>
      <color rgb="FFFFFFFF"/>
      <name val="Arial"/>
      <family val="2"/>
    </font>
    <font>
      <sz val="12"/>
      <color rgb="FFFFFFFF"/>
      <name val="Roman 10cpi"/>
      <family val="3"/>
    </font>
    <font>
      <b val="true"/>
      <sz val="9"/>
      <name val="Roman 10cpi"/>
      <family val="3"/>
    </font>
    <font>
      <b val="true"/>
      <u val="single"/>
      <sz val="12"/>
      <color rgb="FFFF0000"/>
      <name val="Arial"/>
      <family val="2"/>
    </font>
    <font>
      <sz val="9"/>
      <name val="Roman 10cpi"/>
      <family val="3"/>
    </font>
    <font>
      <sz val="11"/>
      <name val="Arial Narrow"/>
      <family val="2"/>
    </font>
    <font>
      <sz val="8"/>
      <name val="Arial"/>
      <family val="2"/>
    </font>
    <font>
      <sz val="10"/>
      <color rgb="FFFF0000"/>
      <name val="Century Gothic"/>
      <family val="2"/>
    </font>
    <font>
      <b val="true"/>
      <sz val="9"/>
      <name val="Century Gothic"/>
      <family val="2"/>
    </font>
    <font>
      <sz val="11"/>
      <color rgb="FFFF0000"/>
      <name val="Arial"/>
      <family val="2"/>
    </font>
    <font>
      <b val="true"/>
      <sz val="11"/>
      <color rgb="FFFF0000"/>
      <name val="Arial Narrow"/>
      <family val="2"/>
    </font>
    <font>
      <sz val="10"/>
      <name val="Century Gothic"/>
      <family val="2"/>
    </font>
    <font>
      <b val="true"/>
      <sz val="10"/>
      <name val="Arial Narrow"/>
      <family val="2"/>
    </font>
    <font>
      <b val="true"/>
      <sz val="11"/>
      <name val="Arial"/>
      <family val="2"/>
    </font>
    <font>
      <sz val="11"/>
      <name val="Roman 10cpi"/>
      <family val="3"/>
    </font>
    <font>
      <sz val="11"/>
      <name val="Arial"/>
      <family val="2"/>
    </font>
    <font>
      <i val="true"/>
      <sz val="11"/>
      <name val="Courier New"/>
      <family val="3"/>
    </font>
    <font>
      <sz val="34"/>
      <name val="Arial"/>
      <family val="2"/>
    </font>
    <font>
      <b val="true"/>
      <sz val="10"/>
      <color rgb="FFFF0000"/>
      <name val="Arial"/>
      <family val="2"/>
    </font>
    <font>
      <sz val="8"/>
      <name val="Roman 10cpi"/>
      <family val="3"/>
    </font>
    <font>
      <sz val="12"/>
      <color rgb="FFC0C0C0"/>
      <name val="Roman 10cpi"/>
      <family val="3"/>
    </font>
    <font>
      <sz val="9"/>
      <color rgb="FF000000"/>
      <name val="Roman 10cpi"/>
      <family val="3"/>
    </font>
    <font>
      <b val="true"/>
      <sz val="10"/>
      <color rgb="FFFFFF00"/>
      <name val="Roman 10cpi"/>
      <family val="3"/>
    </font>
    <font>
      <b val="true"/>
      <sz val="16"/>
      <name val="Arial Narrow"/>
      <family val="2"/>
    </font>
    <font>
      <b val="true"/>
      <sz val="15"/>
      <name val="Arial"/>
      <family val="2"/>
    </font>
    <font>
      <b val="true"/>
      <i val="true"/>
      <u val="single"/>
      <sz val="10"/>
      <color rgb="FFFF0000"/>
      <name val="Arial"/>
      <family val="2"/>
    </font>
    <font>
      <i val="true"/>
      <sz val="11"/>
      <name val="Monotype Corsiva"/>
      <family val="4"/>
    </font>
    <font>
      <b val="true"/>
      <sz val="13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0"/>
    </font>
    <font>
      <sz val="18"/>
      <name val="Arial Black"/>
      <family val="2"/>
    </font>
    <font>
      <sz val="9"/>
      <name val="Arial"/>
      <family val="2"/>
    </font>
    <font>
      <b val="true"/>
      <u val="single"/>
      <sz val="11"/>
      <name val="Arial"/>
      <family val="2"/>
    </font>
    <font>
      <i val="true"/>
      <sz val="9"/>
      <name val="Arial"/>
      <family val="2"/>
    </font>
    <font>
      <b val="true"/>
      <sz val="10"/>
      <color rgb="FFFFFFFF"/>
      <name val="Arial"/>
      <family val="2"/>
    </font>
    <font>
      <b val="true"/>
      <sz val="9"/>
      <color rgb="FFFFFFFF"/>
      <name val="Arial"/>
      <family val="2"/>
    </font>
    <font>
      <sz val="10"/>
      <color rgb="FFFF0000"/>
      <name val="Arial"/>
      <family val="2"/>
    </font>
    <font>
      <b val="true"/>
      <sz val="9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u val="single"/>
      <sz val="10"/>
      <name val="Arial"/>
      <family val="2"/>
    </font>
    <font>
      <sz val="10"/>
      <color rgb="FF000000"/>
      <name val="Arial"/>
      <family val="2"/>
    </font>
    <font>
      <b val="true"/>
      <sz val="14"/>
      <color rgb="FFFFFF00"/>
      <name val="Arial"/>
      <family val="2"/>
    </font>
    <font>
      <b val="true"/>
      <sz val="11"/>
      <color rgb="FFFFFFFF"/>
      <name val="Arial"/>
      <family val="2"/>
    </font>
    <font>
      <b val="true"/>
      <sz val="14"/>
      <color rgb="FFFFFFFF"/>
      <name val="Calibri"/>
      <family val="2"/>
    </font>
    <font>
      <b val="true"/>
      <sz val="14"/>
      <color rgb="FFFFFFFF"/>
      <name val="Arial"/>
      <family val="2"/>
    </font>
    <font>
      <b val="true"/>
      <sz val="11"/>
      <color rgb="FF000000"/>
      <name val="Calibri"/>
      <family val="2"/>
    </font>
    <font>
      <sz val="11"/>
      <name val="Calibri"/>
      <family val="2"/>
    </font>
    <font>
      <b val="true"/>
      <sz val="12"/>
      <color rgb="FFFFFF00"/>
      <name val="Arial"/>
      <family val="2"/>
    </font>
    <font>
      <sz val="12"/>
      <color rgb="FFFF0000"/>
      <name val="Roman 10cpi"/>
      <family val="3"/>
    </font>
    <font>
      <b val="true"/>
      <sz val="18"/>
      <name val="Arial"/>
      <family val="2"/>
    </font>
    <font>
      <b val="true"/>
      <u val="single"/>
      <sz val="11"/>
      <color rgb="FF000000"/>
      <name val="Arial"/>
      <family val="2"/>
    </font>
    <font>
      <sz val="10"/>
      <name val="Monotype Corsiva"/>
      <family val="4"/>
    </font>
    <font>
      <sz val="11"/>
      <name val="Monotype Corsiva"/>
      <family val="4"/>
    </font>
    <font>
      <b val="true"/>
      <u val="single"/>
      <sz val="12"/>
      <color rgb="FF0066CC"/>
      <name val="Arial"/>
      <family val="2"/>
    </font>
    <font>
      <b val="true"/>
      <sz val="20"/>
      <name val="Roman 10cpi"/>
      <family val="3"/>
    </font>
    <font>
      <b val="true"/>
      <u val="single"/>
      <sz val="10"/>
      <color rgb="FFFF0000"/>
      <name val="Arial"/>
      <family val="2"/>
    </font>
    <font>
      <i val="true"/>
      <sz val="11"/>
      <name val="Arial Narrow"/>
      <family val="2"/>
    </font>
    <font>
      <sz val="12"/>
      <color rgb="FF003300"/>
      <name val="Arial"/>
      <family val="2"/>
    </font>
    <font>
      <b val="true"/>
      <sz val="14"/>
      <name val="Arial"/>
      <family val="2"/>
    </font>
    <font>
      <i val="true"/>
      <sz val="11"/>
      <name val="Arial"/>
      <family val="2"/>
    </font>
    <font>
      <b val="true"/>
      <sz val="16"/>
      <color rgb="FF333399"/>
      <name val="Arial"/>
      <family val="2"/>
    </font>
    <font>
      <sz val="10"/>
      <name val="MS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A9A9A9"/>
      </patternFill>
    </fill>
    <fill>
      <patternFill patternType="solid">
        <fgColor rgb="FF008000"/>
        <bgColor rgb="FF00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/>
      <right/>
      <top style="thin">
        <color rgb="FF33CCCC"/>
      </top>
      <bottom style="thin">
        <color rgb="FF33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 diagonalUp="false" diagonalDown="false">
      <left/>
      <right/>
      <top/>
      <bottom style="thin">
        <color rgb="FF33CCCC"/>
      </bottom>
      <diagonal/>
    </border>
    <border diagonalUp="false" diagonalDown="false">
      <left style="thin">
        <color rgb="FF33CCCC"/>
      </left>
      <right/>
      <top style="thin">
        <color rgb="FF33CCCC"/>
      </top>
      <bottom style="thin">
        <color rgb="FF33CCCC"/>
      </bottom>
      <diagonal/>
    </border>
    <border diagonalUp="false" diagonalDown="false">
      <left style="thin">
        <color rgb="FF33CCCC"/>
      </left>
      <right/>
      <top/>
      <bottom style="thin">
        <color rgb="FF33CCCC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dashDot"/>
      <bottom style="dashDot"/>
      <diagonal/>
    </border>
    <border diagonalUp="false" diagonalDown="false">
      <left/>
      <right/>
      <top style="dashDot"/>
      <bottom style="dashDot"/>
      <diagonal/>
    </border>
    <border diagonalUp="false" diagonalDown="false">
      <left/>
      <right/>
      <top style="dashDot"/>
      <bottom/>
      <diagonal/>
    </border>
    <border diagonalUp="false" diagonalDown="false">
      <left/>
      <right/>
      <top/>
      <bottom style="dashDot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6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6" xfId="23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3" fillId="0" borderId="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8" fontId="13" fillId="6" borderId="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0" fontId="0" fillId="6" borderId="5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3" fillId="0" borderId="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0" fontId="5" fillId="6" borderId="5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6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13" fillId="6" borderId="7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1" fontId="13" fillId="6" borderId="7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2" fontId="13" fillId="6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3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5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3" fillId="0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0" fontId="5" fillId="0" borderId="5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6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1" fontId="13" fillId="6" borderId="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2" fontId="13" fillId="6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6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6" borderId="8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8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6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6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6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6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2" fontId="13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5" fontId="13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0" fontId="5" fillId="6" borderId="8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6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6" fontId="0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8" fillId="6" borderId="1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12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13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0" xfId="2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8" fillId="6" borderId="14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15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4" fontId="19" fillId="6" borderId="15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0" xfId="2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7" fontId="19" fillId="6" borderId="15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6" borderId="16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1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6" borderId="18" xfId="2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2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21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21" fillId="6" borderId="0" xfId="2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1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22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6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4" fontId="27" fillId="6" borderId="0" xfId="26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8" fillId="6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0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1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21" fillId="6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2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7" fillId="6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21" fillId="6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3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3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0" xfId="2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30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0" fontId="5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6" borderId="0" xfId="26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81" fontId="32" fillId="2" borderId="0" xfId="2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2" fontId="35" fillId="6" borderId="0" xfId="2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6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0" fontId="37" fillId="6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8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9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6" borderId="0" xfId="26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9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3" fontId="5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0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1" fillId="2" borderId="0" xfId="26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6" fillId="2" borderId="0" xfId="26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5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2" fillId="6" borderId="0" xfId="26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3" fillId="2" borderId="0" xfId="26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13" fillId="2" borderId="0" xfId="26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43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9" fontId="27" fillId="6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6" borderId="0" xfId="26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2" borderId="0" xfId="26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6" fillId="2" borderId="0" xfId="26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42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4" fontId="44" fillId="6" borderId="0" xfId="26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41" fillId="2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2" fillId="2" borderId="0" xfId="26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26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4" fontId="45" fillId="6" borderId="0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27" fillId="6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7" fillId="6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6" borderId="0" xfId="26" applyFont="true" applyBorder="false" applyAlignment="true" applyProtection="true">
      <alignment horizontal="right" vertical="top" textRotation="0" wrapText="false" indent="0" shrinkToFit="false"/>
      <protection locked="false" hidden="false"/>
    </xf>
    <xf numFmtId="164" fontId="4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5" fontId="6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6" fillId="2" borderId="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6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13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7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8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8" fillId="6" borderId="15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9" fillId="2" borderId="0" xfId="2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4" fontId="50" fillId="6" borderId="15" xfId="2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2" fillId="2" borderId="0" xfId="2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4" fontId="50" fillId="6" borderId="15" xfId="26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7" fontId="50" fillId="6" borderId="15" xfId="2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0" fillId="6" borderId="15" xfId="2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0" fillId="6" borderId="0" xfId="26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6" borderId="15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6" borderId="18" xfId="2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21" fillId="6" borderId="0" xfId="2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2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1" fillId="6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6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7" fillId="6" borderId="0" xfId="2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3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1" fillId="6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54" fillId="6" borderId="0" xfId="26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55" fillId="6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6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56" fillId="6" borderId="0" xfId="26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0" fillId="6" borderId="0" xfId="26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4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43" fillId="6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9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5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9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9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2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0" fillId="8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4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5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2" fillId="7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5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6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5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6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6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6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6" fillId="6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6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6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9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9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2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56" fillId="8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8" borderId="6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86" fontId="0" fillId="8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8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8" borderId="16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8" fillId="8" borderId="18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86" fontId="0" fillId="8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8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0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8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5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68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8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68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68" fillId="8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8" fillId="8" borderId="6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7" fontId="5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7" fontId="62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8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8" fillId="8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5" fillId="8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5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68" fillId="8" borderId="6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8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6" fontId="5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6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6" fontId="5" fillId="8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8" borderId="20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0" fillId="8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8" fillId="8" borderId="2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87" fontId="5" fillId="8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8" fillId="8" borderId="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87" fontId="5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5" fillId="8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8" fillId="8" borderId="23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5" fillId="8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8" fillId="8" borderId="3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5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7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1" fillId="7" borderId="6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6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2" borderId="0" xfId="26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6" fillId="2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9" fillId="2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9" fontId="50" fillId="6" borderId="15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50" fillId="6" borderId="18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8" fontId="22" fillId="6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7" fillId="6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7" fillId="6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8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9" fontId="21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6" fontId="21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8" fillId="6" borderId="0" xfId="26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43" fillId="6" borderId="0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1" fillId="6" borderId="0" xfId="2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6" fontId="27" fillId="6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9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0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4" fillId="6" borderId="0" xfId="26" applyFont="true" applyBorder="false" applyAlignment="true" applyProtection="true">
      <alignment horizontal="general" vertical="top" textRotation="0" wrapText="true" indent="0" shrinkToFit="true"/>
      <protection locked="true" hidden="false"/>
    </xf>
    <xf numFmtId="164" fontId="42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7" fillId="6" borderId="0" xfId="26" applyFont="true" applyBorder="true" applyAlignment="true" applyProtection="true">
      <alignment horizontal="general" vertical="bottom" textRotation="0" wrapText="true" indent="0" shrinkToFit="true"/>
      <protection locked="true" hidden="false"/>
    </xf>
    <xf numFmtId="164" fontId="55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7" fillId="6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27" fillId="6" borderId="0" xfId="26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6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1" fillId="6" borderId="0" xfId="2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21" fillId="6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2" fillId="6" borderId="0" xfId="26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3" fillId="6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4" fontId="56" fillId="6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6" borderId="0" xfId="2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0" fontId="37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6" borderId="0" xfId="26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33" fillId="6" borderId="0" xfId="26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4" fillId="6" borderId="0" xfId="26" applyFont="true" applyBorder="true" applyAlignment="true" applyProtection="true">
      <alignment horizontal="left" vertical="top" textRotation="0" wrapText="true" indent="0" shrinkToFit="true"/>
      <protection locked="true" hidden="false"/>
    </xf>
    <xf numFmtId="174" fontId="56" fillId="6" borderId="0" xfId="26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6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5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6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6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6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7" fillId="6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4" fontId="1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9" fillId="0" borderId="0" xfId="27" applyFont="true" applyBorder="false" applyAlignment="true" applyProtection="true">
      <alignment horizontal="fill" vertical="bottom" textRotation="0" wrapText="false" indent="0" shrinkToFit="false"/>
      <protection locked="true" hidden="false"/>
    </xf>
    <xf numFmtId="164" fontId="1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4" fontId="19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4" fontId="19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5" fontId="1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94" fontId="19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9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94" fontId="8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4" fontId="1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9" fillId="0" borderId="0" xfId="27" applyFont="true" applyBorder="false" applyAlignment="true" applyProtection="true">
      <alignment horizontal="fill" vertical="bottom" textRotation="0" wrapText="false" indent="0" shrinkToFit="false"/>
      <protection locked="true" hidden="false"/>
    </xf>
    <xf numFmtId="194" fontId="19" fillId="0" borderId="0" xfId="27" applyFont="true" applyBorder="false" applyAlignment="true" applyProtection="true">
      <alignment horizontal="fill" vertical="bottom" textRotation="0" wrapText="false" indent="0" shrinkToFit="false"/>
      <protection locked="true" hidden="false"/>
    </xf>
    <xf numFmtId="184" fontId="8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94" fontId="89" fillId="3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4" fontId="89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6" fontId="19" fillId="0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9" fillId="3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94" fontId="89" fillId="6" borderId="0" xfId="27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_Advis DebetKredit Notaris Gatot" xfId="20"/>
    <cellStyle name="Comma_Advis DebetKredit Notaris Gatot" xfId="21"/>
    <cellStyle name="Currency [0]_Advis DebetKredit Notaris Gatot" xfId="22"/>
    <cellStyle name="Normal 2" xfId="23"/>
    <cellStyle name="Normal 3" xfId="24"/>
    <cellStyle name="Normal_Advis DebetKredit 1" xfId="25"/>
    <cellStyle name="Normal_Advis DebetKredit Notaris Gatot" xfId="26"/>
    <cellStyle name="Normal_PENSIUN" xfId="27"/>
    <cellStyle name="Normal_Tabel Pencadangan Agustus 2013" xfId="28"/>
  </cellStyles>
  <dxfs count="15">
    <dxf>
      <font>
        <name val="Arial"/>
        <family val="0"/>
        <color rgb="00FFFFFF"/>
      </font>
      <fill>
        <patternFill>
          <bgColor rgb="FFFF99CC"/>
        </patternFill>
      </fill>
    </dxf>
    <dxf>
      <font>
        <name val="Arial"/>
        <family val="0"/>
        <color rgb="00FFFFFF"/>
      </font>
      <fill>
        <patternFill>
          <bgColor rgb="FF333399"/>
        </patternFill>
      </fill>
    </dxf>
    <dxf>
      <font>
        <name val="Arial"/>
        <family val="0"/>
        <color rgb="00FFFFFF"/>
      </font>
      <fill>
        <patternFill>
          <bgColor rgb="FF99CCFF"/>
        </patternFill>
      </fill>
    </dxf>
    <dxf>
      <font>
        <name val="Arial"/>
        <family val="0"/>
        <color rgb="00FFFFFF"/>
      </font>
      <fill>
        <patternFill>
          <bgColor rgb="FF0066CC"/>
        </patternFill>
      </fill>
    </dxf>
    <dxf>
      <font>
        <name val="Arial"/>
        <family val="0"/>
        <color rgb="00FFFFFF"/>
      </font>
      <fill>
        <patternFill>
          <bgColor rgb="FF008000"/>
        </patternFill>
      </fill>
    </dxf>
    <dxf>
      <font>
        <name val="Arial"/>
        <family val="0"/>
        <color rgb="00FFFFFF"/>
      </font>
      <fill>
        <patternFill>
          <bgColor rgb="FF008000"/>
        </patternFill>
      </fill>
    </dxf>
    <dxf>
      <font>
        <name val="Arial"/>
        <family val="0"/>
        <color rgb="00FFFFFF"/>
      </font>
      <fill>
        <patternFill>
          <bgColor rgb="FF00CCFF"/>
        </patternFill>
      </fill>
    </dxf>
    <dxf>
      <font>
        <name val="Arial"/>
        <family val="0"/>
        <color rgb="00FFFFFF"/>
      </font>
      <fill>
        <patternFill>
          <bgColor rgb="FF00CCFF"/>
        </patternFill>
      </fill>
    </dxf>
    <dxf>
      <font>
        <name val="Arial"/>
        <family val="0"/>
        <b val="1"/>
        <i val="0"/>
        <color rgb="00FFFFFF"/>
      </font>
      <fill>
        <patternFill>
          <bgColor rgb="FF008000"/>
        </patternFill>
      </fill>
    </dxf>
    <dxf>
      <font>
        <name val="Arial"/>
        <family val="0"/>
        <color rgb="00FFFFFF"/>
      </font>
      <fill>
        <patternFill>
          <bgColor rgb="FF0066CC"/>
        </patternFill>
      </fill>
    </dxf>
    <dxf>
      <font>
        <name val="Arial"/>
        <family val="0"/>
        <b val="1"/>
        <i val="0"/>
        <color rgb="FFFFFFFF"/>
      </font>
      <fill>
        <patternFill>
          <bgColor rgb="FFFF0000"/>
        </patternFill>
      </fill>
    </dxf>
    <dxf>
      <font>
        <name val="Arial"/>
        <family val="0"/>
        <color rgb="00FFFFFF"/>
      </font>
      <fill>
        <patternFill>
          <bgColor rgb="FF008000"/>
        </patternFill>
      </fill>
    </dxf>
    <dxf>
      <font>
        <name val="Arial"/>
        <family val="0"/>
        <color rgb="00FFFFFF"/>
      </font>
      <fill>
        <patternFill>
          <bgColor rgb="FFFFFF00"/>
        </patternFill>
      </fill>
    </dxf>
    <dxf>
      <font>
        <name val="Arial"/>
        <family val="0"/>
        <b val="1"/>
        <i val="0"/>
        <color rgb="FF008000"/>
      </font>
    </dxf>
    <dxf>
      <font>
        <name val="Arial"/>
        <family val="0"/>
        <b val="1"/>
        <i val="0"/>
        <color rgb="FFFFFFFF"/>
      </font>
      <fill>
        <patternFill>
          <bgColor rgb="FF0066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externalLink" Target="externalLinks/externalLink1.xml"/><Relationship Id="rId23" Type="http://schemas.openxmlformats.org/officeDocument/2006/relationships/externalLink" Target="externalLinks/externalLink2.xml"/><Relationship Id="rId24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9720</xdr:colOff>
      <xdr:row>0</xdr:row>
      <xdr:rowOff>304200</xdr:rowOff>
    </xdr:from>
    <xdr:to>
      <xdr:col>0</xdr:col>
      <xdr:colOff>381600</xdr:colOff>
      <xdr:row>0</xdr:row>
      <xdr:rowOff>628200</xdr:rowOff>
    </xdr:to>
    <xdr:sp>
      <xdr:nvSpPr>
        <xdr:cNvPr id="0" name="AutoShape 1"/>
        <xdr:cNvSpPr/>
      </xdr:nvSpPr>
      <xdr:spPr>
        <a:xfrm rot="5400000">
          <a:off x="33480" y="280080"/>
          <a:ext cx="324000" cy="371880"/>
        </a:xfrm>
        <a:prstGeom prst="rightArrow">
          <a:avLst>
            <a:gd name="adj1" fmla="val 35139"/>
            <a:gd name="adj2" fmla="val 23532"/>
          </a:avLst>
        </a:prstGeom>
        <a:solidFill>
          <a:srgbClr val="00ff00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252000</xdr:colOff>
      <xdr:row>0</xdr:row>
      <xdr:rowOff>304200</xdr:rowOff>
    </xdr:from>
    <xdr:to>
      <xdr:col>3</xdr:col>
      <xdr:colOff>625680</xdr:colOff>
      <xdr:row>0</xdr:row>
      <xdr:rowOff>628200</xdr:rowOff>
    </xdr:to>
    <xdr:sp>
      <xdr:nvSpPr>
        <xdr:cNvPr id="1" name="AutoShape 2"/>
        <xdr:cNvSpPr/>
      </xdr:nvSpPr>
      <xdr:spPr>
        <a:xfrm rot="5400000">
          <a:off x="1453320" y="279000"/>
          <a:ext cx="324000" cy="373680"/>
        </a:xfrm>
        <a:prstGeom prst="rightArrow">
          <a:avLst>
            <a:gd name="adj1" fmla="val 35139"/>
            <a:gd name="adj2" fmla="val 23532"/>
          </a:avLst>
        </a:prstGeom>
        <a:solidFill>
          <a:srgbClr val="0000ff"/>
        </a:solidFill>
        <a:ln w="9360">
          <a:solidFill>
            <a:srgbClr val="00008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553320</xdr:colOff>
      <xdr:row>0</xdr:row>
      <xdr:rowOff>294120</xdr:rowOff>
    </xdr:from>
    <xdr:to>
      <xdr:col>4</xdr:col>
      <xdr:colOff>928080</xdr:colOff>
      <xdr:row>0</xdr:row>
      <xdr:rowOff>618120</xdr:rowOff>
    </xdr:to>
    <xdr:sp>
      <xdr:nvSpPr>
        <xdr:cNvPr id="2" name="AutoShape 3"/>
        <xdr:cNvSpPr/>
      </xdr:nvSpPr>
      <xdr:spPr>
        <a:xfrm rot="5400000">
          <a:off x="2620800" y="268560"/>
          <a:ext cx="324000" cy="374760"/>
        </a:xfrm>
        <a:prstGeom prst="rightArrow">
          <a:avLst>
            <a:gd name="adj1" fmla="val 35139"/>
            <a:gd name="adj2" fmla="val 23532"/>
          </a:avLst>
        </a:prstGeom>
        <a:solidFill>
          <a:srgbClr val="0000ff"/>
        </a:solidFill>
        <a:ln w="9360">
          <a:solidFill>
            <a:srgbClr val="00008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191160</xdr:colOff>
      <xdr:row>0</xdr:row>
      <xdr:rowOff>286560</xdr:rowOff>
    </xdr:from>
    <xdr:to>
      <xdr:col>9</xdr:col>
      <xdr:colOff>563760</xdr:colOff>
      <xdr:row>0</xdr:row>
      <xdr:rowOff>610920</xdr:rowOff>
    </xdr:to>
    <xdr:sp>
      <xdr:nvSpPr>
        <xdr:cNvPr id="3" name="AutoShape 4"/>
        <xdr:cNvSpPr/>
      </xdr:nvSpPr>
      <xdr:spPr>
        <a:xfrm rot="5400000">
          <a:off x="3726720" y="262080"/>
          <a:ext cx="324360" cy="372600"/>
        </a:xfrm>
        <a:prstGeom prst="rightArrow">
          <a:avLst>
            <a:gd name="adj1" fmla="val 35139"/>
            <a:gd name="adj2" fmla="val 23532"/>
          </a:avLst>
        </a:prstGeom>
        <a:solidFill>
          <a:srgbClr val="0000ff"/>
        </a:solidFill>
        <a:ln w="9360">
          <a:solidFill>
            <a:srgbClr val="00008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170640</xdr:colOff>
      <xdr:row>0</xdr:row>
      <xdr:rowOff>314280</xdr:rowOff>
    </xdr:from>
    <xdr:to>
      <xdr:col>2</xdr:col>
      <xdr:colOff>543960</xdr:colOff>
      <xdr:row>0</xdr:row>
      <xdr:rowOff>638280</xdr:rowOff>
    </xdr:to>
    <xdr:sp>
      <xdr:nvSpPr>
        <xdr:cNvPr id="4" name="AutoShape 6"/>
        <xdr:cNvSpPr/>
      </xdr:nvSpPr>
      <xdr:spPr>
        <a:xfrm rot="5400000">
          <a:off x="586800" y="289440"/>
          <a:ext cx="324000" cy="373320"/>
        </a:xfrm>
        <a:prstGeom prst="rightArrow">
          <a:avLst>
            <a:gd name="adj1" fmla="val 35139"/>
            <a:gd name="adj2" fmla="val 23532"/>
          </a:avLst>
        </a:prstGeom>
        <a:solidFill>
          <a:srgbClr val="0000ff"/>
        </a:solidFill>
        <a:ln w="9360">
          <a:solidFill>
            <a:srgbClr val="00008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100440</xdr:colOff>
      <xdr:row>33</xdr:row>
      <xdr:rowOff>190440</xdr:rowOff>
    </xdr:from>
    <xdr:to>
      <xdr:col>5</xdr:col>
      <xdr:colOff>1664280</xdr:colOff>
      <xdr:row>58</xdr:row>
      <xdr:rowOff>171000</xdr:rowOff>
    </xdr:to>
    <xdr:pic>
      <xdr:nvPicPr>
        <xdr:cNvPr id="5" name="Picture 4" descr=""/>
        <xdr:cNvPicPr/>
      </xdr:nvPicPr>
      <xdr:blipFill>
        <a:blip r:embed="rId1"/>
        <a:stretch/>
      </xdr:blipFill>
      <xdr:spPr>
        <a:xfrm>
          <a:off x="100440" y="6705720"/>
          <a:ext cx="5959800" cy="498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1711080</xdr:colOff>
      <xdr:row>33</xdr:row>
      <xdr:rowOff>190440</xdr:rowOff>
    </xdr:from>
    <xdr:to>
      <xdr:col>13</xdr:col>
      <xdr:colOff>191880</xdr:colOff>
      <xdr:row>58</xdr:row>
      <xdr:rowOff>161640</xdr:rowOff>
    </xdr:to>
    <xdr:pic>
      <xdr:nvPicPr>
        <xdr:cNvPr id="6" name="Picture 5" descr=""/>
        <xdr:cNvPicPr/>
      </xdr:nvPicPr>
      <xdr:blipFill>
        <a:blip r:embed="rId2"/>
        <a:stretch/>
      </xdr:blipFill>
      <xdr:spPr>
        <a:xfrm>
          <a:off x="6107040" y="6705720"/>
          <a:ext cx="6801840" cy="497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704160</xdr:colOff>
      <xdr:row>20</xdr:row>
      <xdr:rowOff>0</xdr:rowOff>
    </xdr:from>
    <xdr:to>
      <xdr:col>4</xdr:col>
      <xdr:colOff>716040</xdr:colOff>
      <xdr:row>23</xdr:row>
      <xdr:rowOff>9360</xdr:rowOff>
    </xdr:to>
    <xdr:sp>
      <xdr:nvSpPr>
        <xdr:cNvPr id="7" name="Straight Connector 13"/>
        <xdr:cNvSpPr/>
      </xdr:nvSpPr>
      <xdr:spPr>
        <a:xfrm flipH="1">
          <a:off x="3771720" y="3848040"/>
          <a:ext cx="11880" cy="102852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875880</xdr:colOff>
      <xdr:row>20</xdr:row>
      <xdr:rowOff>0</xdr:rowOff>
    </xdr:from>
    <xdr:to>
      <xdr:col>4</xdr:col>
      <xdr:colOff>887400</xdr:colOff>
      <xdr:row>23</xdr:row>
      <xdr:rowOff>9360</xdr:rowOff>
    </xdr:to>
    <xdr:sp>
      <xdr:nvSpPr>
        <xdr:cNvPr id="8" name="Straight Connector 14"/>
        <xdr:cNvSpPr/>
      </xdr:nvSpPr>
      <xdr:spPr>
        <a:xfrm flipH="1">
          <a:off x="3943440" y="3848040"/>
          <a:ext cx="11520" cy="102852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110880</xdr:colOff>
      <xdr:row>5</xdr:row>
      <xdr:rowOff>152640</xdr:rowOff>
    </xdr:from>
    <xdr:to>
      <xdr:col>6</xdr:col>
      <xdr:colOff>686520</xdr:colOff>
      <xdr:row>8</xdr:row>
      <xdr:rowOff>66240</xdr:rowOff>
    </xdr:to>
    <xdr:sp>
      <xdr:nvSpPr>
        <xdr:cNvPr id="9" name="AutoShape 141"/>
        <xdr:cNvSpPr/>
      </xdr:nvSpPr>
      <xdr:spPr>
        <a:xfrm>
          <a:off x="6782040" y="866880"/>
          <a:ext cx="575640" cy="399600"/>
        </a:xfrm>
        <a:prstGeom prst="wedgeRoundRectCallout">
          <a:avLst>
            <a:gd name="adj1" fmla="val -51754"/>
            <a:gd name="adj2" fmla="val 94444"/>
            <a:gd name="adj3" fmla="val 16667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1000" strike="noStrike" u="none">
              <a:solidFill>
                <a:srgbClr val="000000"/>
              </a:solidFill>
              <a:effectLst/>
              <a:uFillTx/>
              <a:latin typeface="Arial"/>
            </a:rPr>
            <a:t>Pilih Kotran</a:t>
          </a:r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694080</xdr:colOff>
      <xdr:row>18</xdr:row>
      <xdr:rowOff>114480</xdr:rowOff>
    </xdr:from>
    <xdr:to>
      <xdr:col>4</xdr:col>
      <xdr:colOff>695520</xdr:colOff>
      <xdr:row>23</xdr:row>
      <xdr:rowOff>46440</xdr:rowOff>
    </xdr:to>
    <xdr:sp>
      <xdr:nvSpPr>
        <xdr:cNvPr id="10" name="Line 142"/>
        <xdr:cNvSpPr/>
      </xdr:nvSpPr>
      <xdr:spPr>
        <a:xfrm>
          <a:off x="3993480" y="3857760"/>
          <a:ext cx="1440" cy="101772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855000</xdr:colOff>
      <xdr:row>18</xdr:row>
      <xdr:rowOff>114480</xdr:rowOff>
    </xdr:from>
    <xdr:to>
      <xdr:col>4</xdr:col>
      <xdr:colOff>856440</xdr:colOff>
      <xdr:row>23</xdr:row>
      <xdr:rowOff>46440</xdr:rowOff>
    </xdr:to>
    <xdr:sp>
      <xdr:nvSpPr>
        <xdr:cNvPr id="11" name="Line 145"/>
        <xdr:cNvSpPr/>
      </xdr:nvSpPr>
      <xdr:spPr>
        <a:xfrm>
          <a:off x="4154400" y="3857760"/>
          <a:ext cx="1440" cy="101772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845640</xdr:colOff>
      <xdr:row>0</xdr:row>
      <xdr:rowOff>9360</xdr:rowOff>
    </xdr:from>
    <xdr:to>
      <xdr:col>9</xdr:col>
      <xdr:colOff>866520</xdr:colOff>
      <xdr:row>4</xdr:row>
      <xdr:rowOff>161640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5281920" y="9360"/>
          <a:ext cx="3471840" cy="799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1661400</xdr:colOff>
      <xdr:row>0</xdr:row>
      <xdr:rowOff>19080</xdr:rowOff>
    </xdr:from>
    <xdr:to>
      <xdr:col>8</xdr:col>
      <xdr:colOff>1198800</xdr:colOff>
      <xdr:row>3</xdr:row>
      <xdr:rowOff>400320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4780440" y="19080"/>
          <a:ext cx="2979720" cy="8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1661400</xdr:colOff>
      <xdr:row>0</xdr:row>
      <xdr:rowOff>19080</xdr:rowOff>
    </xdr:from>
    <xdr:to>
      <xdr:col>8</xdr:col>
      <xdr:colOff>1198800</xdr:colOff>
      <xdr:row>3</xdr:row>
      <xdr:rowOff>400320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4780440" y="19080"/>
          <a:ext cx="2979720" cy="86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1670040</xdr:colOff>
      <xdr:row>0</xdr:row>
      <xdr:rowOff>28440</xdr:rowOff>
    </xdr:from>
    <xdr:to>
      <xdr:col>8</xdr:col>
      <xdr:colOff>1208160</xdr:colOff>
      <xdr:row>3</xdr:row>
      <xdr:rowOff>105120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5212080" y="28440"/>
          <a:ext cx="2688480" cy="56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170280</xdr:colOff>
      <xdr:row>24</xdr:row>
      <xdr:rowOff>181440</xdr:rowOff>
    </xdr:from>
    <xdr:to>
      <xdr:col>2</xdr:col>
      <xdr:colOff>486360</xdr:colOff>
      <xdr:row>26</xdr:row>
      <xdr:rowOff>152280</xdr:rowOff>
    </xdr:to>
    <xdr:sp>
      <xdr:nvSpPr>
        <xdr:cNvPr id="16" name="WordArt 13"/>
        <xdr:cNvSpPr txBox="1"/>
      </xdr:nvSpPr>
      <xdr:spPr>
        <a:xfrm>
          <a:off x="793080" y="5505840"/>
          <a:ext cx="316080" cy="380520"/>
        </a:xfrm>
        <a:prstGeom prst="rect">
          <a:avLst/>
        </a:prstGeom>
      </xdr:spPr>
      <xdr:txBody>
        <a:bodyPr wrap="none" lIns="90000" rIns="90000" tIns="46800" bIns="46800" anchor="t">
          <a:prstTxWarp prst="textPlain">
            <a:avLst>
              <a:gd name="adj" fmla="val 50000"/>
            </a:avLst>
          </a:prstTxWarp>
          <a:noAutofit/>
        </a:bodyPr>
        <a:p>
          <a:pPr/>
          <a:r>
            <a:rPr b="0" lang="en-US" sz="1200" spc="3" strike="sngStrike" u="sng">
              <a:ln w="9360">
                <a:solidFill>
                  <a:srgbClr val="000000"/>
                </a:solidFill>
                <a:miter/>
              </a:ln>
              <a:solidFill>
                <a:srgbClr val="000000"/>
              </a:solidFill>
              <a:uFillTx/>
              <a:latin typeface="Arial Black"/>
            </a:rPr>
            <a:t>K</a:t>
          </a:r>
          <a:endParaRPr b="0" lang="en-US" sz="1200" spc="3" strike="sngStrike" u="sng">
            <a:ln w="9360">
              <a:solidFill>
                <a:srgbClr val="000000"/>
              </a:solidFill>
              <a:miter/>
            </a:ln>
            <a:solidFill>
              <a:srgbClr val="000000"/>
            </a:solidFill>
            <a:uFillTx/>
            <a:latin typeface="Arial Black"/>
            <a:ea typeface="Arial Black"/>
          </a:endParaRPr>
        </a:p>
      </xdr:txBody>
    </xdr:sp>
    <xdr:clientData/>
  </xdr:twoCellAnchor>
  <xdr:twoCellAnchor editAs="oneCell">
    <xdr:from>
      <xdr:col>6</xdr:col>
      <xdr:colOff>442080</xdr:colOff>
      <xdr:row>8</xdr:row>
      <xdr:rowOff>408960</xdr:rowOff>
    </xdr:from>
    <xdr:to>
      <xdr:col>6</xdr:col>
      <xdr:colOff>756000</xdr:colOff>
      <xdr:row>10</xdr:row>
      <xdr:rowOff>47880</xdr:rowOff>
    </xdr:to>
    <xdr:sp>
      <xdr:nvSpPr>
        <xdr:cNvPr id="17" name="WordArt 13"/>
        <xdr:cNvSpPr txBox="1"/>
      </xdr:nvSpPr>
      <xdr:spPr>
        <a:xfrm>
          <a:off x="6036480" y="1837800"/>
          <a:ext cx="313920" cy="381960"/>
        </a:xfrm>
        <a:prstGeom prst="rect">
          <a:avLst/>
        </a:prstGeom>
      </xdr:spPr>
      <xdr:txBody>
        <a:bodyPr wrap="none" lIns="90000" rIns="90000" tIns="46800" bIns="46800" anchor="t">
          <a:prstTxWarp prst="textPlain">
            <a:avLst>
              <a:gd name="adj" fmla="val 50000"/>
            </a:avLst>
          </a:prstTxWarp>
          <a:noAutofit/>
        </a:bodyPr>
        <a:p>
          <a:pPr/>
          <a:r>
            <a:rPr b="0" lang="en-US" sz="1200" spc="3" strike="sngStrike" u="sng">
              <a:ln w="9360">
                <a:solidFill>
                  <a:srgbClr val="000000"/>
                </a:solidFill>
                <a:miter/>
              </a:ln>
              <a:solidFill>
                <a:srgbClr val="000000"/>
              </a:solidFill>
              <a:uFillTx/>
              <a:latin typeface="Arial Black"/>
            </a:rPr>
            <a:t>D</a:t>
          </a:r>
          <a:endParaRPr b="0" lang="en-US" sz="1200" spc="3" strike="sngStrike" u="sng">
            <a:ln w="9360">
              <a:solidFill>
                <a:srgbClr val="000000"/>
              </a:solidFill>
              <a:miter/>
            </a:ln>
            <a:solidFill>
              <a:srgbClr val="000000"/>
            </a:solidFill>
            <a:uFillTx/>
            <a:latin typeface="Arial Black"/>
            <a:ea typeface="Arial Black"/>
          </a:endParaRPr>
        </a:p>
      </xdr:txBody>
    </xdr:sp>
    <xdr:clientData/>
  </xdr:twoCellAnchor>
  <xdr:twoCellAnchor editAs="oneCell">
    <xdr:from>
      <xdr:col>7</xdr:col>
      <xdr:colOff>530640</xdr:colOff>
      <xdr:row>17</xdr:row>
      <xdr:rowOff>105120</xdr:rowOff>
    </xdr:from>
    <xdr:to>
      <xdr:col>7</xdr:col>
      <xdr:colOff>1283040</xdr:colOff>
      <xdr:row>17</xdr:row>
      <xdr:rowOff>246960</xdr:rowOff>
    </xdr:to>
    <xdr:grpSp>
      <xdr:nvGrpSpPr>
        <xdr:cNvPr id="18" name="Group 10"/>
        <xdr:cNvGrpSpPr/>
      </xdr:nvGrpSpPr>
      <xdr:grpSpPr>
        <a:xfrm>
          <a:off x="7466760" y="3686040"/>
          <a:ext cx="141840" cy="752400"/>
          <a:chOff x="7466760" y="3686040"/>
          <a:chExt cx="141840" cy="752400"/>
        </a:xfrm>
      </xdr:grpSpPr>
      <xdr:sp>
        <xdr:nvSpPr>
          <xdr:cNvPr id="19" name="Straight Connector 8"/>
          <xdr:cNvSpPr/>
        </xdr:nvSpPr>
        <xdr:spPr>
          <a:xfrm flipH="1">
            <a:off x="7466760" y="3686040"/>
            <a:ext cx="10080" cy="752400"/>
          </a:xfrm>
          <a:prstGeom prst="line">
            <a:avLst/>
          </a:prstGeom>
          <a:ln w="223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0" name="Straight Connector 9"/>
          <xdr:cNvSpPr/>
        </xdr:nvSpPr>
        <xdr:spPr>
          <a:xfrm flipH="1">
            <a:off x="7598520" y="3686040"/>
            <a:ext cx="10080" cy="752400"/>
          </a:xfrm>
          <a:prstGeom prst="line">
            <a:avLst/>
          </a:prstGeom>
          <a:ln w="223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180000</xdr:colOff>
      <xdr:row>10</xdr:row>
      <xdr:rowOff>81360</xdr:rowOff>
    </xdr:from>
    <xdr:to>
      <xdr:col>5</xdr:col>
      <xdr:colOff>22320</xdr:colOff>
      <xdr:row>11</xdr:row>
      <xdr:rowOff>165960</xdr:rowOff>
    </xdr:to>
    <xdr:grpSp>
      <xdr:nvGrpSpPr>
        <xdr:cNvPr id="21" name="Group 4"/>
        <xdr:cNvGrpSpPr/>
      </xdr:nvGrpSpPr>
      <xdr:grpSpPr>
        <a:xfrm>
          <a:off x="3681360" y="2238480"/>
          <a:ext cx="303480" cy="1170720"/>
          <a:chOff x="3681360" y="2238480"/>
          <a:chExt cx="303480" cy="1170720"/>
        </a:xfrm>
      </xdr:grpSpPr>
      <xdr:sp>
        <xdr:nvSpPr>
          <xdr:cNvPr id="22" name="Line 4"/>
          <xdr:cNvSpPr/>
        </xdr:nvSpPr>
        <xdr:spPr>
          <a:xfrm flipV="1">
            <a:off x="3681360" y="2438280"/>
            <a:ext cx="303480" cy="475920"/>
          </a:xfrm>
          <a:prstGeom prst="line">
            <a:avLst/>
          </a:prstGeom>
          <a:ln w="1584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3" name="Line 5"/>
          <xdr:cNvSpPr/>
        </xdr:nvSpPr>
        <xdr:spPr>
          <a:xfrm flipV="1">
            <a:off x="3903840" y="2447640"/>
            <a:ext cx="70560" cy="961560"/>
          </a:xfrm>
          <a:prstGeom prst="line">
            <a:avLst/>
          </a:prstGeom>
          <a:ln w="1584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4" name="Line 6"/>
          <xdr:cNvSpPr/>
        </xdr:nvSpPr>
        <xdr:spPr>
          <a:xfrm flipH="1">
            <a:off x="3701160" y="2238480"/>
            <a:ext cx="101160" cy="647280"/>
          </a:xfrm>
          <a:prstGeom prst="line">
            <a:avLst/>
          </a:prstGeom>
          <a:ln w="1584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834840</xdr:colOff>
      <xdr:row>1</xdr:row>
      <xdr:rowOff>57240</xdr:rowOff>
    </xdr:from>
    <xdr:to>
      <xdr:col>6</xdr:col>
      <xdr:colOff>10080</xdr:colOff>
      <xdr:row>2</xdr:row>
      <xdr:rowOff>181080</xdr:rowOff>
    </xdr:to>
    <xdr:pic>
      <xdr:nvPicPr>
        <xdr:cNvPr id="25" name="Picture 1" descr="11"/>
        <xdr:cNvPicPr/>
      </xdr:nvPicPr>
      <xdr:blipFill>
        <a:blip r:embed="rId1"/>
        <a:stretch/>
      </xdr:blipFill>
      <xdr:spPr>
        <a:xfrm>
          <a:off x="3297960" y="285840"/>
          <a:ext cx="1117800" cy="219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129954_mks/d/aksesoris/MASTER%20ADVIS/ADVIS%20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Users/bdsuser/Desktop/DLL/Assecoir%20Kertamukti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_Data"/>
      <sheetName val="AD_Biaya SPK 1"/>
      <sheetName val="AK_Pencairan 2"/>
      <sheetName val="AK_ASS Jiwa CAR 4"/>
      <sheetName val="AK_Notaris 5"/>
      <sheetName val="AK_Ass Kerugian_Kbkrn 6"/>
      <sheetName val="CEKLIS"/>
      <sheetName val="Debet Tab"/>
      <sheetName val="Pelunasan"/>
      <sheetName val="Koreksi Pelunasan"/>
      <sheetName val="Advis USD"/>
      <sheetName val="Rumu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 Data"/>
      <sheetName val="Number Advis"/>
      <sheetName val="Advis ADM, Pencairan &amp; Jiwa"/>
      <sheetName val="Asuransi Kerugian"/>
      <sheetName val="Biaya Notaris"/>
      <sheetName val="Pola Penjaminan"/>
      <sheetName val="12 Bulan"/>
      <sheetName val="18 Bulan"/>
      <sheetName val="24 Bulan"/>
      <sheetName val="30 Bulan"/>
      <sheetName val="36 Bulan"/>
      <sheetName val="Input"/>
      <sheetName val="PA Plus New Rate"/>
      <sheetName val="Rumus"/>
      <sheetName val="Sheet2"/>
      <sheetName val="Sheet1"/>
    </sheetNames>
    <sheetDataSet>
      <sheetData sheetId="0">
        <row r="2">
          <cell r="BC2">
            <v>3177777.77777778</v>
          </cell>
        </row>
      </sheetData>
      <sheetData sheetId="1"/>
      <sheetData sheetId="2">
        <row r="14">
          <cell r="E14">
            <v>1350000</v>
          </cell>
        </row>
        <row r="56">
          <cell r="E56">
            <v>600000</v>
          </cell>
        </row>
      </sheetData>
      <sheetData sheetId="3">
        <row r="15">
          <cell r="E15">
            <v>200000</v>
          </cell>
        </row>
      </sheetData>
      <sheetData sheetId="4">
        <row r="15">
          <cell r="E15">
            <v>350000</v>
          </cell>
        </row>
      </sheetData>
      <sheetData sheetId="5">
        <row r="15">
          <cell r="E15">
            <v>2000000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33CCCC"/>
    <pageSetUpPr fitToPage="false"/>
  </sheetPr>
  <dimension ref="A1:B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" width="5.56"/>
    <col collapsed="false" customWidth="true" hidden="true" outlineLevel="0" max="2" min="2" style="2" width="14.85"/>
    <col collapsed="false" customWidth="true" hidden="false" outlineLevel="0" max="3" min="3" style="2" width="11.13"/>
    <col collapsed="false" customWidth="true" hidden="false" outlineLevel="0" max="4" min="4" style="2" width="12.28"/>
    <col collapsed="false" customWidth="true" hidden="false" outlineLevel="0" max="5" min="5" style="2" width="20.85"/>
    <col collapsed="false" customWidth="true" hidden="true" outlineLevel="0" max="6" min="6" style="2" width="11.56"/>
    <col collapsed="false" customWidth="true" hidden="true" outlineLevel="0" max="7" min="7" style="3" width="11.13"/>
    <col collapsed="false" customWidth="true" hidden="true" outlineLevel="0" max="8" min="8" style="2" width="1.99"/>
    <col collapsed="false" customWidth="true" hidden="true" outlineLevel="0" max="9" min="9" style="2" width="10.41"/>
    <col collapsed="false" customWidth="true" hidden="false" outlineLevel="0" max="10" min="10" style="2" width="10.41"/>
    <col collapsed="false" customWidth="true" hidden="true" outlineLevel="0" max="11" min="11" style="2" width="9.85"/>
    <col collapsed="false" customWidth="true" hidden="true" outlineLevel="0" max="12" min="12" style="2" width="9.28"/>
    <col collapsed="false" customWidth="true" hidden="true" outlineLevel="0" max="13" min="13" style="2" width="4.41"/>
    <col collapsed="false" customWidth="true" hidden="true" outlineLevel="0" max="14" min="14" style="2" width="11.42"/>
    <col collapsed="false" customWidth="true" hidden="true" outlineLevel="0" max="15" min="15" style="2" width="20.28"/>
    <col collapsed="false" customWidth="true" hidden="false" outlineLevel="0" max="16" min="16" style="2" width="43.7"/>
    <col collapsed="false" customWidth="true" hidden="true" outlineLevel="0" max="17" min="17" style="2" width="36.28"/>
    <col collapsed="false" customWidth="true" hidden="true" outlineLevel="0" max="18" min="18" style="2" width="43.7"/>
    <col collapsed="false" customWidth="true" hidden="true" outlineLevel="0" max="25" min="19" style="2" width="11.85"/>
    <col collapsed="false" customWidth="true" hidden="true" outlineLevel="0" max="27" min="26" style="2" width="4.41"/>
    <col collapsed="false" customWidth="true" hidden="true" outlineLevel="0" max="31" min="28" style="2" width="11.85"/>
    <col collapsed="false" customWidth="true" hidden="true" outlineLevel="0" max="34" min="32" style="2" width="10.71"/>
    <col collapsed="false" customWidth="true" hidden="true" outlineLevel="0" max="35" min="35" style="2" width="13.99"/>
    <col collapsed="false" customWidth="true" hidden="true" outlineLevel="0" max="36" min="36" style="2" width="20.41"/>
    <col collapsed="false" customWidth="true" hidden="true" outlineLevel="0" max="37" min="37" style="2" width="10.71"/>
    <col collapsed="false" customWidth="true" hidden="true" outlineLevel="0" max="38" min="38" style="2" width="7.42"/>
    <col collapsed="false" customWidth="false" hidden="true" outlineLevel="0" max="46" min="39" style="2" width="9.14"/>
    <col collapsed="false" customWidth="false" hidden="false" outlineLevel="0" max="257" min="47" style="2" width="9.14"/>
  </cols>
  <sheetData>
    <row r="1" customFormat="false" ht="50.25" hidden="false" customHeight="tru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5</v>
      </c>
      <c r="H1" s="5"/>
      <c r="I1" s="5" t="s">
        <v>6</v>
      </c>
      <c r="J1" s="4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6" t="s">
        <v>13</v>
      </c>
      <c r="Q1" s="5" t="s">
        <v>14</v>
      </c>
      <c r="R1" s="5" t="s">
        <v>12</v>
      </c>
      <c r="S1" s="5" t="s">
        <v>15</v>
      </c>
      <c r="T1" s="5" t="s">
        <v>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10</v>
      </c>
      <c r="AA1" s="5" t="s">
        <v>11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26</v>
      </c>
      <c r="AN1" s="5" t="s">
        <v>27</v>
      </c>
      <c r="AO1" s="5" t="s">
        <v>28</v>
      </c>
      <c r="AP1" s="5" t="s">
        <v>29</v>
      </c>
      <c r="AQ1" s="5" t="s">
        <v>30</v>
      </c>
      <c r="AR1" s="5" t="s">
        <v>31</v>
      </c>
      <c r="AS1" s="7"/>
      <c r="AT1" s="7"/>
    </row>
    <row r="2" customFormat="false" ht="12.75" hidden="false" customHeight="true" outlineLevel="0" collapsed="false">
      <c r="A2" s="8" t="n">
        <v>1</v>
      </c>
      <c r="B2" s="9"/>
      <c r="C2" s="10" t="n">
        <v>1100102173264</v>
      </c>
      <c r="D2" s="10" t="n">
        <v>1100012703994</v>
      </c>
      <c r="E2" s="10" t="s">
        <v>32</v>
      </c>
      <c r="F2" s="11"/>
      <c r="G2" s="12"/>
      <c r="H2" s="13"/>
      <c r="I2" s="12"/>
      <c r="J2" s="14" t="n">
        <v>165000</v>
      </c>
      <c r="K2" s="12"/>
      <c r="L2" s="12"/>
      <c r="M2" s="9"/>
      <c r="N2" s="15"/>
      <c r="O2" s="9"/>
      <c r="P2" s="16"/>
      <c r="Q2" s="12"/>
      <c r="R2" s="17"/>
      <c r="S2" s="17"/>
      <c r="T2" s="17"/>
      <c r="U2" s="17"/>
      <c r="V2" s="18"/>
      <c r="W2" s="18"/>
      <c r="X2" s="18"/>
      <c r="Y2" s="18"/>
      <c r="Z2" s="18"/>
      <c r="AA2" s="18"/>
      <c r="AB2" s="17"/>
      <c r="AC2" s="19"/>
      <c r="AD2" s="17"/>
      <c r="AE2" s="20"/>
      <c r="AF2" s="20"/>
      <c r="AG2" s="20"/>
      <c r="AH2" s="18"/>
      <c r="AI2" s="17"/>
      <c r="AJ2" s="17"/>
      <c r="AK2" s="18"/>
      <c r="AL2" s="18"/>
      <c r="AM2" s="18"/>
      <c r="AN2" s="17"/>
      <c r="AO2" s="17"/>
      <c r="AP2" s="18"/>
      <c r="AQ2" s="17"/>
      <c r="AR2" s="18"/>
      <c r="AS2" s="17"/>
      <c r="AT2" s="17"/>
      <c r="AU2" s="21"/>
      <c r="AV2" s="21"/>
      <c r="AW2" s="21"/>
      <c r="AX2" s="21"/>
      <c r="AY2" s="21"/>
      <c r="AZ2" s="21"/>
      <c r="BA2" s="21"/>
      <c r="BB2" s="21"/>
    </row>
    <row r="3" customFormat="false" ht="12.75" hidden="false" customHeight="true" outlineLevel="0" collapsed="false">
      <c r="A3" s="22" t="n">
        <v>2</v>
      </c>
      <c r="B3" s="23"/>
      <c r="C3" s="24" t="n">
        <v>1100102671721</v>
      </c>
      <c r="D3" s="24" t="n">
        <v>1100019193207</v>
      </c>
      <c r="E3" s="24" t="s">
        <v>33</v>
      </c>
      <c r="F3" s="11"/>
      <c r="G3" s="12"/>
      <c r="H3" s="13"/>
      <c r="I3" s="12"/>
      <c r="J3" s="25" t="n">
        <v>126000</v>
      </c>
      <c r="K3" s="12"/>
      <c r="L3" s="26"/>
      <c r="M3" s="23"/>
      <c r="N3" s="23"/>
      <c r="O3" s="23"/>
      <c r="P3" s="27"/>
      <c r="Q3" s="9"/>
      <c r="R3" s="9" t="s">
        <v>34</v>
      </c>
      <c r="S3" s="9" t="s">
        <v>35</v>
      </c>
      <c r="T3" s="9" t="s">
        <v>36</v>
      </c>
      <c r="U3" s="12" t="n">
        <v>100000000</v>
      </c>
      <c r="V3" s="13"/>
      <c r="W3" s="13"/>
      <c r="X3" s="13"/>
      <c r="Y3" s="13"/>
      <c r="Z3" s="13"/>
      <c r="AA3" s="13"/>
      <c r="AB3" s="28"/>
      <c r="AC3" s="29"/>
      <c r="AD3" s="28"/>
      <c r="AE3" s="30"/>
      <c r="AF3" s="30"/>
      <c r="AG3" s="30"/>
      <c r="AH3" s="13"/>
      <c r="AI3" s="28"/>
      <c r="AJ3" s="28"/>
      <c r="AK3" s="13"/>
      <c r="AL3" s="13"/>
      <c r="AM3" s="13"/>
      <c r="AN3" s="28"/>
      <c r="AO3" s="28"/>
      <c r="AP3" s="13"/>
      <c r="AQ3" s="28"/>
      <c r="AR3" s="13"/>
      <c r="AS3" s="28"/>
      <c r="AT3" s="28"/>
      <c r="AU3" s="21"/>
      <c r="AV3" s="21"/>
      <c r="AW3" s="21"/>
      <c r="AX3" s="21"/>
      <c r="AY3" s="21"/>
      <c r="AZ3" s="21"/>
      <c r="BA3" s="21"/>
      <c r="BB3" s="21"/>
    </row>
    <row r="4" customFormat="false" ht="12.75" hidden="false" customHeight="true" outlineLevel="0" collapsed="false">
      <c r="A4" s="22" t="n">
        <v>3</v>
      </c>
      <c r="B4" s="23"/>
      <c r="C4" s="31" t="n">
        <v>1100102896500</v>
      </c>
      <c r="D4" s="31" t="n">
        <v>1100021522898</v>
      </c>
      <c r="E4" s="31" t="s">
        <v>37</v>
      </c>
      <c r="F4" s="11"/>
      <c r="G4" s="12"/>
      <c r="H4" s="13"/>
      <c r="I4" s="12"/>
      <c r="J4" s="32" t="n">
        <v>157000</v>
      </c>
      <c r="K4" s="12"/>
      <c r="L4" s="26"/>
      <c r="M4" s="23"/>
      <c r="N4" s="23"/>
      <c r="O4" s="23"/>
      <c r="P4" s="16"/>
      <c r="Q4" s="9"/>
      <c r="R4" s="9" t="s">
        <v>38</v>
      </c>
      <c r="S4" s="9" t="s">
        <v>39</v>
      </c>
      <c r="T4" s="9" t="s">
        <v>40</v>
      </c>
      <c r="U4" s="12" t="n">
        <v>100000000</v>
      </c>
      <c r="V4" s="13"/>
      <c r="W4" s="13"/>
      <c r="X4" s="13"/>
      <c r="Y4" s="13"/>
      <c r="Z4" s="13"/>
      <c r="AA4" s="13"/>
      <c r="AB4" s="28"/>
      <c r="AC4" s="29"/>
      <c r="AD4" s="28"/>
      <c r="AE4" s="30"/>
      <c r="AF4" s="30"/>
      <c r="AG4" s="30"/>
      <c r="AH4" s="13"/>
      <c r="AI4" s="28"/>
      <c r="AJ4" s="28"/>
      <c r="AK4" s="13"/>
      <c r="AL4" s="13"/>
      <c r="AM4" s="13"/>
      <c r="AN4" s="28"/>
      <c r="AO4" s="28"/>
      <c r="AP4" s="13"/>
      <c r="AQ4" s="28"/>
      <c r="AR4" s="13"/>
      <c r="AS4" s="28"/>
      <c r="AT4" s="28"/>
      <c r="AU4" s="21"/>
      <c r="AV4" s="21"/>
      <c r="AW4" s="21"/>
      <c r="AX4" s="21"/>
      <c r="AY4" s="21"/>
      <c r="AZ4" s="21"/>
      <c r="BA4" s="21"/>
      <c r="BB4" s="21"/>
    </row>
    <row r="5" customFormat="false" ht="12.75" hidden="false" customHeight="true" outlineLevel="0" collapsed="false">
      <c r="A5" s="22" t="n">
        <v>4</v>
      </c>
      <c r="B5" s="23"/>
      <c r="C5" s="24" t="n">
        <v>1100102897359</v>
      </c>
      <c r="D5" s="24" t="n">
        <v>1100021547606</v>
      </c>
      <c r="E5" s="24" t="s">
        <v>41</v>
      </c>
      <c r="F5" s="11"/>
      <c r="G5" s="12"/>
      <c r="H5" s="13"/>
      <c r="I5" s="12"/>
      <c r="J5" s="25" t="n">
        <v>75000</v>
      </c>
      <c r="K5" s="12"/>
      <c r="L5" s="26"/>
      <c r="M5" s="23"/>
      <c r="N5" s="23"/>
      <c r="O5" s="23"/>
      <c r="P5" s="27"/>
      <c r="Q5" s="9"/>
      <c r="R5" s="9" t="s">
        <v>42</v>
      </c>
      <c r="S5" s="9" t="s">
        <v>43</v>
      </c>
      <c r="T5" s="9" t="s">
        <v>36</v>
      </c>
      <c r="U5" s="12" t="n">
        <v>20000000</v>
      </c>
      <c r="V5" s="13"/>
      <c r="W5" s="13"/>
      <c r="X5" s="13"/>
      <c r="Y5" s="13"/>
      <c r="Z5" s="13"/>
      <c r="AA5" s="13"/>
      <c r="AB5" s="28"/>
      <c r="AC5" s="29"/>
      <c r="AD5" s="28"/>
      <c r="AE5" s="30"/>
      <c r="AF5" s="30"/>
      <c r="AG5" s="30"/>
      <c r="AH5" s="13"/>
      <c r="AI5" s="28"/>
      <c r="AJ5" s="28"/>
      <c r="AK5" s="13"/>
      <c r="AL5" s="13"/>
      <c r="AM5" s="13"/>
      <c r="AN5" s="28"/>
      <c r="AO5" s="28"/>
      <c r="AP5" s="13"/>
      <c r="AQ5" s="28"/>
      <c r="AR5" s="13"/>
      <c r="AS5" s="28"/>
      <c r="AT5" s="28"/>
      <c r="AU5" s="21"/>
      <c r="AV5" s="21"/>
      <c r="AW5" s="21"/>
      <c r="AX5" s="21"/>
      <c r="AY5" s="21"/>
      <c r="AZ5" s="21"/>
      <c r="BA5" s="21"/>
      <c r="BB5" s="21"/>
    </row>
    <row r="6" customFormat="false" ht="12.75" hidden="false" customHeight="true" outlineLevel="0" collapsed="false">
      <c r="A6" s="22" t="n">
        <v>5</v>
      </c>
      <c r="B6" s="23"/>
      <c r="C6" s="10" t="n">
        <v>1100102707756</v>
      </c>
      <c r="D6" s="10" t="n">
        <v>1100019507687</v>
      </c>
      <c r="E6" s="10" t="s">
        <v>44</v>
      </c>
      <c r="F6" s="11"/>
      <c r="G6" s="12"/>
      <c r="H6" s="13"/>
      <c r="I6" s="12"/>
      <c r="J6" s="14" t="n">
        <v>142000</v>
      </c>
      <c r="K6" s="12"/>
      <c r="L6" s="26"/>
      <c r="M6" s="23"/>
      <c r="N6" s="23"/>
      <c r="O6" s="23" t="s">
        <v>45</v>
      </c>
      <c r="P6" s="16"/>
      <c r="Q6" s="9"/>
      <c r="R6" s="9" t="s">
        <v>46</v>
      </c>
      <c r="S6" s="9" t="s">
        <v>47</v>
      </c>
      <c r="T6" s="9" t="s">
        <v>48</v>
      </c>
      <c r="U6" s="12" t="n">
        <v>100000000</v>
      </c>
      <c r="V6" s="13"/>
      <c r="W6" s="13"/>
      <c r="X6" s="13"/>
      <c r="Y6" s="13"/>
      <c r="Z6" s="13"/>
      <c r="AA6" s="13"/>
      <c r="AB6" s="28"/>
      <c r="AC6" s="29"/>
      <c r="AD6" s="28"/>
      <c r="AE6" s="30"/>
      <c r="AF6" s="30"/>
      <c r="AG6" s="30"/>
      <c r="AH6" s="13"/>
      <c r="AI6" s="28"/>
      <c r="AJ6" s="28"/>
      <c r="AK6" s="13"/>
      <c r="AL6" s="13"/>
      <c r="AM6" s="13"/>
      <c r="AN6" s="28"/>
      <c r="AO6" s="28"/>
      <c r="AP6" s="13"/>
      <c r="AQ6" s="28"/>
      <c r="AR6" s="13"/>
      <c r="AS6" s="28"/>
      <c r="AT6" s="28"/>
      <c r="AU6" s="21"/>
      <c r="AV6" s="21"/>
      <c r="AW6" s="21"/>
      <c r="AX6" s="21"/>
      <c r="AY6" s="21"/>
      <c r="AZ6" s="21"/>
      <c r="BA6" s="21"/>
      <c r="BB6" s="21"/>
    </row>
    <row r="7" customFormat="false" ht="12.75" hidden="false" customHeight="true" outlineLevel="0" collapsed="false">
      <c r="A7" s="22" t="n">
        <v>6</v>
      </c>
      <c r="B7" s="23"/>
      <c r="C7" s="24" t="n">
        <v>1100102896641</v>
      </c>
      <c r="D7" s="24" t="n">
        <v>1100021489338</v>
      </c>
      <c r="E7" s="24" t="s">
        <v>49</v>
      </c>
      <c r="F7" s="11"/>
      <c r="G7" s="12"/>
      <c r="H7" s="13"/>
      <c r="I7" s="12"/>
      <c r="J7" s="25" t="n">
        <v>74000</v>
      </c>
      <c r="K7" s="12"/>
      <c r="L7" s="26"/>
      <c r="M7" s="23"/>
      <c r="N7" s="23"/>
      <c r="O7" s="23"/>
      <c r="P7" s="23"/>
      <c r="Q7" s="9"/>
      <c r="R7" s="9" t="s">
        <v>50</v>
      </c>
      <c r="S7" s="9" t="s">
        <v>47</v>
      </c>
      <c r="T7" s="9" t="s">
        <v>36</v>
      </c>
      <c r="U7" s="12" t="n">
        <v>70000000</v>
      </c>
      <c r="V7" s="13"/>
      <c r="W7" s="13"/>
      <c r="X7" s="13"/>
      <c r="Y7" s="13"/>
      <c r="Z7" s="13"/>
      <c r="AA7" s="13"/>
      <c r="AB7" s="28"/>
      <c r="AC7" s="29"/>
      <c r="AD7" s="28"/>
      <c r="AE7" s="30"/>
      <c r="AF7" s="30"/>
      <c r="AG7" s="30"/>
      <c r="AH7" s="13"/>
      <c r="AI7" s="28"/>
      <c r="AJ7" s="28"/>
      <c r="AK7" s="13"/>
      <c r="AL7" s="13"/>
      <c r="AM7" s="13"/>
      <c r="AN7" s="28"/>
      <c r="AO7" s="28"/>
      <c r="AP7" s="13"/>
      <c r="AQ7" s="28"/>
      <c r="AR7" s="13"/>
      <c r="AS7" s="28"/>
      <c r="AT7" s="28"/>
      <c r="AU7" s="21"/>
      <c r="AV7" s="21"/>
      <c r="AW7" s="21"/>
      <c r="AX7" s="21"/>
      <c r="AY7" s="21"/>
      <c r="AZ7" s="21"/>
      <c r="BA7" s="21"/>
      <c r="BB7" s="21"/>
    </row>
    <row r="8" customFormat="false" ht="12.75" hidden="false" customHeight="true" outlineLevel="0" collapsed="false">
      <c r="A8" s="22" t="n">
        <v>7</v>
      </c>
      <c r="B8" s="23"/>
      <c r="C8" s="10" t="n">
        <v>1100102924815</v>
      </c>
      <c r="D8" s="10" t="n">
        <v>1100014601949</v>
      </c>
      <c r="E8" s="10" t="s">
        <v>51</v>
      </c>
      <c r="F8" s="11"/>
      <c r="G8" s="12"/>
      <c r="H8" s="13"/>
      <c r="I8" s="12"/>
      <c r="J8" s="14" t="n">
        <v>21000</v>
      </c>
      <c r="K8" s="12"/>
      <c r="L8" s="26"/>
      <c r="M8" s="23"/>
      <c r="N8" s="23"/>
      <c r="O8" s="23"/>
      <c r="P8" s="23"/>
      <c r="Q8" s="28"/>
      <c r="R8" s="28"/>
      <c r="S8" s="28"/>
      <c r="T8" s="28"/>
      <c r="U8" s="28"/>
      <c r="V8" s="13"/>
      <c r="W8" s="13"/>
      <c r="X8" s="13"/>
      <c r="Y8" s="13"/>
      <c r="Z8" s="13"/>
      <c r="AA8" s="13"/>
      <c r="AB8" s="28"/>
      <c r="AC8" s="29"/>
      <c r="AD8" s="28"/>
      <c r="AE8" s="30"/>
      <c r="AF8" s="30"/>
      <c r="AG8" s="30"/>
      <c r="AH8" s="13"/>
      <c r="AI8" s="28"/>
      <c r="AJ8" s="28"/>
      <c r="AK8" s="13"/>
      <c r="AL8" s="13"/>
      <c r="AM8" s="13"/>
      <c r="AN8" s="28"/>
      <c r="AO8" s="28"/>
      <c r="AP8" s="13"/>
      <c r="AQ8" s="28"/>
      <c r="AR8" s="13"/>
      <c r="AS8" s="28"/>
      <c r="AT8" s="28"/>
      <c r="AU8" s="21"/>
      <c r="AV8" s="21"/>
      <c r="AW8" s="21"/>
      <c r="AX8" s="21"/>
      <c r="AY8" s="21"/>
      <c r="AZ8" s="21"/>
      <c r="BA8" s="21"/>
      <c r="BB8" s="21"/>
    </row>
    <row r="9" customFormat="false" ht="12.75" hidden="false" customHeight="true" outlineLevel="0" collapsed="false">
      <c r="A9" s="22" t="n">
        <v>8</v>
      </c>
      <c r="B9" s="23"/>
      <c r="C9" s="24" t="n">
        <v>1100102744940</v>
      </c>
      <c r="D9" s="24" t="n">
        <v>1100019864575</v>
      </c>
      <c r="E9" s="24" t="s">
        <v>52</v>
      </c>
      <c r="F9" s="11"/>
      <c r="G9" s="12"/>
      <c r="H9" s="13"/>
      <c r="I9" s="12"/>
      <c r="J9" s="25" t="n">
        <v>27000</v>
      </c>
      <c r="K9" s="12"/>
      <c r="L9" s="26"/>
      <c r="M9" s="23"/>
      <c r="N9" s="23"/>
      <c r="O9" s="23"/>
      <c r="P9" s="23"/>
      <c r="Q9" s="28"/>
      <c r="R9" s="28"/>
      <c r="S9" s="28"/>
      <c r="T9" s="28"/>
      <c r="U9" s="28"/>
      <c r="V9" s="13"/>
      <c r="W9" s="13"/>
      <c r="X9" s="13"/>
      <c r="Y9" s="13"/>
      <c r="Z9" s="13"/>
      <c r="AA9" s="13"/>
      <c r="AB9" s="28"/>
      <c r="AC9" s="29"/>
      <c r="AD9" s="28"/>
      <c r="AE9" s="30"/>
      <c r="AF9" s="30"/>
      <c r="AG9" s="30"/>
      <c r="AH9" s="13"/>
      <c r="AI9" s="28"/>
      <c r="AJ9" s="28"/>
      <c r="AK9" s="13"/>
      <c r="AL9" s="13"/>
      <c r="AM9" s="13"/>
      <c r="AN9" s="28"/>
      <c r="AO9" s="28"/>
      <c r="AP9" s="13"/>
      <c r="AQ9" s="28"/>
      <c r="AR9" s="13"/>
      <c r="AS9" s="28"/>
      <c r="AT9" s="28"/>
      <c r="AU9" s="21"/>
      <c r="AV9" s="21"/>
      <c r="AW9" s="21"/>
      <c r="AX9" s="21"/>
      <c r="AY9" s="21"/>
      <c r="AZ9" s="21"/>
      <c r="BA9" s="21"/>
      <c r="BB9" s="21"/>
    </row>
    <row r="10" customFormat="false" ht="12.75" hidden="false" customHeight="true" outlineLevel="0" collapsed="false">
      <c r="A10" s="22" t="n">
        <v>9</v>
      </c>
      <c r="B10" s="23"/>
      <c r="C10" s="10" t="n">
        <v>1100102969323</v>
      </c>
      <c r="D10" s="10" t="n">
        <v>1100022370719</v>
      </c>
      <c r="E10" s="10" t="s">
        <v>53</v>
      </c>
      <c r="F10" s="11"/>
      <c r="G10" s="12"/>
      <c r="H10" s="13"/>
      <c r="I10" s="12"/>
      <c r="J10" s="14" t="n">
        <v>23000</v>
      </c>
      <c r="K10" s="12"/>
      <c r="L10" s="26"/>
      <c r="M10" s="23"/>
      <c r="N10" s="23"/>
      <c r="O10" s="23"/>
      <c r="P10" s="23"/>
      <c r="Q10" s="28"/>
      <c r="R10" s="28"/>
      <c r="S10" s="28"/>
      <c r="T10" s="28"/>
      <c r="U10" s="28"/>
      <c r="V10" s="13"/>
      <c r="W10" s="13"/>
      <c r="X10" s="13"/>
      <c r="Y10" s="13"/>
      <c r="Z10" s="13"/>
      <c r="AA10" s="13"/>
      <c r="AB10" s="28"/>
      <c r="AC10" s="29"/>
      <c r="AD10" s="28"/>
      <c r="AE10" s="30"/>
      <c r="AF10" s="30"/>
      <c r="AG10" s="30"/>
      <c r="AH10" s="13"/>
      <c r="AI10" s="28"/>
      <c r="AJ10" s="28"/>
      <c r="AK10" s="13"/>
      <c r="AL10" s="13"/>
      <c r="AM10" s="13"/>
      <c r="AN10" s="28"/>
      <c r="AO10" s="28"/>
      <c r="AP10" s="13"/>
      <c r="AQ10" s="28"/>
      <c r="AR10" s="13"/>
      <c r="AS10" s="28"/>
      <c r="AT10" s="28"/>
      <c r="AU10" s="21"/>
      <c r="AV10" s="21"/>
      <c r="AW10" s="21"/>
      <c r="AX10" s="21"/>
      <c r="AY10" s="21"/>
      <c r="AZ10" s="21"/>
      <c r="BA10" s="21"/>
      <c r="BB10" s="21"/>
    </row>
    <row r="11" customFormat="false" ht="12.75" hidden="false" customHeight="true" outlineLevel="0" collapsed="false">
      <c r="A11" s="22" t="n">
        <v>10</v>
      </c>
      <c r="B11" s="23"/>
      <c r="C11" s="24" t="n">
        <v>1100102969364</v>
      </c>
      <c r="D11" s="24" t="n">
        <v>1100022521196</v>
      </c>
      <c r="E11" s="24" t="s">
        <v>54</v>
      </c>
      <c r="F11" s="11"/>
      <c r="G11" s="12"/>
      <c r="H11" s="13"/>
      <c r="I11" s="12"/>
      <c r="J11" s="25" t="n">
        <v>23000</v>
      </c>
      <c r="K11" s="12"/>
      <c r="L11" s="26"/>
      <c r="M11" s="23"/>
      <c r="N11" s="23"/>
      <c r="O11" s="23"/>
      <c r="P11" s="23"/>
      <c r="Q11" s="28"/>
      <c r="R11" s="28"/>
      <c r="S11" s="28"/>
      <c r="T11" s="28"/>
      <c r="U11" s="28"/>
      <c r="V11" s="13"/>
      <c r="W11" s="13"/>
      <c r="X11" s="13"/>
      <c r="Y11" s="13"/>
      <c r="Z11" s="13"/>
      <c r="AA11" s="13"/>
      <c r="AB11" s="28"/>
      <c r="AC11" s="29"/>
      <c r="AD11" s="28"/>
      <c r="AE11" s="30"/>
      <c r="AF11" s="30"/>
      <c r="AG11" s="30"/>
      <c r="AH11" s="13"/>
      <c r="AI11" s="28"/>
      <c r="AJ11" s="28"/>
      <c r="AK11" s="13"/>
      <c r="AL11" s="13"/>
      <c r="AM11" s="13"/>
      <c r="AN11" s="28"/>
      <c r="AO11" s="28"/>
      <c r="AP11" s="13"/>
      <c r="AQ11" s="28"/>
      <c r="AR11" s="13"/>
      <c r="AS11" s="28"/>
      <c r="AT11" s="28"/>
      <c r="AU11" s="21"/>
      <c r="AV11" s="21"/>
      <c r="AW11" s="21"/>
      <c r="AX11" s="21"/>
      <c r="AY11" s="21"/>
      <c r="AZ11" s="21"/>
      <c r="BA11" s="21"/>
      <c r="BB11" s="21"/>
    </row>
    <row r="12" customFormat="false" ht="12.75" hidden="false" customHeight="true" outlineLevel="0" collapsed="false">
      <c r="A12" s="22" t="n">
        <v>11</v>
      </c>
      <c r="B12" s="23"/>
      <c r="C12" s="10"/>
      <c r="D12" s="10"/>
      <c r="E12" s="10"/>
      <c r="F12" s="11"/>
      <c r="G12" s="12"/>
      <c r="H12" s="13"/>
      <c r="I12" s="12"/>
      <c r="J12" s="14"/>
      <c r="K12" s="12"/>
      <c r="L12" s="26"/>
      <c r="M12" s="23"/>
      <c r="N12" s="23"/>
      <c r="O12" s="23"/>
      <c r="P12" s="23"/>
      <c r="Q12" s="28"/>
      <c r="R12" s="28"/>
      <c r="S12" s="28"/>
      <c r="T12" s="28"/>
      <c r="U12" s="28"/>
      <c r="V12" s="13"/>
      <c r="W12" s="13"/>
      <c r="X12" s="13"/>
      <c r="Y12" s="13"/>
      <c r="Z12" s="13"/>
      <c r="AA12" s="13"/>
      <c r="AB12" s="28"/>
      <c r="AC12" s="29"/>
      <c r="AD12" s="28"/>
      <c r="AE12" s="30"/>
      <c r="AF12" s="30"/>
      <c r="AG12" s="30"/>
      <c r="AH12" s="13"/>
      <c r="AI12" s="28"/>
      <c r="AJ12" s="28"/>
      <c r="AK12" s="13"/>
      <c r="AL12" s="13"/>
      <c r="AM12" s="13"/>
      <c r="AN12" s="28"/>
      <c r="AO12" s="28"/>
      <c r="AP12" s="13"/>
      <c r="AQ12" s="28"/>
      <c r="AR12" s="13"/>
      <c r="AS12" s="28"/>
      <c r="AT12" s="28"/>
      <c r="AU12" s="21"/>
      <c r="AV12" s="21"/>
      <c r="AW12" s="21"/>
      <c r="AX12" s="21"/>
      <c r="AY12" s="21"/>
      <c r="AZ12" s="21"/>
      <c r="BA12" s="21"/>
      <c r="BB12" s="21"/>
    </row>
    <row r="13" customFormat="false" ht="12.75" hidden="false" customHeight="true" outlineLevel="0" collapsed="false">
      <c r="A13" s="22" t="n">
        <v>12</v>
      </c>
      <c r="B13" s="23"/>
      <c r="C13" s="33"/>
      <c r="D13" s="33"/>
      <c r="E13" s="33"/>
      <c r="F13" s="11"/>
      <c r="G13" s="12"/>
      <c r="H13" s="13"/>
      <c r="I13" s="12"/>
      <c r="J13" s="34"/>
      <c r="K13" s="12"/>
      <c r="L13" s="26"/>
      <c r="M13" s="23"/>
      <c r="N13" s="23"/>
      <c r="O13" s="23"/>
      <c r="P13" s="23"/>
      <c r="Q13" s="28"/>
      <c r="R13" s="28"/>
      <c r="S13" s="28"/>
      <c r="T13" s="28"/>
      <c r="U13" s="28"/>
      <c r="V13" s="13"/>
      <c r="W13" s="13"/>
      <c r="X13" s="13"/>
      <c r="Y13" s="13"/>
      <c r="Z13" s="13"/>
      <c r="AA13" s="13"/>
      <c r="AB13" s="28"/>
      <c r="AC13" s="29"/>
      <c r="AD13" s="28"/>
      <c r="AE13" s="30"/>
      <c r="AF13" s="30"/>
      <c r="AG13" s="30"/>
      <c r="AH13" s="13"/>
      <c r="AI13" s="28"/>
      <c r="AJ13" s="28"/>
      <c r="AK13" s="13"/>
      <c r="AL13" s="13"/>
      <c r="AM13" s="13"/>
      <c r="AN13" s="28"/>
      <c r="AO13" s="28"/>
      <c r="AP13" s="13"/>
      <c r="AQ13" s="28"/>
      <c r="AR13" s="13"/>
      <c r="AS13" s="28"/>
      <c r="AT13" s="28"/>
      <c r="AU13" s="21"/>
      <c r="AV13" s="21"/>
      <c r="AW13" s="21"/>
      <c r="AX13" s="21"/>
      <c r="AY13" s="21"/>
      <c r="AZ13" s="21"/>
      <c r="BA13" s="21"/>
      <c r="BB13" s="21"/>
    </row>
    <row r="14" customFormat="false" ht="12.75" hidden="false" customHeight="true" outlineLevel="0" collapsed="false">
      <c r="A14" s="22" t="n">
        <v>13</v>
      </c>
      <c r="B14" s="23"/>
      <c r="C14" s="10"/>
      <c r="D14" s="10"/>
      <c r="E14" s="10"/>
      <c r="F14" s="11"/>
      <c r="G14" s="12"/>
      <c r="H14" s="13"/>
      <c r="I14" s="12"/>
      <c r="J14" s="14"/>
      <c r="K14" s="12"/>
      <c r="L14" s="26"/>
      <c r="M14" s="23"/>
      <c r="N14" s="23"/>
      <c r="O14" s="23"/>
      <c r="P14" s="23"/>
      <c r="Q14" s="28"/>
      <c r="R14" s="28"/>
      <c r="S14" s="28"/>
      <c r="T14" s="28"/>
      <c r="U14" s="28"/>
      <c r="V14" s="13"/>
      <c r="W14" s="13"/>
      <c r="X14" s="13"/>
      <c r="Y14" s="13"/>
      <c r="Z14" s="13"/>
      <c r="AA14" s="13"/>
      <c r="AB14" s="28"/>
      <c r="AC14" s="29"/>
      <c r="AD14" s="28"/>
      <c r="AE14" s="30"/>
      <c r="AF14" s="30"/>
      <c r="AG14" s="30"/>
      <c r="AH14" s="13"/>
      <c r="AI14" s="28"/>
      <c r="AJ14" s="28"/>
      <c r="AK14" s="13"/>
      <c r="AL14" s="13"/>
      <c r="AM14" s="28"/>
      <c r="AN14" s="13"/>
      <c r="AO14" s="28"/>
      <c r="AP14" s="13"/>
      <c r="AQ14" s="28"/>
      <c r="AR14" s="13"/>
      <c r="AS14" s="28"/>
      <c r="AT14" s="28"/>
      <c r="AU14" s="21"/>
      <c r="AV14" s="21"/>
      <c r="AW14" s="21"/>
      <c r="AX14" s="21"/>
      <c r="AY14" s="21"/>
      <c r="AZ14" s="21"/>
      <c r="BA14" s="21"/>
      <c r="BB14" s="21"/>
    </row>
    <row r="15" customFormat="false" ht="12.75" hidden="false" customHeight="true" outlineLevel="0" collapsed="false">
      <c r="A15" s="22" t="n">
        <v>14</v>
      </c>
      <c r="B15" s="23" t="s">
        <v>55</v>
      </c>
      <c r="C15" s="24"/>
      <c r="D15" s="24"/>
      <c r="E15" s="24"/>
      <c r="F15" s="11"/>
      <c r="G15" s="12"/>
      <c r="H15" s="13"/>
      <c r="I15" s="12"/>
      <c r="J15" s="25"/>
      <c r="K15" s="12"/>
      <c r="L15" s="26"/>
      <c r="M15" s="23"/>
      <c r="N15" s="23"/>
      <c r="O15" s="23"/>
      <c r="P15" s="23"/>
      <c r="Q15" s="28"/>
      <c r="R15" s="28"/>
      <c r="S15" s="28"/>
      <c r="T15" s="28"/>
      <c r="U15" s="28"/>
      <c r="V15" s="13"/>
      <c r="W15" s="13"/>
      <c r="X15" s="13"/>
      <c r="Y15" s="13"/>
      <c r="Z15" s="13"/>
      <c r="AA15" s="13"/>
      <c r="AB15" s="28"/>
      <c r="AC15" s="29"/>
      <c r="AD15" s="28"/>
      <c r="AE15" s="30"/>
      <c r="AF15" s="30"/>
      <c r="AG15" s="30"/>
      <c r="AH15" s="13"/>
      <c r="AI15" s="28"/>
      <c r="AJ15" s="28"/>
      <c r="AK15" s="13"/>
      <c r="AL15" s="13"/>
      <c r="AM15" s="28"/>
      <c r="AN15" s="13"/>
      <c r="AO15" s="28"/>
      <c r="AP15" s="13"/>
      <c r="AQ15" s="28"/>
      <c r="AR15" s="13"/>
      <c r="AS15" s="28"/>
      <c r="AT15" s="28"/>
      <c r="AU15" s="21"/>
      <c r="AV15" s="21"/>
      <c r="AW15" s="21"/>
      <c r="AX15" s="21"/>
      <c r="AY15" s="21"/>
      <c r="AZ15" s="21"/>
      <c r="BA15" s="21"/>
      <c r="BB15" s="21"/>
    </row>
    <row r="16" customFormat="false" ht="12.75" hidden="false" customHeight="true" outlineLevel="0" collapsed="false">
      <c r="A16" s="22" t="n">
        <v>15</v>
      </c>
      <c r="B16" s="23"/>
      <c r="C16" s="10"/>
      <c r="D16" s="10"/>
      <c r="E16" s="10"/>
      <c r="F16" s="11"/>
      <c r="G16" s="12"/>
      <c r="H16" s="13"/>
      <c r="I16" s="12"/>
      <c r="J16" s="14"/>
      <c r="K16" s="12"/>
      <c r="L16" s="26"/>
      <c r="M16" s="23"/>
      <c r="N16" s="23"/>
      <c r="O16" s="23"/>
      <c r="P16" s="23"/>
      <c r="Q16" s="28"/>
      <c r="R16" s="28"/>
      <c r="S16" s="28"/>
      <c r="T16" s="28"/>
      <c r="U16" s="28"/>
      <c r="V16" s="13"/>
      <c r="W16" s="13"/>
      <c r="X16" s="13"/>
      <c r="Y16" s="13"/>
      <c r="Z16" s="13"/>
      <c r="AA16" s="13"/>
      <c r="AB16" s="28"/>
      <c r="AC16" s="29"/>
      <c r="AD16" s="28"/>
      <c r="AE16" s="30"/>
      <c r="AF16" s="30"/>
      <c r="AG16" s="30"/>
      <c r="AH16" s="13"/>
      <c r="AI16" s="28"/>
      <c r="AJ16" s="28"/>
      <c r="AK16" s="13"/>
      <c r="AL16" s="13"/>
      <c r="AM16" s="28"/>
      <c r="AN16" s="13"/>
      <c r="AO16" s="28"/>
      <c r="AP16" s="13"/>
      <c r="AQ16" s="28"/>
      <c r="AR16" s="13"/>
      <c r="AS16" s="28"/>
      <c r="AT16" s="28"/>
      <c r="AU16" s="21"/>
      <c r="AV16" s="21"/>
      <c r="AW16" s="21"/>
      <c r="AX16" s="21"/>
      <c r="AY16" s="21"/>
      <c r="AZ16" s="21"/>
      <c r="BA16" s="21"/>
      <c r="BB16" s="21"/>
    </row>
    <row r="17" customFormat="false" ht="12.75" hidden="false" customHeight="true" outlineLevel="0" collapsed="false">
      <c r="A17" s="22" t="n">
        <v>16</v>
      </c>
      <c r="B17" s="23"/>
      <c r="C17" s="24"/>
      <c r="D17" s="24"/>
      <c r="E17" s="24"/>
      <c r="F17" s="11"/>
      <c r="G17" s="12"/>
      <c r="H17" s="13"/>
      <c r="I17" s="12"/>
      <c r="J17" s="25"/>
      <c r="K17" s="12"/>
      <c r="L17" s="26"/>
      <c r="M17" s="23"/>
      <c r="N17" s="23"/>
      <c r="O17" s="23"/>
      <c r="P17" s="23"/>
      <c r="Q17" s="28"/>
      <c r="R17" s="28"/>
      <c r="S17" s="28"/>
      <c r="T17" s="28"/>
      <c r="U17" s="28"/>
      <c r="V17" s="13"/>
      <c r="W17" s="13"/>
      <c r="X17" s="13"/>
      <c r="Y17" s="13"/>
      <c r="Z17" s="13"/>
      <c r="AA17" s="13"/>
      <c r="AB17" s="28"/>
      <c r="AC17" s="29"/>
      <c r="AD17" s="28"/>
      <c r="AE17" s="30"/>
      <c r="AF17" s="30"/>
      <c r="AG17" s="30"/>
      <c r="AH17" s="13"/>
      <c r="AI17" s="28"/>
      <c r="AJ17" s="28"/>
      <c r="AK17" s="13"/>
      <c r="AL17" s="13"/>
      <c r="AM17" s="28"/>
      <c r="AN17" s="13"/>
      <c r="AO17" s="28"/>
      <c r="AP17" s="13"/>
      <c r="AQ17" s="28"/>
      <c r="AR17" s="13"/>
      <c r="AS17" s="28"/>
      <c r="AT17" s="28"/>
      <c r="AU17" s="21"/>
      <c r="AV17" s="21"/>
      <c r="AW17" s="21"/>
      <c r="AX17" s="21"/>
      <c r="AY17" s="21"/>
      <c r="AZ17" s="21"/>
      <c r="BA17" s="21"/>
      <c r="BB17" s="21"/>
    </row>
    <row r="18" customFormat="false" ht="12.75" hidden="false" customHeight="true" outlineLevel="0" collapsed="false">
      <c r="A18" s="22" t="n">
        <v>17</v>
      </c>
      <c r="B18" s="23"/>
      <c r="C18" s="10"/>
      <c r="D18" s="10"/>
      <c r="E18" s="10"/>
      <c r="F18" s="11"/>
      <c r="G18" s="12"/>
      <c r="H18" s="13"/>
      <c r="I18" s="12"/>
      <c r="J18" s="14"/>
      <c r="K18" s="12"/>
      <c r="L18" s="26"/>
      <c r="M18" s="23"/>
      <c r="N18" s="23"/>
      <c r="O18" s="23"/>
      <c r="P18" s="23"/>
      <c r="Q18" s="28"/>
      <c r="R18" s="28"/>
      <c r="S18" s="28"/>
      <c r="T18" s="28"/>
      <c r="U18" s="28"/>
      <c r="V18" s="13"/>
      <c r="W18" s="13"/>
      <c r="X18" s="13"/>
      <c r="Y18" s="13"/>
      <c r="Z18" s="13"/>
      <c r="AA18" s="13"/>
      <c r="AB18" s="28"/>
      <c r="AC18" s="29"/>
      <c r="AD18" s="28"/>
      <c r="AE18" s="30"/>
      <c r="AF18" s="30"/>
      <c r="AG18" s="30"/>
      <c r="AH18" s="13"/>
      <c r="AI18" s="28"/>
      <c r="AJ18" s="28"/>
      <c r="AK18" s="13"/>
      <c r="AL18" s="13"/>
      <c r="AM18" s="28"/>
      <c r="AN18" s="13"/>
      <c r="AO18" s="28"/>
      <c r="AP18" s="13"/>
      <c r="AQ18" s="28"/>
      <c r="AR18" s="13"/>
      <c r="AS18" s="28"/>
      <c r="AT18" s="28"/>
      <c r="AU18" s="21"/>
      <c r="AV18" s="21"/>
      <c r="AW18" s="21"/>
      <c r="AX18" s="21"/>
      <c r="AY18" s="21"/>
      <c r="AZ18" s="21"/>
      <c r="BA18" s="21"/>
      <c r="BB18" s="21"/>
    </row>
    <row r="19" customFormat="false" ht="12.75" hidden="false" customHeight="true" outlineLevel="0" collapsed="false">
      <c r="A19" s="22" t="n">
        <v>18</v>
      </c>
      <c r="B19" s="23"/>
      <c r="C19" s="24"/>
      <c r="D19" s="24"/>
      <c r="E19" s="24"/>
      <c r="F19" s="11"/>
      <c r="G19" s="12"/>
      <c r="H19" s="13"/>
      <c r="I19" s="12"/>
      <c r="J19" s="25"/>
      <c r="K19" s="26"/>
      <c r="L19" s="26"/>
      <c r="M19" s="23"/>
      <c r="N19" s="23"/>
      <c r="O19" s="23"/>
      <c r="P19" s="23"/>
      <c r="Q19" s="28"/>
      <c r="R19" s="28"/>
      <c r="S19" s="28"/>
      <c r="T19" s="28"/>
      <c r="U19" s="28"/>
      <c r="V19" s="13"/>
      <c r="W19" s="13"/>
      <c r="X19" s="13"/>
      <c r="Y19" s="13"/>
      <c r="Z19" s="13"/>
      <c r="AA19" s="13"/>
      <c r="AB19" s="28"/>
      <c r="AC19" s="29"/>
      <c r="AD19" s="28"/>
      <c r="AE19" s="30"/>
      <c r="AF19" s="30"/>
      <c r="AG19" s="30"/>
      <c r="AH19" s="13"/>
      <c r="AI19" s="28"/>
      <c r="AJ19" s="28"/>
      <c r="AK19" s="13"/>
      <c r="AL19" s="13"/>
      <c r="AM19" s="28"/>
      <c r="AN19" s="13"/>
      <c r="AO19" s="28"/>
      <c r="AP19" s="13"/>
      <c r="AQ19" s="28"/>
      <c r="AR19" s="13"/>
      <c r="AS19" s="28"/>
      <c r="AT19" s="28"/>
      <c r="AU19" s="21"/>
      <c r="AV19" s="21"/>
      <c r="AW19" s="21"/>
      <c r="AX19" s="21"/>
      <c r="AY19" s="21"/>
      <c r="AZ19" s="21"/>
      <c r="BA19" s="21"/>
      <c r="BB19" s="21"/>
    </row>
    <row r="20" customFormat="false" ht="12.75" hidden="false" customHeight="true" outlineLevel="0" collapsed="false">
      <c r="A20" s="22" t="n">
        <v>19</v>
      </c>
      <c r="B20" s="23"/>
      <c r="C20" s="10"/>
      <c r="D20" s="10"/>
      <c r="E20" s="10"/>
      <c r="F20" s="11"/>
      <c r="G20" s="12"/>
      <c r="H20" s="13"/>
      <c r="I20" s="12"/>
      <c r="J20" s="14"/>
      <c r="K20" s="26"/>
      <c r="L20" s="26"/>
      <c r="M20" s="23"/>
      <c r="N20" s="23"/>
      <c r="O20" s="23"/>
      <c r="P20" s="23"/>
      <c r="Q20" s="28"/>
      <c r="R20" s="28"/>
      <c r="S20" s="28"/>
      <c r="T20" s="28"/>
      <c r="U20" s="28"/>
      <c r="V20" s="13"/>
      <c r="W20" s="13"/>
      <c r="X20" s="13"/>
      <c r="Y20" s="13"/>
      <c r="Z20" s="13"/>
      <c r="AA20" s="13"/>
      <c r="AB20" s="28"/>
      <c r="AC20" s="29"/>
      <c r="AD20" s="28"/>
      <c r="AE20" s="30"/>
      <c r="AF20" s="30"/>
      <c r="AG20" s="30"/>
      <c r="AH20" s="13"/>
      <c r="AI20" s="28"/>
      <c r="AJ20" s="28"/>
      <c r="AK20" s="13"/>
      <c r="AL20" s="13"/>
      <c r="AM20" s="28"/>
      <c r="AN20" s="13"/>
      <c r="AO20" s="28"/>
      <c r="AP20" s="13"/>
      <c r="AQ20" s="28"/>
      <c r="AR20" s="13"/>
      <c r="AS20" s="28"/>
      <c r="AT20" s="28"/>
      <c r="AU20" s="21"/>
      <c r="AV20" s="21"/>
      <c r="AW20" s="21"/>
      <c r="AX20" s="21"/>
      <c r="AY20" s="21"/>
      <c r="AZ20" s="21"/>
      <c r="BA20" s="21"/>
      <c r="BB20" s="21"/>
    </row>
    <row r="21" customFormat="false" ht="12.75" hidden="false" customHeight="true" outlineLevel="0" collapsed="false">
      <c r="A21" s="22" t="n">
        <v>20</v>
      </c>
      <c r="B21" s="23"/>
      <c r="C21" s="24"/>
      <c r="D21" s="24"/>
      <c r="E21" s="24"/>
      <c r="F21" s="11"/>
      <c r="G21" s="12"/>
      <c r="H21" s="13"/>
      <c r="I21" s="12"/>
      <c r="J21" s="25"/>
      <c r="K21" s="26" t="s">
        <v>56</v>
      </c>
      <c r="L21" s="26"/>
      <c r="M21" s="23"/>
      <c r="N21" s="23"/>
      <c r="O21" s="23"/>
      <c r="P21" s="23"/>
      <c r="Q21" s="28"/>
      <c r="R21" s="28"/>
      <c r="S21" s="28"/>
      <c r="T21" s="28"/>
      <c r="U21" s="28"/>
      <c r="V21" s="13"/>
      <c r="W21" s="13"/>
      <c r="X21" s="13"/>
      <c r="Y21" s="13"/>
      <c r="Z21" s="13"/>
      <c r="AA21" s="13"/>
      <c r="AB21" s="28"/>
      <c r="AC21" s="29"/>
      <c r="AD21" s="28"/>
      <c r="AE21" s="30"/>
      <c r="AF21" s="30"/>
      <c r="AG21" s="30"/>
      <c r="AH21" s="13"/>
      <c r="AI21" s="28"/>
      <c r="AJ21" s="28"/>
      <c r="AK21" s="13"/>
      <c r="AL21" s="13"/>
      <c r="AM21" s="28"/>
      <c r="AN21" s="13"/>
      <c r="AO21" s="28"/>
      <c r="AP21" s="13"/>
      <c r="AQ21" s="28"/>
      <c r="AR21" s="13"/>
      <c r="AS21" s="28"/>
      <c r="AT21" s="28"/>
      <c r="AU21" s="21"/>
      <c r="AV21" s="21"/>
      <c r="AW21" s="21"/>
      <c r="AX21" s="21"/>
      <c r="AY21" s="21"/>
      <c r="AZ21" s="21"/>
      <c r="BA21" s="21"/>
      <c r="BB21" s="21"/>
    </row>
    <row r="22" customFormat="false" ht="12.75" hidden="false" customHeight="true" outlineLevel="0" collapsed="false">
      <c r="A22" s="22" t="n">
        <v>21</v>
      </c>
      <c r="B22" s="23"/>
      <c r="C22" s="10"/>
      <c r="D22" s="10"/>
      <c r="E22" s="10"/>
      <c r="F22" s="11"/>
      <c r="G22" s="12"/>
      <c r="H22" s="13"/>
      <c r="I22" s="12"/>
      <c r="J22" s="14"/>
      <c r="K22" s="26" t="s">
        <v>57</v>
      </c>
      <c r="L22" s="26"/>
      <c r="M22" s="23"/>
      <c r="N22" s="23"/>
      <c r="O22" s="23"/>
      <c r="P22" s="23"/>
      <c r="Q22" s="28"/>
      <c r="R22" s="28"/>
      <c r="S22" s="28"/>
      <c r="T22" s="28"/>
      <c r="U22" s="28"/>
      <c r="V22" s="13"/>
      <c r="W22" s="13"/>
      <c r="X22" s="13"/>
      <c r="Y22" s="13"/>
      <c r="Z22" s="13"/>
      <c r="AA22" s="13"/>
      <c r="AB22" s="28"/>
      <c r="AC22" s="29"/>
      <c r="AD22" s="28"/>
      <c r="AE22" s="30"/>
      <c r="AF22" s="30"/>
      <c r="AG22" s="30"/>
      <c r="AH22" s="13"/>
      <c r="AI22" s="28"/>
      <c r="AJ22" s="28"/>
      <c r="AK22" s="13"/>
      <c r="AL22" s="13"/>
      <c r="AM22" s="28"/>
      <c r="AN22" s="13"/>
      <c r="AO22" s="28"/>
      <c r="AP22" s="13"/>
      <c r="AQ22" s="28"/>
      <c r="AR22" s="13"/>
      <c r="AS22" s="28"/>
      <c r="AT22" s="28"/>
      <c r="AU22" s="21"/>
      <c r="AV22" s="21"/>
      <c r="AW22" s="21"/>
      <c r="AX22" s="21"/>
      <c r="AY22" s="21"/>
      <c r="AZ22" s="21"/>
      <c r="BA22" s="21"/>
      <c r="BB22" s="21"/>
    </row>
    <row r="23" customFormat="false" ht="12.75" hidden="false" customHeight="true" outlineLevel="0" collapsed="false">
      <c r="A23" s="22" t="n">
        <v>22</v>
      </c>
      <c r="B23" s="23" t="s">
        <v>58</v>
      </c>
      <c r="C23" s="24"/>
      <c r="D23" s="24"/>
      <c r="E23" s="24"/>
      <c r="F23" s="11"/>
      <c r="G23" s="12"/>
      <c r="H23" s="13"/>
      <c r="I23" s="12"/>
      <c r="J23" s="25"/>
      <c r="K23" s="26" t="s">
        <v>56</v>
      </c>
      <c r="L23" s="26"/>
      <c r="M23" s="23"/>
      <c r="N23" s="23"/>
      <c r="O23" s="23"/>
      <c r="P23" s="23"/>
      <c r="Q23" s="28"/>
      <c r="R23" s="28"/>
      <c r="S23" s="28"/>
      <c r="T23" s="28"/>
      <c r="U23" s="28"/>
      <c r="V23" s="13"/>
      <c r="W23" s="13"/>
      <c r="X23" s="13"/>
      <c r="Y23" s="13"/>
      <c r="Z23" s="13"/>
      <c r="AA23" s="13"/>
      <c r="AB23" s="28"/>
      <c r="AC23" s="29"/>
      <c r="AD23" s="28"/>
      <c r="AE23" s="30"/>
      <c r="AF23" s="30"/>
      <c r="AG23" s="30"/>
      <c r="AH23" s="13"/>
      <c r="AI23" s="28"/>
      <c r="AJ23" s="28"/>
      <c r="AK23" s="13"/>
      <c r="AL23" s="13"/>
      <c r="AM23" s="28"/>
      <c r="AN23" s="13"/>
      <c r="AO23" s="28"/>
      <c r="AP23" s="13"/>
      <c r="AQ23" s="28"/>
      <c r="AR23" s="13"/>
      <c r="AS23" s="28"/>
      <c r="AT23" s="28"/>
      <c r="AU23" s="21"/>
      <c r="AV23" s="21"/>
      <c r="AW23" s="21"/>
      <c r="AX23" s="21"/>
      <c r="AY23" s="21"/>
      <c r="AZ23" s="21"/>
      <c r="BA23" s="21"/>
      <c r="BB23" s="21"/>
    </row>
    <row r="24" customFormat="false" ht="12.75" hidden="false" customHeight="true" outlineLevel="0" collapsed="false">
      <c r="A24" s="22" t="n">
        <v>23</v>
      </c>
      <c r="B24" s="23" t="s">
        <v>58</v>
      </c>
      <c r="C24" s="31"/>
      <c r="D24" s="31"/>
      <c r="E24" s="31"/>
      <c r="F24" s="11"/>
      <c r="G24" s="12"/>
      <c r="H24" s="13"/>
      <c r="I24" s="12"/>
      <c r="J24" s="32"/>
      <c r="K24" s="26"/>
      <c r="L24" s="23"/>
      <c r="M24" s="23"/>
      <c r="N24" s="23"/>
      <c r="O24" s="23"/>
      <c r="P24" s="23"/>
      <c r="Q24" s="28"/>
      <c r="R24" s="28"/>
      <c r="S24" s="28"/>
      <c r="T24" s="28"/>
      <c r="U24" s="28"/>
      <c r="V24" s="13"/>
      <c r="W24" s="13"/>
      <c r="X24" s="13"/>
      <c r="Y24" s="13"/>
      <c r="Z24" s="13"/>
      <c r="AA24" s="13"/>
      <c r="AB24" s="28"/>
      <c r="AC24" s="29"/>
      <c r="AD24" s="28"/>
      <c r="AE24" s="30"/>
      <c r="AF24" s="30"/>
      <c r="AG24" s="30"/>
      <c r="AH24" s="13"/>
      <c r="AI24" s="28"/>
      <c r="AJ24" s="28"/>
      <c r="AK24" s="13"/>
      <c r="AL24" s="28"/>
      <c r="AM24" s="28"/>
      <c r="AN24" s="13"/>
      <c r="AO24" s="28"/>
      <c r="AP24" s="13"/>
      <c r="AQ24" s="28"/>
      <c r="AR24" s="13"/>
      <c r="AS24" s="28"/>
      <c r="AT24" s="28"/>
      <c r="AU24" s="21"/>
      <c r="AV24" s="21"/>
      <c r="AW24" s="21"/>
      <c r="AX24" s="21"/>
      <c r="AY24" s="21"/>
      <c r="AZ24" s="21"/>
      <c r="BA24" s="21"/>
      <c r="BB24" s="21"/>
    </row>
    <row r="25" customFormat="false" ht="12.75" hidden="false" customHeight="true" outlineLevel="0" collapsed="false">
      <c r="A25" s="22" t="n">
        <v>24</v>
      </c>
      <c r="B25" s="23"/>
      <c r="C25" s="24"/>
      <c r="D25" s="24"/>
      <c r="E25" s="24"/>
      <c r="F25" s="11"/>
      <c r="G25" s="12"/>
      <c r="H25" s="13"/>
      <c r="I25" s="12"/>
      <c r="J25" s="25"/>
      <c r="K25" s="26" t="s">
        <v>57</v>
      </c>
      <c r="L25" s="23"/>
      <c r="M25" s="23"/>
      <c r="N25" s="23"/>
      <c r="O25" s="23"/>
      <c r="P25" s="23"/>
      <c r="Q25" s="28"/>
      <c r="R25" s="28"/>
      <c r="S25" s="28"/>
      <c r="T25" s="28"/>
      <c r="U25" s="28"/>
      <c r="V25" s="13"/>
      <c r="W25" s="13"/>
      <c r="X25" s="13"/>
      <c r="Y25" s="13"/>
      <c r="Z25" s="13"/>
      <c r="AA25" s="13"/>
      <c r="AB25" s="28"/>
      <c r="AC25" s="29"/>
      <c r="AD25" s="28"/>
      <c r="AE25" s="30"/>
      <c r="AF25" s="30"/>
      <c r="AG25" s="30"/>
      <c r="AH25" s="13"/>
      <c r="AI25" s="28"/>
      <c r="AJ25" s="28"/>
      <c r="AK25" s="13"/>
      <c r="AL25" s="28"/>
      <c r="AM25" s="28"/>
      <c r="AN25" s="13"/>
      <c r="AO25" s="28"/>
      <c r="AP25" s="13"/>
      <c r="AQ25" s="28"/>
      <c r="AR25" s="13"/>
      <c r="AS25" s="28"/>
      <c r="AT25" s="28"/>
      <c r="AU25" s="21"/>
      <c r="AV25" s="21"/>
      <c r="AW25" s="21"/>
      <c r="AX25" s="21"/>
      <c r="AY25" s="21"/>
      <c r="AZ25" s="21"/>
      <c r="BA25" s="21"/>
      <c r="BB25" s="21"/>
    </row>
    <row r="26" customFormat="false" ht="12.75" hidden="false" customHeight="true" outlineLevel="0" collapsed="false">
      <c r="A26" s="22" t="n">
        <v>25</v>
      </c>
      <c r="B26" s="23"/>
      <c r="C26" s="10"/>
      <c r="D26" s="10"/>
      <c r="E26" s="10"/>
      <c r="F26" s="11"/>
      <c r="G26" s="12"/>
      <c r="H26" s="13"/>
      <c r="I26" s="12"/>
      <c r="J26" s="14"/>
      <c r="K26" s="26"/>
      <c r="L26" s="23"/>
      <c r="M26" s="23"/>
      <c r="N26" s="23"/>
      <c r="O26" s="23"/>
      <c r="P26" s="23"/>
      <c r="Q26" s="28"/>
      <c r="R26" s="28"/>
      <c r="S26" s="28"/>
      <c r="T26" s="28"/>
      <c r="U26" s="28"/>
      <c r="V26" s="13"/>
      <c r="W26" s="13"/>
      <c r="X26" s="13"/>
      <c r="Y26" s="13"/>
      <c r="Z26" s="13"/>
      <c r="AA26" s="13"/>
      <c r="AB26" s="28"/>
      <c r="AC26" s="29"/>
      <c r="AD26" s="28"/>
      <c r="AE26" s="30"/>
      <c r="AF26" s="30"/>
      <c r="AG26" s="30"/>
      <c r="AH26" s="13"/>
      <c r="AI26" s="28"/>
      <c r="AJ26" s="28"/>
      <c r="AK26" s="13"/>
      <c r="AL26" s="28"/>
      <c r="AM26" s="28"/>
      <c r="AN26" s="13"/>
      <c r="AO26" s="28"/>
      <c r="AP26" s="13"/>
      <c r="AQ26" s="28"/>
      <c r="AR26" s="13"/>
      <c r="AS26" s="28"/>
      <c r="AT26" s="28"/>
      <c r="AU26" s="21"/>
      <c r="AV26" s="21"/>
      <c r="AW26" s="21"/>
      <c r="AX26" s="21"/>
      <c r="AY26" s="21"/>
      <c r="AZ26" s="21"/>
      <c r="BA26" s="21"/>
      <c r="BB26" s="21"/>
    </row>
    <row r="27" customFormat="false" ht="12.75" hidden="false" customHeight="true" outlineLevel="0" collapsed="false">
      <c r="A27" s="22" t="n">
        <v>26</v>
      </c>
      <c r="B27" s="23"/>
      <c r="C27" s="24"/>
      <c r="D27" s="24"/>
      <c r="E27" s="24"/>
      <c r="F27" s="11"/>
      <c r="G27" s="12"/>
      <c r="H27" s="13"/>
      <c r="I27" s="12"/>
      <c r="J27" s="25"/>
      <c r="K27" s="26"/>
      <c r="L27" s="23"/>
      <c r="M27" s="23"/>
      <c r="N27" s="23"/>
      <c r="O27" s="23"/>
      <c r="P27" s="23"/>
      <c r="Q27" s="28"/>
      <c r="R27" s="28"/>
      <c r="S27" s="28"/>
      <c r="T27" s="28"/>
      <c r="U27" s="28"/>
      <c r="V27" s="13"/>
      <c r="W27" s="13"/>
      <c r="X27" s="13"/>
      <c r="Y27" s="13"/>
      <c r="Z27" s="13"/>
      <c r="AA27" s="13"/>
      <c r="AB27" s="28"/>
      <c r="AC27" s="29"/>
      <c r="AD27" s="28"/>
      <c r="AE27" s="30"/>
      <c r="AF27" s="30"/>
      <c r="AG27" s="30"/>
      <c r="AH27" s="13"/>
      <c r="AI27" s="28"/>
      <c r="AJ27" s="28"/>
      <c r="AK27" s="13"/>
      <c r="AL27" s="28"/>
      <c r="AM27" s="28"/>
      <c r="AN27" s="13"/>
      <c r="AO27" s="28"/>
      <c r="AP27" s="13"/>
      <c r="AQ27" s="28"/>
      <c r="AR27" s="13"/>
      <c r="AS27" s="28"/>
      <c r="AT27" s="28"/>
      <c r="AU27" s="21"/>
      <c r="AV27" s="21"/>
      <c r="AW27" s="21"/>
      <c r="AX27" s="21"/>
      <c r="AY27" s="21"/>
      <c r="AZ27" s="21"/>
      <c r="BA27" s="21"/>
      <c r="BB27" s="21"/>
    </row>
    <row r="28" customFormat="false" ht="12.75" hidden="false" customHeight="true" outlineLevel="0" collapsed="false">
      <c r="A28" s="22" t="n">
        <v>27</v>
      </c>
      <c r="B28" s="23"/>
      <c r="C28" s="10"/>
      <c r="D28" s="10"/>
      <c r="E28" s="10"/>
      <c r="F28" s="11"/>
      <c r="G28" s="12"/>
      <c r="H28" s="13"/>
      <c r="I28" s="12"/>
      <c r="J28" s="14"/>
      <c r="K28" s="26"/>
      <c r="L28" s="23"/>
      <c r="M28" s="23"/>
      <c r="N28" s="23"/>
      <c r="O28" s="23"/>
      <c r="P28" s="23"/>
      <c r="Q28" s="28"/>
      <c r="R28" s="28"/>
      <c r="S28" s="28"/>
      <c r="T28" s="28"/>
      <c r="U28" s="28"/>
      <c r="V28" s="13"/>
      <c r="W28" s="13"/>
      <c r="X28" s="13"/>
      <c r="Y28" s="13"/>
      <c r="Z28" s="13"/>
      <c r="AA28" s="13"/>
      <c r="AB28" s="28"/>
      <c r="AC28" s="29"/>
      <c r="AD28" s="28"/>
      <c r="AE28" s="30"/>
      <c r="AF28" s="30"/>
      <c r="AG28" s="30"/>
      <c r="AH28" s="13"/>
      <c r="AI28" s="28"/>
      <c r="AJ28" s="28"/>
      <c r="AK28" s="13"/>
      <c r="AL28" s="28"/>
      <c r="AM28" s="28"/>
      <c r="AN28" s="13"/>
      <c r="AO28" s="28"/>
      <c r="AP28" s="13"/>
      <c r="AQ28" s="28"/>
      <c r="AR28" s="13"/>
      <c r="AS28" s="28"/>
      <c r="AT28" s="28"/>
      <c r="AU28" s="21"/>
      <c r="AV28" s="21"/>
      <c r="AW28" s="21"/>
      <c r="AX28" s="21"/>
      <c r="AY28" s="21"/>
      <c r="AZ28" s="21"/>
      <c r="BA28" s="21"/>
      <c r="BB28" s="21"/>
    </row>
    <row r="29" customFormat="false" ht="12.75" hidden="false" customHeight="true" outlineLevel="0" collapsed="false">
      <c r="A29" s="22" t="n">
        <v>28</v>
      </c>
      <c r="B29" s="23"/>
      <c r="C29" s="24"/>
      <c r="D29" s="24"/>
      <c r="E29" s="24"/>
      <c r="F29" s="11"/>
      <c r="G29" s="12"/>
      <c r="H29" s="13"/>
      <c r="I29" s="12"/>
      <c r="J29" s="25"/>
      <c r="K29" s="23"/>
      <c r="L29" s="23"/>
      <c r="M29" s="23"/>
      <c r="N29" s="23"/>
      <c r="O29" s="23"/>
      <c r="P29" s="23"/>
      <c r="Q29" s="28"/>
      <c r="R29" s="28"/>
      <c r="S29" s="28"/>
      <c r="T29" s="28"/>
      <c r="U29" s="28"/>
      <c r="V29" s="13"/>
      <c r="W29" s="13"/>
      <c r="X29" s="13"/>
      <c r="Y29" s="13"/>
      <c r="Z29" s="13"/>
      <c r="AA29" s="13"/>
      <c r="AB29" s="28"/>
      <c r="AC29" s="29"/>
      <c r="AD29" s="28"/>
      <c r="AE29" s="30"/>
      <c r="AF29" s="30"/>
      <c r="AG29" s="30"/>
      <c r="AH29" s="13"/>
      <c r="AI29" s="28"/>
      <c r="AJ29" s="28"/>
      <c r="AK29" s="13"/>
      <c r="AL29" s="28"/>
      <c r="AM29" s="28"/>
      <c r="AN29" s="13"/>
      <c r="AO29" s="28"/>
      <c r="AP29" s="13"/>
      <c r="AQ29" s="28"/>
      <c r="AR29" s="13"/>
      <c r="AS29" s="28"/>
      <c r="AT29" s="28"/>
      <c r="AU29" s="21"/>
      <c r="AV29" s="21"/>
      <c r="AW29" s="21"/>
      <c r="AX29" s="21"/>
      <c r="AY29" s="21"/>
      <c r="AZ29" s="21"/>
      <c r="BA29" s="21"/>
      <c r="BB29" s="21"/>
    </row>
    <row r="30" customFormat="false" ht="12.75" hidden="false" customHeight="true" outlineLevel="0" collapsed="false">
      <c r="A30" s="22" t="n">
        <v>29</v>
      </c>
      <c r="B30" s="23"/>
      <c r="C30" s="10"/>
      <c r="D30" s="10"/>
      <c r="E30" s="10"/>
      <c r="F30" s="11"/>
      <c r="G30" s="12"/>
      <c r="H30" s="13"/>
      <c r="I30" s="12"/>
      <c r="J30" s="14"/>
      <c r="K30" s="23"/>
      <c r="L30" s="23"/>
      <c r="M30" s="23"/>
      <c r="N30" s="23"/>
      <c r="O30" s="23"/>
      <c r="P30" s="23"/>
      <c r="Q30" s="28"/>
      <c r="R30" s="28"/>
      <c r="S30" s="28"/>
      <c r="T30" s="28"/>
      <c r="U30" s="28"/>
      <c r="V30" s="13"/>
      <c r="W30" s="13"/>
      <c r="X30" s="13"/>
      <c r="Y30" s="13"/>
      <c r="Z30" s="13"/>
      <c r="AA30" s="13"/>
      <c r="AB30" s="28"/>
      <c r="AC30" s="29"/>
      <c r="AD30" s="28"/>
      <c r="AE30" s="30"/>
      <c r="AF30" s="30"/>
      <c r="AG30" s="30"/>
      <c r="AH30" s="13"/>
      <c r="AI30" s="28"/>
      <c r="AJ30" s="28"/>
      <c r="AK30" s="13"/>
      <c r="AL30" s="28"/>
      <c r="AM30" s="28"/>
      <c r="AN30" s="13"/>
      <c r="AO30" s="28"/>
      <c r="AP30" s="13"/>
      <c r="AQ30" s="28"/>
      <c r="AR30" s="13"/>
      <c r="AS30" s="28"/>
      <c r="AT30" s="28"/>
      <c r="AU30" s="21"/>
      <c r="AV30" s="21"/>
      <c r="AW30" s="21"/>
      <c r="AX30" s="21"/>
      <c r="AY30" s="21"/>
      <c r="AZ30" s="21"/>
      <c r="BA30" s="21"/>
      <c r="BB30" s="21"/>
    </row>
    <row r="31" customFormat="false" ht="12.75" hidden="false" customHeight="true" outlineLevel="0" collapsed="false">
      <c r="A31" s="22" t="n">
        <v>30</v>
      </c>
      <c r="B31" s="23"/>
      <c r="C31" s="24"/>
      <c r="D31" s="24"/>
      <c r="E31" s="24"/>
      <c r="F31" s="11"/>
      <c r="G31" s="12"/>
      <c r="H31" s="13"/>
      <c r="I31" s="12"/>
      <c r="J31" s="25"/>
      <c r="K31" s="23"/>
      <c r="L31" s="23"/>
      <c r="M31" s="23"/>
      <c r="N31" s="23"/>
      <c r="O31" s="23"/>
      <c r="P31" s="23"/>
      <c r="Q31" s="28"/>
      <c r="R31" s="28"/>
      <c r="S31" s="28"/>
      <c r="T31" s="28"/>
      <c r="U31" s="28"/>
      <c r="V31" s="13"/>
      <c r="W31" s="13"/>
      <c r="X31" s="13"/>
      <c r="Y31" s="13"/>
      <c r="Z31" s="13"/>
      <c r="AA31" s="13"/>
      <c r="AB31" s="28"/>
      <c r="AC31" s="29"/>
      <c r="AD31" s="28"/>
      <c r="AE31" s="30"/>
      <c r="AF31" s="30"/>
      <c r="AG31" s="30"/>
      <c r="AH31" s="13"/>
      <c r="AI31" s="28"/>
      <c r="AJ31" s="28"/>
      <c r="AK31" s="13"/>
      <c r="AL31" s="28"/>
      <c r="AM31" s="28"/>
      <c r="AN31" s="13"/>
      <c r="AO31" s="28"/>
      <c r="AP31" s="13"/>
      <c r="AQ31" s="28"/>
      <c r="AR31" s="13"/>
      <c r="AS31" s="28"/>
      <c r="AT31" s="28"/>
      <c r="AU31" s="21"/>
      <c r="AV31" s="21"/>
      <c r="AW31" s="21"/>
      <c r="AX31" s="21"/>
      <c r="AY31" s="21"/>
      <c r="AZ31" s="21"/>
      <c r="BA31" s="21"/>
      <c r="BB31" s="21"/>
    </row>
    <row r="32" customFormat="false" ht="12.75" hidden="false" customHeight="true" outlineLevel="0" collapsed="false">
      <c r="A32" s="22" t="n">
        <v>31</v>
      </c>
      <c r="B32" s="23"/>
      <c r="C32" s="10"/>
      <c r="D32" s="10"/>
      <c r="E32" s="10"/>
      <c r="F32" s="11"/>
      <c r="G32" s="12"/>
      <c r="H32" s="13"/>
      <c r="I32" s="12"/>
      <c r="J32" s="14"/>
      <c r="K32" s="23"/>
      <c r="L32" s="23"/>
      <c r="M32" s="23"/>
      <c r="N32" s="23"/>
      <c r="O32" s="23"/>
      <c r="P32" s="23"/>
      <c r="Q32" s="28"/>
      <c r="R32" s="28"/>
      <c r="S32" s="28"/>
      <c r="T32" s="28"/>
      <c r="U32" s="28"/>
      <c r="V32" s="13"/>
      <c r="W32" s="13"/>
      <c r="X32" s="13"/>
      <c r="Y32" s="13"/>
      <c r="Z32" s="13"/>
      <c r="AA32" s="13"/>
      <c r="AB32" s="28"/>
      <c r="AC32" s="29"/>
      <c r="AD32" s="28"/>
      <c r="AE32" s="30"/>
      <c r="AF32" s="30"/>
      <c r="AG32" s="30"/>
      <c r="AH32" s="13"/>
      <c r="AI32" s="28"/>
      <c r="AJ32" s="28"/>
      <c r="AK32" s="13"/>
      <c r="AL32" s="28"/>
      <c r="AM32" s="28"/>
      <c r="AN32" s="13"/>
      <c r="AO32" s="28"/>
      <c r="AP32" s="13"/>
      <c r="AQ32" s="28"/>
      <c r="AR32" s="13"/>
      <c r="AS32" s="28"/>
      <c r="AT32" s="28"/>
      <c r="AU32" s="21"/>
      <c r="AV32" s="21"/>
      <c r="AW32" s="21"/>
      <c r="AX32" s="21"/>
      <c r="AY32" s="21"/>
      <c r="AZ32" s="21"/>
      <c r="BA32" s="21"/>
      <c r="BB32" s="21"/>
    </row>
    <row r="33" customFormat="false" ht="12.75" hidden="false" customHeight="true" outlineLevel="0" collapsed="false">
      <c r="A33" s="22" t="n">
        <v>32</v>
      </c>
      <c r="B33" s="23"/>
      <c r="C33" s="24"/>
      <c r="D33" s="24"/>
      <c r="E33" s="24"/>
      <c r="F33" s="11"/>
      <c r="G33" s="12"/>
      <c r="H33" s="13"/>
      <c r="I33" s="12"/>
      <c r="J33" s="25"/>
      <c r="K33" s="23"/>
      <c r="L33" s="23"/>
      <c r="M33" s="23"/>
      <c r="N33" s="23"/>
      <c r="O33" s="23"/>
      <c r="P33" s="23"/>
      <c r="Q33" s="28"/>
      <c r="R33" s="28"/>
      <c r="S33" s="28"/>
      <c r="T33" s="28"/>
      <c r="U33" s="28"/>
      <c r="V33" s="13"/>
      <c r="W33" s="13"/>
      <c r="X33" s="13"/>
      <c r="Y33" s="13"/>
      <c r="Z33" s="13"/>
      <c r="AA33" s="13"/>
      <c r="AB33" s="28"/>
      <c r="AC33" s="29"/>
      <c r="AD33" s="28"/>
      <c r="AE33" s="30"/>
      <c r="AF33" s="30"/>
      <c r="AG33" s="30"/>
      <c r="AH33" s="13"/>
      <c r="AI33" s="28"/>
      <c r="AJ33" s="28"/>
      <c r="AK33" s="13"/>
      <c r="AL33" s="28"/>
      <c r="AM33" s="28"/>
      <c r="AN33" s="13"/>
      <c r="AO33" s="28"/>
      <c r="AP33" s="13"/>
      <c r="AQ33" s="28"/>
      <c r="AR33" s="13"/>
      <c r="AS33" s="28"/>
      <c r="AT33" s="28"/>
      <c r="AU33" s="21"/>
      <c r="AV33" s="21"/>
      <c r="AW33" s="21"/>
      <c r="AX33" s="21"/>
      <c r="AY33" s="21"/>
      <c r="AZ33" s="21"/>
      <c r="BA33" s="21"/>
      <c r="BB33" s="21"/>
    </row>
    <row r="34" customFormat="false" ht="12.75" hidden="false" customHeight="true" outlineLevel="0" collapsed="false">
      <c r="A34" s="22" t="n">
        <v>33</v>
      </c>
      <c r="B34" s="23"/>
      <c r="C34" s="10"/>
      <c r="D34" s="10"/>
      <c r="E34" s="10"/>
      <c r="F34" s="11"/>
      <c r="G34" s="12"/>
      <c r="H34" s="13"/>
      <c r="I34" s="12"/>
      <c r="J34" s="14"/>
      <c r="K34" s="23"/>
      <c r="L34" s="23"/>
      <c r="M34" s="23"/>
      <c r="N34" s="23"/>
      <c r="O34" s="23"/>
      <c r="P34" s="23"/>
      <c r="Q34" s="28"/>
      <c r="R34" s="28"/>
      <c r="S34" s="28"/>
      <c r="T34" s="28"/>
      <c r="U34" s="28"/>
      <c r="V34" s="13"/>
      <c r="W34" s="13"/>
      <c r="X34" s="13"/>
      <c r="Y34" s="13"/>
      <c r="Z34" s="13"/>
      <c r="AA34" s="13"/>
      <c r="AB34" s="28"/>
      <c r="AC34" s="29"/>
      <c r="AD34" s="28"/>
      <c r="AE34" s="30"/>
      <c r="AF34" s="30"/>
      <c r="AG34" s="30"/>
      <c r="AH34" s="13"/>
      <c r="AI34" s="28"/>
      <c r="AJ34" s="28"/>
      <c r="AK34" s="13"/>
      <c r="AL34" s="28"/>
      <c r="AM34" s="28"/>
      <c r="AN34" s="13"/>
      <c r="AO34" s="28"/>
      <c r="AP34" s="13"/>
      <c r="AQ34" s="28"/>
      <c r="AR34" s="13"/>
      <c r="AS34" s="28"/>
      <c r="AT34" s="28"/>
      <c r="AU34" s="21"/>
      <c r="AV34" s="21"/>
      <c r="AW34" s="21"/>
      <c r="AX34" s="21"/>
      <c r="AY34" s="21"/>
      <c r="AZ34" s="21"/>
      <c r="BA34" s="21"/>
      <c r="BB34" s="21"/>
    </row>
    <row r="35" customFormat="false" ht="12.75" hidden="false" customHeight="true" outlineLevel="0" collapsed="false">
      <c r="A35" s="22" t="n">
        <v>34</v>
      </c>
      <c r="B35" s="12"/>
      <c r="C35" s="24"/>
      <c r="D35" s="24"/>
      <c r="E35" s="24"/>
      <c r="F35" s="11"/>
      <c r="G35" s="12"/>
      <c r="H35" s="13"/>
      <c r="I35" s="12"/>
      <c r="J35" s="25"/>
      <c r="K35" s="12"/>
      <c r="L35" s="12"/>
      <c r="M35" s="12"/>
      <c r="N35" s="12"/>
      <c r="O35" s="12"/>
      <c r="P35" s="23"/>
      <c r="Q35" s="28"/>
      <c r="R35" s="28"/>
      <c r="S35" s="28"/>
      <c r="T35" s="28"/>
      <c r="U35" s="28"/>
      <c r="V35" s="13"/>
      <c r="W35" s="13"/>
      <c r="X35" s="13"/>
      <c r="Y35" s="13"/>
      <c r="Z35" s="13"/>
      <c r="AA35" s="13"/>
      <c r="AB35" s="28"/>
      <c r="AC35" s="29"/>
      <c r="AD35" s="28"/>
      <c r="AE35" s="30"/>
      <c r="AF35" s="30"/>
      <c r="AG35" s="30"/>
      <c r="AH35" s="13"/>
      <c r="AI35" s="28"/>
      <c r="AJ35" s="28"/>
      <c r="AK35" s="13"/>
      <c r="AL35" s="28"/>
      <c r="AM35" s="28"/>
      <c r="AN35" s="13"/>
      <c r="AO35" s="28"/>
      <c r="AP35" s="13"/>
      <c r="AQ35" s="28"/>
      <c r="AR35" s="13"/>
      <c r="AS35" s="28"/>
      <c r="AT35" s="28"/>
      <c r="AU35" s="21"/>
      <c r="AV35" s="21"/>
      <c r="AW35" s="21"/>
      <c r="AX35" s="21"/>
      <c r="AY35" s="21"/>
      <c r="AZ35" s="21"/>
      <c r="BA35" s="21"/>
      <c r="BB35" s="21"/>
    </row>
    <row r="36" customFormat="false" ht="12.75" hidden="false" customHeight="true" outlineLevel="0" collapsed="false">
      <c r="A36" s="22" t="n">
        <v>35</v>
      </c>
      <c r="B36" s="12"/>
      <c r="C36" s="10"/>
      <c r="D36" s="10"/>
      <c r="E36" s="10"/>
      <c r="F36" s="12"/>
      <c r="G36" s="12"/>
      <c r="H36" s="12"/>
      <c r="I36" s="12"/>
      <c r="J36" s="14"/>
      <c r="K36" s="12"/>
      <c r="L36" s="12"/>
      <c r="M36" s="12"/>
      <c r="N36" s="12"/>
      <c r="O36" s="12"/>
      <c r="P36" s="23"/>
      <c r="Q36" s="28"/>
      <c r="R36" s="28"/>
      <c r="S36" s="28"/>
      <c r="T36" s="28"/>
      <c r="U36" s="28"/>
      <c r="V36" s="13"/>
      <c r="W36" s="13"/>
      <c r="X36" s="13"/>
      <c r="Y36" s="13"/>
      <c r="Z36" s="13"/>
      <c r="AA36" s="13"/>
      <c r="AB36" s="28"/>
      <c r="AC36" s="29"/>
      <c r="AD36" s="28"/>
      <c r="AE36" s="30"/>
      <c r="AF36" s="30"/>
      <c r="AG36" s="30"/>
      <c r="AH36" s="13"/>
      <c r="AI36" s="28"/>
      <c r="AJ36" s="28"/>
      <c r="AK36" s="13"/>
      <c r="AL36" s="28"/>
      <c r="AM36" s="28"/>
      <c r="AN36" s="13"/>
      <c r="AO36" s="28"/>
      <c r="AP36" s="13"/>
      <c r="AQ36" s="28"/>
      <c r="AR36" s="13"/>
      <c r="AS36" s="28"/>
      <c r="AT36" s="28"/>
      <c r="AU36" s="21"/>
      <c r="AV36" s="21"/>
      <c r="AW36" s="21"/>
      <c r="AX36" s="21"/>
      <c r="AY36" s="21"/>
      <c r="AZ36" s="21"/>
      <c r="BA36" s="21"/>
      <c r="BB36" s="21"/>
    </row>
    <row r="37" customFormat="false" ht="12.75" hidden="false" customHeight="true" outlineLevel="0" collapsed="false">
      <c r="A37" s="22" t="n">
        <v>36</v>
      </c>
      <c r="B37" s="12"/>
      <c r="C37" s="24"/>
      <c r="D37" s="24"/>
      <c r="E37" s="24"/>
      <c r="F37" s="12"/>
      <c r="G37" s="12"/>
      <c r="H37" s="12"/>
      <c r="I37" s="12"/>
      <c r="J37" s="25"/>
      <c r="K37" s="12"/>
      <c r="L37" s="12"/>
      <c r="M37" s="12"/>
      <c r="N37" s="12"/>
      <c r="O37" s="12"/>
      <c r="P37" s="23"/>
      <c r="Q37" s="28"/>
      <c r="R37" s="28"/>
      <c r="S37" s="28"/>
      <c r="T37" s="28"/>
      <c r="U37" s="28"/>
      <c r="V37" s="13"/>
      <c r="W37" s="13"/>
      <c r="X37" s="13"/>
      <c r="Y37" s="13"/>
      <c r="Z37" s="13"/>
      <c r="AA37" s="13"/>
      <c r="AB37" s="28"/>
      <c r="AC37" s="29"/>
      <c r="AD37" s="28"/>
      <c r="AE37" s="30"/>
      <c r="AF37" s="30"/>
      <c r="AG37" s="30"/>
      <c r="AH37" s="13"/>
      <c r="AI37" s="28"/>
      <c r="AJ37" s="28"/>
      <c r="AK37" s="13"/>
      <c r="AL37" s="28"/>
      <c r="AM37" s="28"/>
      <c r="AN37" s="13"/>
      <c r="AO37" s="28"/>
      <c r="AP37" s="13"/>
      <c r="AQ37" s="28"/>
      <c r="AR37" s="13"/>
      <c r="AS37" s="28"/>
      <c r="AT37" s="28"/>
      <c r="AU37" s="21"/>
      <c r="AV37" s="21"/>
      <c r="AW37" s="21"/>
      <c r="AX37" s="21"/>
      <c r="AY37" s="21"/>
      <c r="AZ37" s="21"/>
      <c r="BA37" s="21"/>
      <c r="BB37" s="21"/>
    </row>
    <row r="38" customFormat="false" ht="12.75" hidden="false" customHeight="true" outlineLevel="0" collapsed="false">
      <c r="A38" s="22" t="n">
        <v>37</v>
      </c>
      <c r="B38" s="12"/>
      <c r="C38" s="10"/>
      <c r="D38" s="10"/>
      <c r="E38" s="10"/>
      <c r="F38" s="12"/>
      <c r="G38" s="12"/>
      <c r="H38" s="12"/>
      <c r="I38" s="12"/>
      <c r="J38" s="16"/>
      <c r="K38" s="12"/>
      <c r="L38" s="12"/>
      <c r="M38" s="12"/>
      <c r="N38" s="12"/>
      <c r="O38" s="12"/>
      <c r="P38" s="23"/>
      <c r="Q38" s="28"/>
      <c r="R38" s="28"/>
      <c r="S38" s="28"/>
      <c r="T38" s="28"/>
      <c r="U38" s="28"/>
      <c r="V38" s="13"/>
      <c r="W38" s="13"/>
      <c r="X38" s="13"/>
      <c r="Y38" s="13"/>
      <c r="Z38" s="13"/>
      <c r="AA38" s="13"/>
      <c r="AB38" s="28"/>
      <c r="AC38" s="29"/>
      <c r="AD38" s="28"/>
      <c r="AE38" s="30"/>
      <c r="AF38" s="30"/>
      <c r="AG38" s="30"/>
      <c r="AH38" s="13"/>
      <c r="AI38" s="28"/>
      <c r="AJ38" s="28"/>
      <c r="AK38" s="13"/>
      <c r="AL38" s="13"/>
      <c r="AM38" s="28"/>
      <c r="AN38" s="13"/>
      <c r="AO38" s="28"/>
      <c r="AP38" s="13"/>
      <c r="AQ38" s="28"/>
      <c r="AR38" s="13"/>
      <c r="AS38" s="28"/>
      <c r="AT38" s="28"/>
      <c r="AU38" s="21"/>
      <c r="AV38" s="21"/>
      <c r="AW38" s="21"/>
      <c r="AX38" s="21"/>
      <c r="AY38" s="21"/>
      <c r="AZ38" s="21"/>
      <c r="BA38" s="21"/>
      <c r="BB38" s="21"/>
    </row>
    <row r="39" customFormat="false" ht="12.75" hidden="false" customHeight="true" outlineLevel="0" collapsed="false">
      <c r="A39" s="22" t="n">
        <v>38</v>
      </c>
      <c r="B39" s="12"/>
      <c r="C39" s="35"/>
      <c r="D39" s="36"/>
      <c r="E39" s="24"/>
      <c r="F39" s="12"/>
      <c r="G39" s="12"/>
      <c r="H39" s="12"/>
      <c r="I39" s="12"/>
      <c r="J39" s="27"/>
      <c r="K39" s="12"/>
      <c r="L39" s="12"/>
      <c r="M39" s="12"/>
      <c r="N39" s="12"/>
      <c r="O39" s="12"/>
      <c r="P39" s="23"/>
      <c r="Q39" s="28"/>
      <c r="R39" s="28"/>
      <c r="S39" s="28"/>
      <c r="T39" s="28"/>
      <c r="U39" s="28"/>
      <c r="V39" s="13"/>
      <c r="W39" s="13"/>
      <c r="X39" s="13"/>
      <c r="Y39" s="13"/>
      <c r="Z39" s="13"/>
      <c r="AA39" s="13"/>
      <c r="AB39" s="28"/>
      <c r="AC39" s="29"/>
      <c r="AD39" s="28"/>
      <c r="AE39" s="30"/>
      <c r="AF39" s="30"/>
      <c r="AG39" s="30"/>
      <c r="AH39" s="13"/>
      <c r="AI39" s="28"/>
      <c r="AJ39" s="28"/>
      <c r="AK39" s="13"/>
      <c r="AL39" s="28"/>
      <c r="AM39" s="28"/>
      <c r="AN39" s="13"/>
      <c r="AO39" s="28"/>
      <c r="AP39" s="13"/>
      <c r="AQ39" s="28"/>
      <c r="AR39" s="13"/>
      <c r="AS39" s="28"/>
      <c r="AT39" s="28"/>
      <c r="AU39" s="21"/>
      <c r="AV39" s="21"/>
      <c r="AW39" s="21"/>
      <c r="AX39" s="21"/>
      <c r="AY39" s="21"/>
      <c r="AZ39" s="21"/>
      <c r="BA39" s="21"/>
      <c r="BB39" s="21"/>
    </row>
    <row r="40" customFormat="false" ht="12.75" hidden="false" customHeight="true" outlineLevel="0" collapsed="false">
      <c r="A40" s="22" t="n">
        <v>39</v>
      </c>
      <c r="B40" s="12"/>
      <c r="C40" s="37"/>
      <c r="D40" s="38"/>
      <c r="E40" s="10"/>
      <c r="F40" s="12"/>
      <c r="G40" s="12"/>
      <c r="H40" s="12"/>
      <c r="I40" s="12"/>
      <c r="J40" s="16"/>
      <c r="K40" s="12"/>
      <c r="L40" s="12"/>
      <c r="M40" s="12"/>
      <c r="N40" s="12"/>
      <c r="O40" s="12"/>
      <c r="P40" s="23"/>
      <c r="Q40" s="28"/>
      <c r="R40" s="28"/>
      <c r="S40" s="28"/>
      <c r="T40" s="28"/>
      <c r="U40" s="28"/>
      <c r="V40" s="13"/>
      <c r="W40" s="13"/>
      <c r="X40" s="13"/>
      <c r="Y40" s="13"/>
      <c r="Z40" s="13"/>
      <c r="AA40" s="13"/>
      <c r="AB40" s="28"/>
      <c r="AC40" s="29"/>
      <c r="AD40" s="28"/>
      <c r="AE40" s="30"/>
      <c r="AF40" s="30"/>
      <c r="AG40" s="30"/>
      <c r="AH40" s="13"/>
      <c r="AI40" s="28"/>
      <c r="AJ40" s="28"/>
      <c r="AK40" s="13"/>
      <c r="AL40" s="28"/>
      <c r="AM40" s="28"/>
      <c r="AN40" s="13"/>
      <c r="AO40" s="28"/>
      <c r="AP40" s="13"/>
      <c r="AQ40" s="28"/>
      <c r="AR40" s="13"/>
      <c r="AS40" s="28"/>
      <c r="AT40" s="28"/>
      <c r="AU40" s="21"/>
      <c r="AV40" s="21"/>
      <c r="AW40" s="21"/>
      <c r="AX40" s="21"/>
      <c r="AY40" s="21"/>
      <c r="AZ40" s="21"/>
      <c r="BA40" s="21"/>
      <c r="BB40" s="21"/>
    </row>
    <row r="41" customFormat="false" ht="12.75" hidden="false" customHeight="true" outlineLevel="0" collapsed="false">
      <c r="A41" s="22" t="n">
        <v>40</v>
      </c>
      <c r="B41" s="12"/>
      <c r="C41" s="35"/>
      <c r="D41" s="36"/>
      <c r="E41" s="24"/>
      <c r="F41" s="12"/>
      <c r="G41" s="12"/>
      <c r="H41" s="12"/>
      <c r="I41" s="12"/>
      <c r="J41" s="27"/>
      <c r="K41" s="12"/>
      <c r="L41" s="12"/>
      <c r="M41" s="12"/>
      <c r="N41" s="12"/>
      <c r="O41" s="12"/>
      <c r="P41" s="23"/>
      <c r="Q41" s="28"/>
      <c r="R41" s="28"/>
      <c r="S41" s="28"/>
      <c r="T41" s="28"/>
      <c r="U41" s="28"/>
      <c r="V41" s="13"/>
      <c r="W41" s="13"/>
      <c r="X41" s="13"/>
      <c r="Y41" s="13"/>
      <c r="Z41" s="13"/>
      <c r="AA41" s="13"/>
      <c r="AB41" s="28"/>
      <c r="AC41" s="29"/>
      <c r="AD41" s="28"/>
      <c r="AE41" s="30"/>
      <c r="AF41" s="30"/>
      <c r="AG41" s="30"/>
      <c r="AH41" s="13"/>
      <c r="AI41" s="28"/>
      <c r="AJ41" s="28"/>
      <c r="AK41" s="13"/>
      <c r="AL41" s="28"/>
      <c r="AM41" s="28"/>
      <c r="AN41" s="13"/>
      <c r="AO41" s="28"/>
      <c r="AP41" s="13"/>
      <c r="AQ41" s="28"/>
      <c r="AR41" s="13"/>
      <c r="AS41" s="28"/>
      <c r="AT41" s="28"/>
      <c r="AU41" s="21"/>
      <c r="AV41" s="21"/>
      <c r="AW41" s="21"/>
      <c r="AX41" s="21"/>
      <c r="AY41" s="21"/>
      <c r="AZ41" s="21"/>
      <c r="BA41" s="21"/>
      <c r="BB41" s="21"/>
    </row>
    <row r="42" customFormat="false" ht="12.75" hidden="false" customHeight="true" outlineLevel="0" collapsed="false">
      <c r="A42" s="22" t="n">
        <v>41</v>
      </c>
      <c r="B42" s="12"/>
      <c r="C42" s="37"/>
      <c r="D42" s="38"/>
      <c r="E42" s="10"/>
      <c r="F42" s="12"/>
      <c r="G42" s="12"/>
      <c r="H42" s="12"/>
      <c r="I42" s="12"/>
      <c r="J42" s="16"/>
      <c r="K42" s="12"/>
      <c r="L42" s="12"/>
      <c r="M42" s="12"/>
      <c r="N42" s="12"/>
      <c r="O42" s="12"/>
      <c r="P42" s="23"/>
      <c r="Q42" s="28"/>
      <c r="R42" s="28"/>
      <c r="S42" s="28"/>
      <c r="T42" s="28"/>
      <c r="U42" s="28"/>
      <c r="V42" s="13"/>
      <c r="W42" s="13"/>
      <c r="X42" s="13"/>
      <c r="Y42" s="13"/>
      <c r="Z42" s="13"/>
      <c r="AA42" s="13"/>
      <c r="AB42" s="28"/>
      <c r="AC42" s="29"/>
      <c r="AD42" s="28"/>
      <c r="AE42" s="30"/>
      <c r="AF42" s="30"/>
      <c r="AG42" s="30"/>
      <c r="AH42" s="13"/>
      <c r="AI42" s="28"/>
      <c r="AJ42" s="28"/>
      <c r="AK42" s="13"/>
      <c r="AL42" s="28"/>
      <c r="AM42" s="28"/>
      <c r="AN42" s="13"/>
      <c r="AO42" s="28"/>
      <c r="AP42" s="13"/>
      <c r="AQ42" s="28"/>
      <c r="AR42" s="13"/>
      <c r="AS42" s="28"/>
      <c r="AT42" s="28"/>
      <c r="AU42" s="21"/>
      <c r="AV42" s="21"/>
      <c r="AW42" s="21"/>
      <c r="AX42" s="21"/>
      <c r="AY42" s="21"/>
      <c r="AZ42" s="21"/>
      <c r="BA42" s="21"/>
      <c r="BB42" s="21"/>
    </row>
    <row r="43" customFormat="false" ht="12.75" hidden="false" customHeight="true" outlineLevel="0" collapsed="false">
      <c r="A43" s="22" t="n">
        <v>42</v>
      </c>
      <c r="B43" s="12"/>
      <c r="C43" s="35"/>
      <c r="D43" s="36"/>
      <c r="E43" s="24"/>
      <c r="F43" s="12"/>
      <c r="G43" s="12"/>
      <c r="H43" s="12"/>
      <c r="I43" s="12"/>
      <c r="J43" s="27"/>
      <c r="K43" s="12"/>
      <c r="L43" s="12"/>
      <c r="M43" s="12"/>
      <c r="N43" s="12"/>
      <c r="O43" s="12"/>
      <c r="P43" s="23"/>
      <c r="Q43" s="28"/>
      <c r="R43" s="28"/>
      <c r="S43" s="28"/>
      <c r="T43" s="28"/>
      <c r="U43" s="28"/>
      <c r="V43" s="13"/>
      <c r="W43" s="13"/>
      <c r="X43" s="13"/>
      <c r="Y43" s="13"/>
      <c r="Z43" s="13"/>
      <c r="AA43" s="13"/>
      <c r="AB43" s="28"/>
      <c r="AC43" s="29"/>
      <c r="AD43" s="28"/>
      <c r="AE43" s="30"/>
      <c r="AF43" s="30"/>
      <c r="AG43" s="30"/>
      <c r="AH43" s="13"/>
      <c r="AI43" s="28"/>
      <c r="AJ43" s="28"/>
      <c r="AK43" s="13"/>
      <c r="AL43" s="28"/>
      <c r="AM43" s="28"/>
      <c r="AN43" s="13"/>
      <c r="AO43" s="28"/>
      <c r="AP43" s="13"/>
      <c r="AQ43" s="28"/>
      <c r="AR43" s="13"/>
      <c r="AS43" s="28"/>
      <c r="AT43" s="28"/>
      <c r="AU43" s="21"/>
      <c r="AV43" s="21"/>
      <c r="AW43" s="21"/>
      <c r="AX43" s="21"/>
      <c r="AY43" s="21"/>
      <c r="AZ43" s="21"/>
      <c r="BA43" s="21"/>
      <c r="BB43" s="21"/>
    </row>
    <row r="44" customFormat="false" ht="12.75" hidden="false" customHeight="true" outlineLevel="0" collapsed="false">
      <c r="A44" s="22" t="n">
        <v>43</v>
      </c>
      <c r="B44" s="12"/>
      <c r="C44" s="37"/>
      <c r="D44" s="38"/>
      <c r="E44" s="10"/>
      <c r="F44" s="12"/>
      <c r="G44" s="12"/>
      <c r="H44" s="12"/>
      <c r="I44" s="12"/>
      <c r="J44" s="16"/>
      <c r="K44" s="12"/>
      <c r="L44" s="12"/>
      <c r="M44" s="12"/>
      <c r="N44" s="12"/>
      <c r="O44" s="12"/>
      <c r="P44" s="23"/>
      <c r="Q44" s="28"/>
      <c r="R44" s="28"/>
      <c r="S44" s="28"/>
      <c r="T44" s="28"/>
      <c r="U44" s="28"/>
      <c r="V44" s="13"/>
      <c r="W44" s="13"/>
      <c r="X44" s="13"/>
      <c r="Y44" s="13"/>
      <c r="Z44" s="13"/>
      <c r="AA44" s="13"/>
      <c r="AB44" s="28"/>
      <c r="AC44" s="29"/>
      <c r="AD44" s="28"/>
      <c r="AE44" s="30"/>
      <c r="AF44" s="30"/>
      <c r="AG44" s="30"/>
      <c r="AH44" s="13"/>
      <c r="AI44" s="28"/>
      <c r="AJ44" s="28"/>
      <c r="AK44" s="13"/>
      <c r="AL44" s="28"/>
      <c r="AM44" s="28"/>
      <c r="AN44" s="13"/>
      <c r="AO44" s="28"/>
      <c r="AP44" s="13"/>
      <c r="AQ44" s="28"/>
      <c r="AR44" s="13"/>
      <c r="AS44" s="28"/>
      <c r="AT44" s="28"/>
      <c r="AU44" s="21"/>
      <c r="AV44" s="21"/>
      <c r="AW44" s="21"/>
      <c r="AX44" s="21"/>
      <c r="AY44" s="21"/>
      <c r="AZ44" s="21"/>
      <c r="BA44" s="21"/>
      <c r="BB44" s="21"/>
    </row>
    <row r="45" customFormat="false" ht="12.75" hidden="false" customHeight="true" outlineLevel="0" collapsed="false">
      <c r="A45" s="22" t="n">
        <v>44</v>
      </c>
      <c r="B45" s="12"/>
      <c r="C45" s="35"/>
      <c r="D45" s="36"/>
      <c r="E45" s="24"/>
      <c r="F45" s="12"/>
      <c r="G45" s="12"/>
      <c r="H45" s="12"/>
      <c r="I45" s="12"/>
      <c r="J45" s="27"/>
      <c r="K45" s="12"/>
      <c r="L45" s="12"/>
      <c r="M45" s="12"/>
      <c r="N45" s="12"/>
      <c r="O45" s="12"/>
      <c r="P45" s="23"/>
      <c r="Q45" s="28"/>
      <c r="R45" s="28"/>
      <c r="S45" s="28"/>
      <c r="T45" s="28"/>
      <c r="U45" s="28"/>
      <c r="V45" s="13"/>
      <c r="W45" s="13"/>
      <c r="X45" s="13"/>
      <c r="Y45" s="13"/>
      <c r="Z45" s="13"/>
      <c r="AA45" s="13"/>
      <c r="AB45" s="28"/>
      <c r="AC45" s="29"/>
      <c r="AD45" s="28"/>
      <c r="AE45" s="30"/>
      <c r="AF45" s="30"/>
      <c r="AG45" s="30"/>
      <c r="AH45" s="13"/>
      <c r="AI45" s="28"/>
      <c r="AJ45" s="28"/>
      <c r="AK45" s="13"/>
      <c r="AL45" s="28"/>
      <c r="AM45" s="28"/>
      <c r="AN45" s="13"/>
      <c r="AO45" s="28"/>
      <c r="AP45" s="13"/>
      <c r="AQ45" s="28"/>
      <c r="AR45" s="13"/>
      <c r="AS45" s="28"/>
      <c r="AT45" s="28"/>
      <c r="AU45" s="21"/>
      <c r="AV45" s="21"/>
      <c r="AW45" s="21"/>
      <c r="AX45" s="21"/>
      <c r="AY45" s="21"/>
      <c r="AZ45" s="21"/>
      <c r="BA45" s="21"/>
      <c r="BB45" s="21"/>
    </row>
    <row r="46" customFormat="false" ht="12.75" hidden="false" customHeight="true" outlineLevel="0" collapsed="false">
      <c r="A46" s="22" t="n">
        <v>45</v>
      </c>
      <c r="B46" s="12"/>
      <c r="C46" s="39"/>
      <c r="D46" s="40"/>
      <c r="E46" s="31"/>
      <c r="F46" s="12"/>
      <c r="G46" s="12"/>
      <c r="H46" s="12"/>
      <c r="I46" s="12"/>
      <c r="J46" s="16"/>
      <c r="K46" s="12"/>
      <c r="L46" s="12"/>
      <c r="M46" s="12"/>
      <c r="N46" s="12"/>
      <c r="O46" s="12"/>
      <c r="P46" s="23"/>
      <c r="Q46" s="28"/>
      <c r="R46" s="28"/>
      <c r="S46" s="28"/>
      <c r="T46" s="28"/>
      <c r="U46" s="28"/>
      <c r="V46" s="13"/>
      <c r="W46" s="13"/>
      <c r="X46" s="13"/>
      <c r="Y46" s="13"/>
      <c r="Z46" s="13"/>
      <c r="AA46" s="13"/>
      <c r="AB46" s="28"/>
      <c r="AC46" s="29"/>
      <c r="AD46" s="28"/>
      <c r="AE46" s="30"/>
      <c r="AF46" s="30"/>
      <c r="AG46" s="30"/>
      <c r="AH46" s="13"/>
      <c r="AI46" s="28"/>
      <c r="AJ46" s="28"/>
      <c r="AK46" s="13"/>
      <c r="AL46" s="28"/>
      <c r="AM46" s="28"/>
      <c r="AN46" s="13"/>
      <c r="AO46" s="28"/>
      <c r="AP46" s="13"/>
      <c r="AQ46" s="28"/>
      <c r="AR46" s="13"/>
      <c r="AS46" s="28"/>
      <c r="AT46" s="28"/>
      <c r="AU46" s="21"/>
      <c r="AV46" s="21"/>
      <c r="AW46" s="21"/>
      <c r="AX46" s="21"/>
      <c r="AY46" s="21"/>
      <c r="AZ46" s="21"/>
      <c r="BA46" s="21"/>
      <c r="BB46" s="21"/>
    </row>
    <row r="47" customFormat="false" ht="12.75" hidden="false" customHeight="true" outlineLevel="0" collapsed="false">
      <c r="A47" s="22" t="n">
        <v>46</v>
      </c>
      <c r="B47" s="12"/>
      <c r="C47" s="35"/>
      <c r="D47" s="36"/>
      <c r="E47" s="24"/>
      <c r="F47" s="12"/>
      <c r="G47" s="12"/>
      <c r="H47" s="12"/>
      <c r="I47" s="12"/>
      <c r="J47" s="27"/>
      <c r="K47" s="12"/>
      <c r="L47" s="12"/>
      <c r="M47" s="12"/>
      <c r="N47" s="12"/>
      <c r="O47" s="12"/>
      <c r="P47" s="23"/>
      <c r="Q47" s="28"/>
      <c r="R47" s="28"/>
      <c r="S47" s="28"/>
      <c r="T47" s="28"/>
      <c r="U47" s="28"/>
      <c r="V47" s="13"/>
      <c r="W47" s="13"/>
      <c r="X47" s="13"/>
      <c r="Y47" s="13"/>
      <c r="Z47" s="13"/>
      <c r="AA47" s="13"/>
      <c r="AB47" s="28"/>
      <c r="AC47" s="29"/>
      <c r="AD47" s="28"/>
      <c r="AE47" s="30"/>
      <c r="AF47" s="30"/>
      <c r="AG47" s="30"/>
      <c r="AH47" s="13"/>
      <c r="AI47" s="28"/>
      <c r="AJ47" s="28"/>
      <c r="AK47" s="13"/>
      <c r="AL47" s="28"/>
      <c r="AM47" s="28"/>
      <c r="AN47" s="13"/>
      <c r="AO47" s="28"/>
      <c r="AP47" s="13"/>
      <c r="AQ47" s="28"/>
      <c r="AR47" s="13"/>
      <c r="AS47" s="28"/>
      <c r="AT47" s="28"/>
      <c r="AU47" s="21"/>
      <c r="AV47" s="21"/>
      <c r="AW47" s="21"/>
      <c r="AX47" s="21"/>
      <c r="AY47" s="21"/>
      <c r="AZ47" s="21"/>
      <c r="BA47" s="21"/>
      <c r="BB47" s="21"/>
    </row>
    <row r="48" customFormat="false" ht="12.75" hidden="false" customHeight="true" outlineLevel="0" collapsed="false">
      <c r="A48" s="22" t="n">
        <v>47</v>
      </c>
      <c r="B48" s="12"/>
      <c r="C48" s="37"/>
      <c r="D48" s="38"/>
      <c r="E48" s="10"/>
      <c r="F48" s="12"/>
      <c r="G48" s="12"/>
      <c r="H48" s="12"/>
      <c r="I48" s="12"/>
      <c r="J48" s="16"/>
      <c r="K48" s="12"/>
      <c r="L48" s="12"/>
      <c r="M48" s="12"/>
      <c r="N48" s="12"/>
      <c r="O48" s="12"/>
      <c r="P48" s="23"/>
      <c r="Q48" s="28"/>
      <c r="R48" s="28"/>
      <c r="S48" s="28"/>
      <c r="T48" s="28"/>
      <c r="U48" s="13"/>
      <c r="V48" s="13"/>
      <c r="W48" s="13"/>
      <c r="X48" s="13"/>
      <c r="Y48" s="13"/>
      <c r="Z48" s="13"/>
      <c r="AA48" s="13"/>
      <c r="AB48" s="28"/>
      <c r="AC48" s="29"/>
      <c r="AD48" s="28"/>
      <c r="AE48" s="30"/>
      <c r="AF48" s="30"/>
      <c r="AG48" s="30"/>
      <c r="AH48" s="13"/>
      <c r="AI48" s="28"/>
      <c r="AJ48" s="28"/>
      <c r="AK48" s="13"/>
      <c r="AL48" s="28"/>
      <c r="AM48" s="28"/>
      <c r="AN48" s="13"/>
      <c r="AO48" s="28"/>
      <c r="AP48" s="13"/>
      <c r="AQ48" s="28"/>
      <c r="AR48" s="13"/>
      <c r="AS48" s="28"/>
      <c r="AT48" s="28"/>
      <c r="AU48" s="21"/>
      <c r="AV48" s="21"/>
      <c r="AW48" s="21"/>
      <c r="AX48" s="21"/>
      <c r="AY48" s="21"/>
      <c r="AZ48" s="21"/>
      <c r="BA48" s="21"/>
      <c r="BB48" s="21"/>
    </row>
    <row r="49" customFormat="false" ht="12.75" hidden="false" customHeight="true" outlineLevel="0" collapsed="false">
      <c r="A49" s="22" t="n">
        <v>48</v>
      </c>
      <c r="B49" s="12"/>
      <c r="C49" s="35"/>
      <c r="D49" s="36"/>
      <c r="E49" s="24"/>
      <c r="F49" s="12"/>
      <c r="G49" s="12"/>
      <c r="H49" s="12"/>
      <c r="I49" s="12"/>
      <c r="J49" s="27"/>
      <c r="K49" s="12"/>
      <c r="L49" s="12"/>
      <c r="M49" s="12"/>
      <c r="N49" s="12"/>
      <c r="O49" s="12"/>
      <c r="P49" s="23"/>
      <c r="Q49" s="28"/>
      <c r="R49" s="28"/>
      <c r="S49" s="28"/>
      <c r="T49" s="28"/>
      <c r="U49" s="13"/>
      <c r="V49" s="13"/>
      <c r="W49" s="13"/>
      <c r="X49" s="13"/>
      <c r="Y49" s="13"/>
      <c r="Z49" s="13"/>
      <c r="AA49" s="13"/>
      <c r="AB49" s="28"/>
      <c r="AC49" s="29"/>
      <c r="AD49" s="28"/>
      <c r="AE49" s="30"/>
      <c r="AF49" s="30"/>
      <c r="AG49" s="30"/>
      <c r="AH49" s="13"/>
      <c r="AI49" s="28"/>
      <c r="AJ49" s="28"/>
      <c r="AK49" s="13"/>
      <c r="AL49" s="28"/>
      <c r="AM49" s="28"/>
      <c r="AN49" s="13"/>
      <c r="AO49" s="28"/>
      <c r="AP49" s="13"/>
      <c r="AQ49" s="28"/>
      <c r="AR49" s="13"/>
      <c r="AS49" s="28"/>
      <c r="AT49" s="28"/>
      <c r="AU49" s="21"/>
      <c r="AV49" s="21"/>
      <c r="AW49" s="21"/>
      <c r="AX49" s="21"/>
      <c r="AY49" s="21"/>
      <c r="AZ49" s="21"/>
      <c r="BA49" s="21"/>
      <c r="BB49" s="21"/>
    </row>
    <row r="50" customFormat="false" ht="12.75" hidden="false" customHeight="true" outlineLevel="0" collapsed="false">
      <c r="A50" s="22" t="n">
        <v>49</v>
      </c>
      <c r="B50" s="12"/>
      <c r="C50" s="37"/>
      <c r="D50" s="38"/>
      <c r="E50" s="10"/>
      <c r="F50" s="12"/>
      <c r="G50" s="12"/>
      <c r="H50" s="12"/>
      <c r="I50" s="12"/>
      <c r="J50" s="16"/>
      <c r="K50" s="12"/>
      <c r="L50" s="12"/>
      <c r="M50" s="12"/>
      <c r="N50" s="12"/>
      <c r="O50" s="12"/>
      <c r="P50" s="23"/>
      <c r="Q50" s="9" t="s">
        <v>59</v>
      </c>
      <c r="R50" s="9" t="s">
        <v>36</v>
      </c>
      <c r="S50" s="12" t="n">
        <v>25000000</v>
      </c>
      <c r="T50" s="12" t="n">
        <v>8202728.64</v>
      </c>
      <c r="U50" s="12" t="n">
        <v>917496.22</v>
      </c>
      <c r="V50" s="12" t="n">
        <v>0</v>
      </c>
      <c r="W50" s="12" t="n">
        <v>0</v>
      </c>
      <c r="X50" s="12" t="n">
        <v>917496.22</v>
      </c>
      <c r="Y50" s="12" t="n">
        <v>8202728.64</v>
      </c>
      <c r="Z50" s="9" t="s">
        <v>60</v>
      </c>
      <c r="AA50" s="15" t="n">
        <v>3</v>
      </c>
      <c r="AB50" s="9" t="s">
        <v>61</v>
      </c>
      <c r="AC50" s="41" t="n">
        <v>43277</v>
      </c>
      <c r="AD50" s="42" t="n">
        <v>43065</v>
      </c>
      <c r="AE50" s="41" t="n">
        <v>43065</v>
      </c>
      <c r="AF50" s="12" t="n">
        <v>1141667</v>
      </c>
      <c r="AG50" s="9" t="s">
        <v>62</v>
      </c>
      <c r="AH50" s="12" t="n">
        <v>50001</v>
      </c>
      <c r="AI50" s="9"/>
      <c r="AJ50" s="12" t="n">
        <v>0</v>
      </c>
      <c r="AK50" s="9" t="s">
        <v>63</v>
      </c>
      <c r="AL50" s="9"/>
    </row>
    <row r="51" customFormat="false" ht="12.75" hidden="false" customHeight="true" outlineLevel="0" collapsed="false">
      <c r="A51" s="22" t="n">
        <v>50</v>
      </c>
      <c r="B51" s="12"/>
      <c r="C51" s="35"/>
      <c r="D51" s="36"/>
      <c r="E51" s="24"/>
      <c r="F51" s="12"/>
      <c r="G51" s="12"/>
      <c r="H51" s="12"/>
      <c r="I51" s="12"/>
      <c r="J51" s="27"/>
      <c r="K51" s="12"/>
      <c r="L51" s="12"/>
      <c r="M51" s="12"/>
      <c r="N51" s="12"/>
      <c r="O51" s="12"/>
      <c r="P51" s="23"/>
      <c r="Q51" s="9" t="s">
        <v>64</v>
      </c>
      <c r="R51" s="9" t="s">
        <v>36</v>
      </c>
      <c r="S51" s="12" t="n">
        <v>30000000</v>
      </c>
      <c r="T51" s="12" t="n">
        <v>21220193.54</v>
      </c>
      <c r="U51" s="12" t="n">
        <v>1250000</v>
      </c>
      <c r="V51" s="12" t="n">
        <v>93707.26</v>
      </c>
      <c r="W51" s="12" t="n">
        <v>0</v>
      </c>
      <c r="X51" s="12" t="n">
        <v>1343707.26</v>
      </c>
      <c r="Y51" s="12" t="n">
        <v>21313900.8</v>
      </c>
      <c r="Z51" s="9" t="s">
        <v>60</v>
      </c>
      <c r="AA51" s="15" t="n">
        <v>13</v>
      </c>
      <c r="AB51" s="9" t="s">
        <v>61</v>
      </c>
      <c r="AC51" s="41" t="n">
        <v>43540</v>
      </c>
      <c r="AD51" s="42" t="n">
        <v>43055</v>
      </c>
      <c r="AE51" s="41" t="n">
        <v>43055</v>
      </c>
      <c r="AF51" s="12" t="n">
        <v>1370000</v>
      </c>
      <c r="AG51" s="9" t="s">
        <v>65</v>
      </c>
      <c r="AH51" s="12" t="n">
        <v>1500000</v>
      </c>
      <c r="AI51" s="9"/>
      <c r="AJ51" s="12" t="n">
        <v>0</v>
      </c>
      <c r="AK51" s="9" t="s">
        <v>63</v>
      </c>
      <c r="AL51" s="9"/>
    </row>
    <row r="52" customFormat="false" ht="12.75" hidden="false" customHeight="true" outlineLevel="0" collapsed="false">
      <c r="A52" s="22" t="n">
        <v>51</v>
      </c>
      <c r="B52" s="12"/>
      <c r="C52" s="37"/>
      <c r="D52" s="38"/>
      <c r="E52" s="10"/>
      <c r="F52" s="12"/>
      <c r="G52" s="12"/>
      <c r="H52" s="12"/>
      <c r="I52" s="12"/>
      <c r="J52" s="43"/>
      <c r="K52" s="12"/>
      <c r="L52" s="12"/>
      <c r="M52" s="12"/>
      <c r="N52" s="12"/>
      <c r="O52" s="12"/>
      <c r="P52" s="23"/>
      <c r="Q52" s="28"/>
      <c r="R52" s="28"/>
      <c r="S52" s="28"/>
      <c r="T52" s="28"/>
      <c r="U52" s="13"/>
      <c r="V52" s="13"/>
      <c r="W52" s="13"/>
      <c r="X52" s="13"/>
      <c r="Y52" s="13"/>
      <c r="Z52" s="13"/>
      <c r="AA52" s="13"/>
      <c r="AB52" s="28"/>
      <c r="AC52" s="29"/>
      <c r="AD52" s="28"/>
      <c r="AE52" s="30"/>
      <c r="AF52" s="30"/>
      <c r="AG52" s="30"/>
      <c r="AH52" s="13"/>
      <c r="AI52" s="28"/>
      <c r="AJ52" s="28"/>
      <c r="AK52" s="13"/>
      <c r="AL52" s="28"/>
      <c r="AM52" s="28"/>
      <c r="AN52" s="13"/>
      <c r="AO52" s="28"/>
      <c r="AP52" s="13"/>
      <c r="AQ52" s="28"/>
      <c r="AR52" s="13"/>
      <c r="AS52" s="28"/>
      <c r="AT52" s="28"/>
      <c r="AU52" s="21"/>
      <c r="AV52" s="21"/>
      <c r="AW52" s="21"/>
      <c r="AX52" s="21"/>
      <c r="AY52" s="21"/>
      <c r="AZ52" s="21"/>
      <c r="BA52" s="21"/>
      <c r="BB52" s="21"/>
    </row>
    <row r="53" customFormat="false" ht="12.75" hidden="false" customHeight="true" outlineLevel="0" collapsed="false">
      <c r="A53" s="22" t="n">
        <v>52</v>
      </c>
      <c r="B53" s="12"/>
      <c r="C53" s="35"/>
      <c r="D53" s="36"/>
      <c r="E53" s="24"/>
      <c r="F53" s="12"/>
      <c r="G53" s="12"/>
      <c r="H53" s="12"/>
      <c r="I53" s="12"/>
      <c r="J53" s="27"/>
      <c r="K53" s="12"/>
      <c r="L53" s="12"/>
      <c r="M53" s="12"/>
      <c r="N53" s="12"/>
      <c r="O53" s="12"/>
      <c r="P53" s="23"/>
      <c r="Q53" s="28"/>
      <c r="R53" s="28"/>
      <c r="S53" s="28"/>
      <c r="T53" s="28"/>
      <c r="U53" s="13"/>
      <c r="V53" s="13"/>
      <c r="W53" s="13"/>
      <c r="X53" s="13"/>
      <c r="Y53" s="13"/>
      <c r="Z53" s="13"/>
      <c r="AA53" s="13"/>
      <c r="AB53" s="28"/>
      <c r="AC53" s="29"/>
      <c r="AD53" s="28"/>
      <c r="AE53" s="30"/>
      <c r="AF53" s="30"/>
      <c r="AG53" s="30"/>
      <c r="AH53" s="13"/>
      <c r="AI53" s="28"/>
      <c r="AJ53" s="28"/>
      <c r="AK53" s="13"/>
      <c r="AL53" s="28"/>
      <c r="AM53" s="28"/>
      <c r="AN53" s="13"/>
      <c r="AO53" s="28"/>
      <c r="AP53" s="13"/>
      <c r="AQ53" s="28"/>
      <c r="AR53" s="13"/>
      <c r="AS53" s="28"/>
      <c r="AT53" s="28"/>
      <c r="AU53" s="21"/>
      <c r="AV53" s="21"/>
      <c r="AW53" s="21"/>
      <c r="AX53" s="21"/>
      <c r="AY53" s="21"/>
      <c r="AZ53" s="21"/>
      <c r="BA53" s="21"/>
      <c r="BB53" s="21"/>
    </row>
    <row r="54" customFormat="false" ht="12.75" hidden="false" customHeight="true" outlineLevel="0" collapsed="false">
      <c r="A54" s="22" t="n">
        <v>53</v>
      </c>
      <c r="B54" s="12"/>
      <c r="C54" s="37"/>
      <c r="D54" s="38"/>
      <c r="E54" s="10"/>
      <c r="F54" s="12"/>
      <c r="G54" s="12"/>
      <c r="H54" s="12"/>
      <c r="I54" s="12"/>
      <c r="J54" s="16"/>
      <c r="K54" s="12"/>
      <c r="L54" s="12"/>
      <c r="M54" s="12"/>
      <c r="N54" s="12"/>
      <c r="O54" s="12"/>
      <c r="P54" s="23"/>
      <c r="Q54" s="28"/>
      <c r="R54" s="28"/>
      <c r="S54" s="28"/>
      <c r="T54" s="28"/>
      <c r="U54" s="13"/>
      <c r="V54" s="13"/>
      <c r="W54" s="13"/>
      <c r="X54" s="13"/>
      <c r="Y54" s="13"/>
      <c r="Z54" s="13"/>
      <c r="AA54" s="13"/>
      <c r="AB54" s="28"/>
      <c r="AC54" s="29"/>
      <c r="AD54" s="28"/>
      <c r="AE54" s="30"/>
      <c r="AF54" s="30"/>
      <c r="AG54" s="30"/>
      <c r="AH54" s="13"/>
      <c r="AI54" s="28"/>
      <c r="AJ54" s="28"/>
      <c r="AK54" s="13"/>
      <c r="AL54" s="28"/>
      <c r="AM54" s="28"/>
      <c r="AN54" s="13"/>
      <c r="AO54" s="28"/>
      <c r="AP54" s="13"/>
      <c r="AQ54" s="28"/>
      <c r="AR54" s="13"/>
      <c r="AS54" s="28"/>
      <c r="AT54" s="28"/>
      <c r="AU54" s="21"/>
      <c r="AV54" s="21"/>
      <c r="AW54" s="21"/>
      <c r="AX54" s="21"/>
      <c r="AY54" s="21"/>
      <c r="AZ54" s="21"/>
      <c r="BA54" s="21"/>
      <c r="BB54" s="21"/>
    </row>
    <row r="55" customFormat="false" ht="12.75" hidden="false" customHeight="true" outlineLevel="0" collapsed="false">
      <c r="A55" s="22" t="n">
        <v>54</v>
      </c>
      <c r="B55" s="12"/>
      <c r="C55" s="35"/>
      <c r="D55" s="36"/>
      <c r="E55" s="24"/>
      <c r="F55" s="12"/>
      <c r="G55" s="12"/>
      <c r="H55" s="12"/>
      <c r="I55" s="12"/>
      <c r="J55" s="27"/>
      <c r="K55" s="12"/>
      <c r="L55" s="12"/>
      <c r="M55" s="12"/>
      <c r="N55" s="12"/>
      <c r="O55" s="12"/>
      <c r="P55" s="23"/>
      <c r="Q55" s="28"/>
      <c r="R55" s="28"/>
      <c r="S55" s="28"/>
      <c r="T55" s="28"/>
      <c r="U55" s="13"/>
      <c r="V55" s="13"/>
      <c r="W55" s="13"/>
      <c r="X55" s="13"/>
      <c r="Y55" s="13"/>
      <c r="Z55" s="13"/>
      <c r="AA55" s="13"/>
      <c r="AB55" s="28"/>
      <c r="AC55" s="29"/>
      <c r="AD55" s="28"/>
      <c r="AE55" s="30"/>
      <c r="AF55" s="30"/>
      <c r="AG55" s="30"/>
      <c r="AH55" s="13"/>
      <c r="AI55" s="28"/>
      <c r="AJ55" s="28"/>
      <c r="AK55" s="13"/>
      <c r="AL55" s="28"/>
      <c r="AM55" s="28"/>
      <c r="AN55" s="13"/>
      <c r="AO55" s="28"/>
      <c r="AP55" s="13"/>
      <c r="AQ55" s="28"/>
      <c r="AR55" s="13"/>
      <c r="AS55" s="28"/>
      <c r="AT55" s="28"/>
      <c r="AU55" s="21"/>
      <c r="AV55" s="21"/>
      <c r="AW55" s="21"/>
      <c r="AX55" s="21"/>
      <c r="AY55" s="21"/>
      <c r="AZ55" s="21"/>
      <c r="BA55" s="21"/>
      <c r="BB55" s="21"/>
    </row>
    <row r="56" customFormat="false" ht="12.75" hidden="false" customHeight="true" outlineLevel="0" collapsed="false">
      <c r="A56" s="22" t="n">
        <v>55</v>
      </c>
      <c r="B56" s="12"/>
      <c r="C56" s="37"/>
      <c r="D56" s="38"/>
      <c r="E56" s="10"/>
      <c r="F56" s="12"/>
      <c r="G56" s="12"/>
      <c r="H56" s="12"/>
      <c r="I56" s="12"/>
      <c r="J56" s="16"/>
      <c r="K56" s="12"/>
      <c r="L56" s="12"/>
      <c r="M56" s="12"/>
      <c r="N56" s="12"/>
      <c r="O56" s="12"/>
      <c r="P56" s="23"/>
      <c r="Q56" s="28"/>
      <c r="R56" s="28"/>
      <c r="S56" s="28"/>
      <c r="T56" s="28"/>
      <c r="U56" s="13"/>
      <c r="V56" s="13"/>
      <c r="W56" s="13"/>
      <c r="X56" s="13"/>
      <c r="Y56" s="13"/>
      <c r="Z56" s="13"/>
      <c r="AA56" s="13"/>
      <c r="AB56" s="28"/>
      <c r="AC56" s="29"/>
      <c r="AD56" s="28"/>
      <c r="AE56" s="30"/>
      <c r="AF56" s="30"/>
      <c r="AG56" s="30"/>
      <c r="AH56" s="13"/>
      <c r="AI56" s="28"/>
      <c r="AJ56" s="28"/>
      <c r="AK56" s="13"/>
      <c r="AL56" s="28"/>
      <c r="AM56" s="28"/>
      <c r="AN56" s="13"/>
      <c r="AO56" s="28"/>
      <c r="AP56" s="13"/>
      <c r="AQ56" s="28"/>
      <c r="AR56" s="13"/>
      <c r="AS56" s="28"/>
      <c r="AT56" s="28"/>
      <c r="AU56" s="21"/>
      <c r="AV56" s="21"/>
      <c r="AW56" s="21"/>
      <c r="AX56" s="21"/>
      <c r="AY56" s="21"/>
      <c r="AZ56" s="21"/>
      <c r="BA56" s="21"/>
      <c r="BB56" s="21"/>
    </row>
    <row r="57" customFormat="false" ht="12.75" hidden="false" customHeight="true" outlineLevel="0" collapsed="false">
      <c r="A57" s="22" t="n">
        <v>56</v>
      </c>
      <c r="B57" s="12"/>
      <c r="C57" s="35"/>
      <c r="D57" s="36"/>
      <c r="E57" s="24"/>
      <c r="F57" s="12"/>
      <c r="G57" s="12"/>
      <c r="H57" s="12"/>
      <c r="I57" s="12"/>
      <c r="J57" s="27"/>
      <c r="K57" s="12"/>
      <c r="L57" s="12"/>
      <c r="M57" s="12"/>
      <c r="N57" s="12"/>
      <c r="O57" s="12"/>
      <c r="P57" s="23"/>
      <c r="Q57" s="28"/>
      <c r="R57" s="28"/>
      <c r="S57" s="28"/>
      <c r="T57" s="28"/>
      <c r="U57" s="13"/>
      <c r="V57" s="13"/>
      <c r="W57" s="13"/>
      <c r="X57" s="13"/>
      <c r="Y57" s="13"/>
      <c r="Z57" s="13"/>
      <c r="AA57" s="13"/>
      <c r="AB57" s="28"/>
      <c r="AC57" s="29"/>
      <c r="AD57" s="28"/>
      <c r="AE57" s="30"/>
      <c r="AF57" s="30"/>
      <c r="AG57" s="30"/>
      <c r="AH57" s="13"/>
      <c r="AI57" s="28"/>
      <c r="AJ57" s="28"/>
      <c r="AK57" s="13"/>
      <c r="AL57" s="28"/>
      <c r="AM57" s="28"/>
      <c r="AN57" s="13"/>
      <c r="AO57" s="28"/>
      <c r="AP57" s="13"/>
      <c r="AQ57" s="28"/>
      <c r="AR57" s="13"/>
      <c r="AS57" s="28"/>
      <c r="AT57" s="28"/>
      <c r="AU57" s="21"/>
      <c r="AV57" s="21"/>
      <c r="AW57" s="21"/>
      <c r="AX57" s="21"/>
      <c r="AY57" s="21"/>
      <c r="AZ57" s="21"/>
      <c r="BA57" s="21"/>
      <c r="BB57" s="21"/>
    </row>
    <row r="58" customFormat="false" ht="12.75" hidden="false" customHeight="true" outlineLevel="0" collapsed="false">
      <c r="A58" s="22" t="n">
        <v>57</v>
      </c>
      <c r="B58" s="12"/>
      <c r="C58" s="37"/>
      <c r="D58" s="38"/>
      <c r="E58" s="10"/>
      <c r="F58" s="12"/>
      <c r="G58" s="12"/>
      <c r="H58" s="12"/>
      <c r="I58" s="12"/>
      <c r="J58" s="16"/>
      <c r="K58" s="12"/>
      <c r="L58" s="12"/>
      <c r="M58" s="12"/>
      <c r="N58" s="12"/>
      <c r="O58" s="12"/>
      <c r="P58" s="23"/>
      <c r="Q58" s="28"/>
      <c r="R58" s="28"/>
      <c r="S58" s="28"/>
      <c r="T58" s="28"/>
      <c r="U58" s="13"/>
      <c r="V58" s="13"/>
      <c r="W58" s="13"/>
      <c r="X58" s="13"/>
      <c r="Y58" s="13"/>
      <c r="Z58" s="13"/>
      <c r="AA58" s="13"/>
      <c r="AB58" s="28"/>
      <c r="AC58" s="29"/>
      <c r="AD58" s="28"/>
      <c r="AE58" s="30"/>
      <c r="AF58" s="30"/>
      <c r="AG58" s="30"/>
      <c r="AH58" s="13"/>
      <c r="AI58" s="28"/>
      <c r="AJ58" s="28"/>
      <c r="AK58" s="13"/>
      <c r="AL58" s="28"/>
      <c r="AM58" s="28"/>
      <c r="AN58" s="13"/>
      <c r="AO58" s="28"/>
      <c r="AP58" s="13"/>
      <c r="AQ58" s="28"/>
      <c r="AR58" s="13"/>
      <c r="AS58" s="28"/>
      <c r="AT58" s="28"/>
      <c r="AU58" s="21"/>
      <c r="AV58" s="21"/>
      <c r="AW58" s="21"/>
      <c r="AX58" s="21"/>
      <c r="AY58" s="21"/>
      <c r="AZ58" s="21"/>
      <c r="BA58" s="21"/>
      <c r="BB58" s="21"/>
    </row>
    <row r="59" customFormat="false" ht="12.75" hidden="false" customHeight="true" outlineLevel="0" collapsed="false">
      <c r="A59" s="22" t="n">
        <v>58</v>
      </c>
      <c r="B59" s="12"/>
      <c r="C59" s="35"/>
      <c r="D59" s="36"/>
      <c r="E59" s="24"/>
      <c r="F59" s="12"/>
      <c r="G59" s="12"/>
      <c r="H59" s="12"/>
      <c r="I59" s="12"/>
      <c r="J59" s="27"/>
      <c r="K59" s="12"/>
      <c r="L59" s="12"/>
      <c r="M59" s="12"/>
      <c r="N59" s="12"/>
      <c r="O59" s="12"/>
      <c r="P59" s="23"/>
      <c r="Q59" s="28"/>
      <c r="R59" s="28"/>
      <c r="S59" s="28"/>
      <c r="T59" s="28"/>
      <c r="U59" s="13"/>
      <c r="V59" s="13"/>
      <c r="W59" s="13"/>
      <c r="X59" s="13"/>
      <c r="Y59" s="13"/>
      <c r="Z59" s="13"/>
      <c r="AA59" s="13"/>
      <c r="AB59" s="28"/>
      <c r="AC59" s="29"/>
      <c r="AD59" s="28"/>
      <c r="AE59" s="30"/>
      <c r="AF59" s="30"/>
      <c r="AG59" s="30"/>
      <c r="AH59" s="13"/>
      <c r="AI59" s="28"/>
      <c r="AJ59" s="28"/>
      <c r="AK59" s="13"/>
      <c r="AL59" s="28"/>
      <c r="AM59" s="28"/>
      <c r="AN59" s="13"/>
      <c r="AO59" s="28"/>
      <c r="AP59" s="13"/>
      <c r="AQ59" s="28"/>
      <c r="AR59" s="13"/>
      <c r="AS59" s="28"/>
      <c r="AT59" s="28"/>
      <c r="AU59" s="21"/>
      <c r="AV59" s="21"/>
      <c r="AW59" s="21"/>
      <c r="AX59" s="21"/>
      <c r="AY59" s="21"/>
      <c r="AZ59" s="21"/>
      <c r="BA59" s="21"/>
      <c r="BB59" s="21"/>
    </row>
    <row r="60" customFormat="false" ht="12.75" hidden="false" customHeight="true" outlineLevel="0" collapsed="false">
      <c r="A60" s="22" t="n">
        <v>59</v>
      </c>
      <c r="B60" s="12"/>
      <c r="C60" s="37"/>
      <c r="D60" s="38"/>
      <c r="E60" s="10"/>
      <c r="F60" s="12"/>
      <c r="G60" s="12"/>
      <c r="H60" s="12"/>
      <c r="I60" s="12"/>
      <c r="J60" s="16"/>
      <c r="K60" s="12"/>
      <c r="L60" s="12"/>
      <c r="M60" s="12"/>
      <c r="N60" s="12"/>
      <c r="O60" s="12"/>
      <c r="P60" s="23"/>
      <c r="Q60" s="28"/>
      <c r="R60" s="28"/>
      <c r="S60" s="28"/>
      <c r="T60" s="28"/>
      <c r="U60" s="13"/>
      <c r="V60" s="13"/>
      <c r="W60" s="13"/>
      <c r="X60" s="13"/>
      <c r="Y60" s="13"/>
      <c r="Z60" s="13"/>
      <c r="AA60" s="13"/>
      <c r="AB60" s="28"/>
      <c r="AC60" s="29"/>
      <c r="AD60" s="28"/>
      <c r="AE60" s="30"/>
      <c r="AF60" s="30"/>
      <c r="AG60" s="30"/>
      <c r="AH60" s="13"/>
      <c r="AI60" s="28"/>
      <c r="AJ60" s="28"/>
      <c r="AK60" s="13"/>
      <c r="AL60" s="28"/>
      <c r="AM60" s="28"/>
      <c r="AN60" s="13"/>
      <c r="AO60" s="28"/>
      <c r="AP60" s="13"/>
      <c r="AQ60" s="28"/>
      <c r="AR60" s="13"/>
      <c r="AS60" s="28"/>
      <c r="AT60" s="28"/>
      <c r="AU60" s="21"/>
      <c r="AV60" s="21"/>
      <c r="AW60" s="21"/>
      <c r="AX60" s="21"/>
      <c r="AY60" s="21"/>
      <c r="AZ60" s="21"/>
      <c r="BA60" s="21"/>
      <c r="BB60" s="21"/>
    </row>
    <row r="61" customFormat="false" ht="12.75" hidden="false" customHeight="true" outlineLevel="0" collapsed="false">
      <c r="A61" s="22" t="n">
        <v>60</v>
      </c>
      <c r="B61" s="12"/>
      <c r="C61" s="35"/>
      <c r="D61" s="36"/>
      <c r="E61" s="24"/>
      <c r="F61" s="12"/>
      <c r="G61" s="12"/>
      <c r="H61" s="12"/>
      <c r="I61" s="12"/>
      <c r="J61" s="27"/>
      <c r="K61" s="12"/>
      <c r="L61" s="12"/>
      <c r="M61" s="12"/>
      <c r="N61" s="12"/>
      <c r="O61" s="12"/>
      <c r="P61" s="23"/>
      <c r="Q61" s="28"/>
      <c r="R61" s="28"/>
      <c r="S61" s="28"/>
      <c r="T61" s="28"/>
      <c r="U61" s="13"/>
      <c r="V61" s="13"/>
      <c r="W61" s="13"/>
      <c r="X61" s="13"/>
      <c r="Y61" s="13"/>
      <c r="Z61" s="13"/>
      <c r="AA61" s="13"/>
      <c r="AB61" s="28"/>
      <c r="AC61" s="29"/>
      <c r="AD61" s="28"/>
      <c r="AE61" s="30"/>
      <c r="AF61" s="30"/>
      <c r="AG61" s="30"/>
      <c r="AH61" s="13"/>
      <c r="AI61" s="28"/>
      <c r="AJ61" s="28"/>
      <c r="AK61" s="13"/>
      <c r="AL61" s="28"/>
      <c r="AM61" s="28"/>
      <c r="AN61" s="13"/>
      <c r="AO61" s="28"/>
      <c r="AP61" s="13"/>
      <c r="AQ61" s="28"/>
      <c r="AR61" s="13"/>
      <c r="AS61" s="28"/>
      <c r="AT61" s="28"/>
      <c r="AU61" s="21"/>
      <c r="AV61" s="21"/>
      <c r="AW61" s="21"/>
      <c r="AX61" s="21"/>
      <c r="AY61" s="21"/>
      <c r="AZ61" s="21"/>
      <c r="BA61" s="21"/>
      <c r="BB61" s="21"/>
    </row>
    <row r="62" customFormat="false" ht="12.75" hidden="false" customHeight="true" outlineLevel="0" collapsed="false">
      <c r="A62" s="22" t="n">
        <v>61</v>
      </c>
      <c r="B62" s="12"/>
      <c r="C62" s="37"/>
      <c r="D62" s="38"/>
      <c r="E62" s="10"/>
      <c r="F62" s="12"/>
      <c r="G62" s="12"/>
      <c r="H62" s="12"/>
      <c r="I62" s="12"/>
      <c r="J62" s="43"/>
      <c r="K62" s="12"/>
      <c r="L62" s="12"/>
      <c r="M62" s="12"/>
      <c r="N62" s="12"/>
      <c r="O62" s="12"/>
      <c r="P62" s="23"/>
      <c r="Q62" s="28"/>
      <c r="R62" s="28"/>
      <c r="S62" s="28"/>
      <c r="T62" s="28"/>
      <c r="U62" s="13"/>
      <c r="V62" s="13"/>
      <c r="W62" s="13"/>
      <c r="X62" s="13"/>
      <c r="Y62" s="13"/>
      <c r="Z62" s="13"/>
      <c r="AA62" s="13"/>
      <c r="AB62" s="28"/>
      <c r="AC62" s="29"/>
      <c r="AD62" s="28"/>
      <c r="AE62" s="30"/>
      <c r="AF62" s="30"/>
      <c r="AG62" s="30"/>
      <c r="AH62" s="13"/>
      <c r="AI62" s="28"/>
      <c r="AJ62" s="28"/>
      <c r="AK62" s="13"/>
      <c r="AL62" s="28"/>
      <c r="AM62" s="28"/>
      <c r="AN62" s="13"/>
      <c r="AO62" s="28"/>
      <c r="AP62" s="13"/>
      <c r="AQ62" s="28"/>
      <c r="AR62" s="13"/>
      <c r="AS62" s="28"/>
      <c r="AT62" s="28"/>
      <c r="AU62" s="21"/>
      <c r="AV62" s="21"/>
      <c r="AW62" s="21"/>
      <c r="AX62" s="21"/>
      <c r="AY62" s="21"/>
      <c r="AZ62" s="21"/>
      <c r="BA62" s="21"/>
      <c r="BB62" s="21"/>
    </row>
    <row r="63" customFormat="false" ht="12.75" hidden="false" customHeight="true" outlineLevel="0" collapsed="false">
      <c r="A63" s="22" t="n">
        <v>62</v>
      </c>
      <c r="B63" s="12"/>
      <c r="C63" s="35"/>
      <c r="D63" s="36"/>
      <c r="E63" s="24"/>
      <c r="F63" s="12"/>
      <c r="G63" s="12"/>
      <c r="H63" s="12"/>
      <c r="I63" s="12"/>
      <c r="J63" s="27"/>
      <c r="K63" s="12"/>
      <c r="L63" s="12"/>
      <c r="M63" s="12"/>
      <c r="N63" s="12"/>
      <c r="O63" s="12"/>
      <c r="P63" s="23"/>
      <c r="Q63" s="28"/>
      <c r="R63" s="28"/>
      <c r="S63" s="28"/>
      <c r="T63" s="28"/>
      <c r="U63" s="13"/>
      <c r="V63" s="13"/>
      <c r="W63" s="13"/>
      <c r="X63" s="13"/>
      <c r="Y63" s="13"/>
      <c r="Z63" s="13"/>
      <c r="AA63" s="13"/>
      <c r="AB63" s="28"/>
      <c r="AC63" s="29"/>
      <c r="AD63" s="28"/>
      <c r="AE63" s="30"/>
      <c r="AF63" s="30"/>
      <c r="AG63" s="30"/>
      <c r="AH63" s="13"/>
      <c r="AI63" s="28"/>
      <c r="AJ63" s="28"/>
      <c r="AK63" s="13"/>
      <c r="AL63" s="28"/>
      <c r="AM63" s="28"/>
      <c r="AN63" s="13"/>
      <c r="AO63" s="28"/>
      <c r="AP63" s="13"/>
      <c r="AQ63" s="28"/>
      <c r="AR63" s="13"/>
      <c r="AS63" s="28"/>
      <c r="AT63" s="28"/>
      <c r="AU63" s="21"/>
      <c r="AV63" s="21"/>
      <c r="AW63" s="21"/>
      <c r="AX63" s="21"/>
      <c r="AY63" s="21"/>
      <c r="AZ63" s="21"/>
      <c r="BA63" s="21"/>
      <c r="BB63" s="21"/>
    </row>
    <row r="64" customFormat="false" ht="12.75" hidden="false" customHeight="true" outlineLevel="0" collapsed="false">
      <c r="A64" s="22" t="n">
        <v>63</v>
      </c>
      <c r="B64" s="12"/>
      <c r="C64" s="37"/>
      <c r="D64" s="38"/>
      <c r="E64" s="10"/>
      <c r="F64" s="12"/>
      <c r="G64" s="12"/>
      <c r="H64" s="12"/>
      <c r="I64" s="12"/>
      <c r="J64" s="16"/>
      <c r="K64" s="12"/>
      <c r="L64" s="12"/>
      <c r="M64" s="12"/>
      <c r="N64" s="12"/>
      <c r="O64" s="12"/>
      <c r="P64" s="23"/>
      <c r="Q64" s="28"/>
      <c r="R64" s="28"/>
      <c r="S64" s="28"/>
      <c r="T64" s="28"/>
      <c r="U64" s="13"/>
      <c r="V64" s="13"/>
      <c r="W64" s="13"/>
      <c r="X64" s="13"/>
      <c r="Y64" s="13"/>
      <c r="Z64" s="13"/>
      <c r="AA64" s="13"/>
      <c r="AB64" s="28"/>
      <c r="AC64" s="29"/>
      <c r="AD64" s="28"/>
      <c r="AE64" s="30"/>
      <c r="AF64" s="30"/>
      <c r="AG64" s="30"/>
      <c r="AH64" s="13"/>
      <c r="AI64" s="28"/>
      <c r="AJ64" s="28"/>
      <c r="AK64" s="13"/>
      <c r="AL64" s="28"/>
      <c r="AM64" s="28"/>
      <c r="AN64" s="13"/>
      <c r="AO64" s="28"/>
      <c r="AP64" s="13"/>
      <c r="AQ64" s="28"/>
      <c r="AR64" s="13"/>
      <c r="AS64" s="28"/>
      <c r="AT64" s="28"/>
      <c r="AU64" s="21"/>
      <c r="AV64" s="21"/>
      <c r="AW64" s="21"/>
      <c r="AX64" s="21"/>
      <c r="AY64" s="21"/>
      <c r="AZ64" s="21"/>
      <c r="BA64" s="21"/>
      <c r="BB64" s="21"/>
    </row>
    <row r="65" customFormat="false" ht="12.75" hidden="false" customHeight="true" outlineLevel="0" collapsed="false">
      <c r="A65" s="22" t="n">
        <v>64</v>
      </c>
      <c r="B65" s="12"/>
      <c r="C65" s="35"/>
      <c r="D65" s="36"/>
      <c r="E65" s="24"/>
      <c r="F65" s="12"/>
      <c r="G65" s="12"/>
      <c r="H65" s="12"/>
      <c r="I65" s="12"/>
      <c r="J65" s="27"/>
      <c r="K65" s="12"/>
      <c r="L65" s="12"/>
      <c r="M65" s="12"/>
      <c r="N65" s="12"/>
      <c r="O65" s="12"/>
      <c r="P65" s="23"/>
      <c r="Q65" s="28"/>
      <c r="R65" s="28"/>
      <c r="S65" s="28"/>
      <c r="T65" s="28"/>
      <c r="U65" s="13"/>
      <c r="V65" s="13"/>
      <c r="W65" s="13"/>
      <c r="X65" s="13"/>
      <c r="Y65" s="13"/>
      <c r="Z65" s="13"/>
      <c r="AA65" s="13"/>
      <c r="AB65" s="28"/>
      <c r="AC65" s="29"/>
      <c r="AD65" s="28"/>
      <c r="AE65" s="30"/>
      <c r="AF65" s="30"/>
      <c r="AG65" s="30"/>
      <c r="AH65" s="13"/>
      <c r="AI65" s="28"/>
      <c r="AJ65" s="28"/>
      <c r="AK65" s="13"/>
      <c r="AL65" s="28"/>
      <c r="AM65" s="28"/>
      <c r="AN65" s="13"/>
      <c r="AO65" s="28"/>
      <c r="AP65" s="13"/>
      <c r="AQ65" s="28"/>
      <c r="AR65" s="13"/>
      <c r="AS65" s="28"/>
      <c r="AT65" s="28"/>
      <c r="AU65" s="21"/>
      <c r="AV65" s="21"/>
      <c r="AW65" s="21"/>
      <c r="AX65" s="21"/>
      <c r="AY65" s="21"/>
      <c r="AZ65" s="21"/>
      <c r="BA65" s="21"/>
      <c r="BB65" s="21"/>
    </row>
    <row r="66" customFormat="false" ht="12.75" hidden="false" customHeight="true" outlineLevel="0" collapsed="false">
      <c r="A66" s="22" t="n">
        <v>65</v>
      </c>
      <c r="B66" s="12"/>
      <c r="C66" s="37"/>
      <c r="D66" s="38"/>
      <c r="E66" s="10"/>
      <c r="F66" s="12"/>
      <c r="G66" s="12"/>
      <c r="H66" s="12"/>
      <c r="I66" s="12"/>
      <c r="J66" s="16"/>
      <c r="K66" s="12"/>
      <c r="L66" s="12"/>
      <c r="M66" s="12"/>
      <c r="N66" s="12"/>
      <c r="O66" s="12"/>
      <c r="P66" s="23"/>
      <c r="Q66" s="28"/>
      <c r="R66" s="28"/>
      <c r="S66" s="28"/>
      <c r="T66" s="28"/>
      <c r="U66" s="13"/>
      <c r="V66" s="13"/>
      <c r="W66" s="13"/>
      <c r="X66" s="13"/>
      <c r="Y66" s="13"/>
      <c r="Z66" s="13"/>
      <c r="AA66" s="13"/>
      <c r="AB66" s="28"/>
      <c r="AC66" s="29"/>
      <c r="AD66" s="28"/>
      <c r="AE66" s="30"/>
      <c r="AF66" s="30"/>
      <c r="AG66" s="30"/>
      <c r="AH66" s="13"/>
      <c r="AI66" s="28"/>
      <c r="AJ66" s="28"/>
      <c r="AK66" s="13"/>
      <c r="AL66" s="28"/>
      <c r="AM66" s="28"/>
      <c r="AN66" s="13"/>
      <c r="AO66" s="28"/>
      <c r="AP66" s="13"/>
      <c r="AQ66" s="28"/>
      <c r="AR66" s="13"/>
      <c r="AS66" s="28"/>
      <c r="AT66" s="28"/>
      <c r="AU66" s="21"/>
      <c r="AV66" s="21"/>
      <c r="AW66" s="21"/>
      <c r="AX66" s="21"/>
      <c r="AY66" s="21"/>
      <c r="AZ66" s="21"/>
      <c r="BA66" s="21"/>
      <c r="BB66" s="21"/>
    </row>
    <row r="67" customFormat="false" ht="12.75" hidden="false" customHeight="true" outlineLevel="0" collapsed="false">
      <c r="A67" s="22" t="n">
        <v>66</v>
      </c>
      <c r="B67" s="12"/>
      <c r="C67" s="35"/>
      <c r="D67" s="36"/>
      <c r="E67" s="24"/>
      <c r="F67" s="12"/>
      <c r="G67" s="12"/>
      <c r="H67" s="12"/>
      <c r="I67" s="12"/>
      <c r="J67" s="27"/>
      <c r="K67" s="12"/>
      <c r="L67" s="12"/>
      <c r="M67" s="12"/>
      <c r="N67" s="12"/>
      <c r="O67" s="12"/>
      <c r="P67" s="23"/>
      <c r="Q67" s="28"/>
      <c r="R67" s="28"/>
      <c r="S67" s="28"/>
      <c r="T67" s="28"/>
      <c r="U67" s="13"/>
      <c r="V67" s="13"/>
      <c r="W67" s="13"/>
      <c r="X67" s="13"/>
      <c r="Y67" s="13"/>
      <c r="Z67" s="13"/>
      <c r="AA67" s="13"/>
      <c r="AB67" s="28"/>
      <c r="AC67" s="29"/>
      <c r="AD67" s="28"/>
      <c r="AE67" s="30"/>
      <c r="AF67" s="30"/>
      <c r="AG67" s="30"/>
      <c r="AH67" s="13"/>
      <c r="AI67" s="28"/>
      <c r="AJ67" s="28"/>
      <c r="AK67" s="13"/>
      <c r="AL67" s="28"/>
      <c r="AM67" s="28"/>
      <c r="AN67" s="13"/>
      <c r="AO67" s="28"/>
      <c r="AP67" s="13"/>
      <c r="AQ67" s="28"/>
      <c r="AR67" s="13"/>
      <c r="AS67" s="28"/>
      <c r="AT67" s="28"/>
      <c r="AU67" s="21"/>
      <c r="AV67" s="21"/>
      <c r="AW67" s="21"/>
      <c r="AX67" s="21"/>
      <c r="AY67" s="21"/>
      <c r="AZ67" s="21"/>
      <c r="BA67" s="21"/>
      <c r="BB67" s="21"/>
    </row>
    <row r="68" customFormat="false" ht="12.75" hidden="false" customHeight="true" outlineLevel="0" collapsed="false">
      <c r="A68" s="22" t="n">
        <v>67</v>
      </c>
      <c r="B68" s="12"/>
      <c r="C68" s="37"/>
      <c r="D68" s="38"/>
      <c r="E68" s="10"/>
      <c r="F68" s="12"/>
      <c r="G68" s="12"/>
      <c r="H68" s="12"/>
      <c r="I68" s="12"/>
      <c r="J68" s="16"/>
      <c r="K68" s="12"/>
      <c r="L68" s="12"/>
      <c r="M68" s="12"/>
      <c r="N68" s="12"/>
      <c r="O68" s="12"/>
      <c r="P68" s="23"/>
      <c r="Q68" s="28"/>
      <c r="R68" s="28"/>
      <c r="S68" s="28"/>
      <c r="T68" s="28"/>
      <c r="U68" s="13"/>
      <c r="V68" s="13"/>
      <c r="W68" s="13"/>
      <c r="X68" s="13"/>
      <c r="Y68" s="13"/>
      <c r="Z68" s="13"/>
      <c r="AA68" s="13"/>
      <c r="AB68" s="28"/>
      <c r="AC68" s="29"/>
      <c r="AD68" s="28"/>
      <c r="AE68" s="30"/>
      <c r="AF68" s="30"/>
      <c r="AG68" s="30"/>
      <c r="AH68" s="13"/>
      <c r="AI68" s="28"/>
      <c r="AJ68" s="28"/>
      <c r="AK68" s="13"/>
      <c r="AL68" s="28"/>
      <c r="AM68" s="28"/>
      <c r="AN68" s="13"/>
      <c r="AO68" s="28"/>
      <c r="AP68" s="13"/>
      <c r="AQ68" s="28"/>
      <c r="AR68" s="13"/>
      <c r="AS68" s="28"/>
      <c r="AT68" s="28"/>
      <c r="AU68" s="21"/>
      <c r="AV68" s="21"/>
      <c r="AW68" s="21"/>
      <c r="AX68" s="21"/>
      <c r="AY68" s="21"/>
      <c r="AZ68" s="21"/>
      <c r="BA68" s="21"/>
      <c r="BB68" s="21"/>
    </row>
    <row r="69" customFormat="false" ht="12.75" hidden="false" customHeight="true" outlineLevel="0" collapsed="false">
      <c r="A69" s="22" t="n">
        <v>68</v>
      </c>
      <c r="B69" s="12"/>
      <c r="C69" s="35"/>
      <c r="D69" s="36"/>
      <c r="E69" s="24"/>
      <c r="F69" s="12"/>
      <c r="G69" s="12"/>
      <c r="H69" s="12"/>
      <c r="I69" s="12"/>
      <c r="J69" s="27"/>
      <c r="K69" s="12"/>
      <c r="L69" s="12"/>
      <c r="M69" s="12"/>
      <c r="N69" s="12"/>
      <c r="O69" s="12"/>
      <c r="P69" s="23"/>
      <c r="Q69" s="28"/>
      <c r="R69" s="28"/>
      <c r="S69" s="28"/>
      <c r="T69" s="28"/>
      <c r="U69" s="13"/>
      <c r="V69" s="13"/>
      <c r="W69" s="13"/>
      <c r="X69" s="13"/>
      <c r="Y69" s="13"/>
      <c r="Z69" s="13"/>
      <c r="AA69" s="13"/>
      <c r="AB69" s="28"/>
      <c r="AC69" s="29"/>
      <c r="AD69" s="28"/>
      <c r="AE69" s="30"/>
      <c r="AF69" s="30"/>
      <c r="AG69" s="30"/>
      <c r="AH69" s="13"/>
      <c r="AI69" s="28"/>
      <c r="AJ69" s="28"/>
      <c r="AK69" s="13"/>
      <c r="AL69" s="28"/>
      <c r="AM69" s="28"/>
      <c r="AN69" s="13"/>
      <c r="AO69" s="28"/>
      <c r="AP69" s="13"/>
      <c r="AQ69" s="28"/>
      <c r="AR69" s="13"/>
      <c r="AS69" s="28"/>
      <c r="AT69" s="28"/>
      <c r="AU69" s="21"/>
      <c r="AV69" s="21"/>
      <c r="AW69" s="21"/>
      <c r="AX69" s="21"/>
      <c r="AY69" s="21"/>
      <c r="AZ69" s="21"/>
      <c r="BA69" s="21"/>
      <c r="BB69" s="21"/>
    </row>
    <row r="70" customFormat="false" ht="12.75" hidden="false" customHeight="true" outlineLevel="0" collapsed="false">
      <c r="A70" s="22" t="n">
        <v>69</v>
      </c>
      <c r="B70" s="12"/>
      <c r="C70" s="44"/>
      <c r="D70" s="10"/>
      <c r="E70" s="10"/>
      <c r="F70" s="12"/>
      <c r="G70" s="12"/>
      <c r="H70" s="12"/>
      <c r="I70" s="12"/>
      <c r="J70" s="16"/>
      <c r="K70" s="12"/>
      <c r="L70" s="12"/>
      <c r="M70" s="12"/>
      <c r="N70" s="12"/>
      <c r="O70" s="12"/>
      <c r="P70" s="23"/>
      <c r="Q70" s="28"/>
      <c r="R70" s="28"/>
      <c r="S70" s="28"/>
      <c r="T70" s="28"/>
      <c r="U70" s="13"/>
      <c r="V70" s="13"/>
      <c r="W70" s="13"/>
      <c r="X70" s="13"/>
      <c r="Y70" s="13"/>
      <c r="Z70" s="13"/>
      <c r="AA70" s="13"/>
      <c r="AB70" s="28"/>
      <c r="AC70" s="29"/>
      <c r="AD70" s="28"/>
      <c r="AE70" s="30"/>
      <c r="AF70" s="30"/>
      <c r="AG70" s="30"/>
      <c r="AH70" s="13"/>
      <c r="AI70" s="28"/>
      <c r="AJ70" s="28"/>
      <c r="AK70" s="13"/>
      <c r="AL70" s="28"/>
      <c r="AM70" s="28"/>
      <c r="AN70" s="13"/>
      <c r="AO70" s="28"/>
      <c r="AP70" s="13"/>
      <c r="AQ70" s="28"/>
      <c r="AR70" s="13"/>
      <c r="AS70" s="28"/>
      <c r="AT70" s="28"/>
      <c r="AU70" s="21"/>
      <c r="AV70" s="21"/>
      <c r="AW70" s="21"/>
      <c r="AX70" s="21"/>
      <c r="AY70" s="21"/>
      <c r="AZ70" s="21"/>
      <c r="BA70" s="21"/>
      <c r="BB70" s="21"/>
    </row>
    <row r="71" customFormat="false" ht="12.75" hidden="false" customHeight="true" outlineLevel="0" collapsed="false">
      <c r="A71" s="22" t="n">
        <v>70</v>
      </c>
      <c r="B71" s="12"/>
      <c r="C71" s="45"/>
      <c r="D71" s="24"/>
      <c r="E71" s="24"/>
      <c r="F71" s="12"/>
      <c r="G71" s="12"/>
      <c r="H71" s="12"/>
      <c r="I71" s="12"/>
      <c r="J71" s="27"/>
      <c r="K71" s="12"/>
      <c r="L71" s="12"/>
      <c r="M71" s="12"/>
      <c r="N71" s="12"/>
      <c r="O71" s="12"/>
      <c r="P71" s="23"/>
      <c r="Q71" s="28"/>
      <c r="R71" s="28"/>
      <c r="S71" s="28"/>
      <c r="T71" s="28"/>
      <c r="U71" s="13"/>
      <c r="V71" s="13"/>
      <c r="W71" s="13"/>
      <c r="X71" s="13"/>
      <c r="Y71" s="13"/>
      <c r="Z71" s="13"/>
      <c r="AA71" s="13"/>
      <c r="AB71" s="28"/>
      <c r="AC71" s="29"/>
      <c r="AD71" s="28"/>
      <c r="AE71" s="30"/>
      <c r="AF71" s="30"/>
      <c r="AG71" s="30"/>
      <c r="AH71" s="13"/>
      <c r="AI71" s="28"/>
      <c r="AJ71" s="28"/>
      <c r="AK71" s="13"/>
      <c r="AL71" s="28"/>
      <c r="AM71" s="28"/>
      <c r="AN71" s="13"/>
      <c r="AO71" s="28"/>
      <c r="AP71" s="13"/>
      <c r="AQ71" s="28"/>
      <c r="AR71" s="13"/>
      <c r="AS71" s="28"/>
      <c r="AT71" s="28"/>
      <c r="AU71" s="21"/>
      <c r="AV71" s="21"/>
      <c r="AW71" s="21"/>
      <c r="AX71" s="21"/>
      <c r="AY71" s="21"/>
      <c r="AZ71" s="21"/>
      <c r="BA71" s="21"/>
      <c r="BB71" s="21"/>
    </row>
    <row r="72" customFormat="false" ht="12.75" hidden="false" customHeight="true" outlineLevel="0" collapsed="false">
      <c r="A72" s="22" t="n">
        <v>71</v>
      </c>
      <c r="B72" s="12"/>
      <c r="C72" s="44"/>
      <c r="D72" s="10"/>
      <c r="E72" s="10"/>
      <c r="F72" s="12"/>
      <c r="G72" s="12"/>
      <c r="H72" s="12"/>
      <c r="I72" s="12"/>
      <c r="J72" s="16"/>
      <c r="K72" s="12"/>
      <c r="L72" s="12"/>
      <c r="M72" s="12"/>
      <c r="N72" s="12"/>
      <c r="O72" s="12"/>
      <c r="P72" s="23"/>
      <c r="Q72" s="28"/>
      <c r="R72" s="28"/>
      <c r="S72" s="28"/>
      <c r="T72" s="28"/>
      <c r="U72" s="13"/>
      <c r="V72" s="13"/>
      <c r="W72" s="13"/>
      <c r="X72" s="13"/>
      <c r="Y72" s="13"/>
      <c r="Z72" s="13"/>
      <c r="AA72" s="13"/>
      <c r="AB72" s="28"/>
      <c r="AC72" s="29"/>
      <c r="AD72" s="28"/>
      <c r="AE72" s="30"/>
      <c r="AF72" s="30"/>
      <c r="AG72" s="30"/>
      <c r="AH72" s="13"/>
      <c r="AI72" s="28"/>
      <c r="AJ72" s="28"/>
      <c r="AK72" s="13"/>
      <c r="AL72" s="28"/>
      <c r="AM72" s="30"/>
      <c r="AN72" s="13"/>
      <c r="AO72" s="28"/>
      <c r="AP72" s="13"/>
      <c r="AQ72" s="28"/>
      <c r="AR72" s="13"/>
      <c r="AS72" s="28"/>
      <c r="AT72" s="28"/>
      <c r="AU72" s="21"/>
      <c r="AV72" s="21"/>
      <c r="AW72" s="21"/>
      <c r="AX72" s="21"/>
      <c r="AY72" s="21"/>
      <c r="AZ72" s="21"/>
      <c r="BA72" s="21"/>
      <c r="BB72" s="21"/>
    </row>
    <row r="73" customFormat="false" ht="12.75" hidden="false" customHeight="true" outlineLevel="0" collapsed="false">
      <c r="A73" s="22" t="n">
        <v>72</v>
      </c>
      <c r="B73" s="12"/>
      <c r="C73" s="45"/>
      <c r="D73" s="24"/>
      <c r="E73" s="24"/>
      <c r="F73" s="12"/>
      <c r="G73" s="12"/>
      <c r="H73" s="12"/>
      <c r="I73" s="12"/>
      <c r="J73" s="27"/>
      <c r="K73" s="12"/>
      <c r="L73" s="12"/>
      <c r="M73" s="12"/>
      <c r="N73" s="12"/>
      <c r="O73" s="12"/>
      <c r="P73" s="23"/>
      <c r="Q73" s="28"/>
      <c r="R73" s="28"/>
      <c r="S73" s="28"/>
      <c r="T73" s="28"/>
      <c r="U73" s="13"/>
      <c r="V73" s="13"/>
      <c r="W73" s="13"/>
      <c r="X73" s="13"/>
      <c r="Y73" s="13"/>
      <c r="Z73" s="13"/>
      <c r="AA73" s="13"/>
      <c r="AB73" s="28"/>
      <c r="AC73" s="29"/>
      <c r="AD73" s="28"/>
      <c r="AE73" s="30"/>
      <c r="AF73" s="30"/>
      <c r="AG73" s="30"/>
      <c r="AH73" s="13"/>
      <c r="AI73" s="28"/>
      <c r="AJ73" s="28"/>
      <c r="AK73" s="13"/>
      <c r="AL73" s="28"/>
      <c r="AM73" s="30"/>
      <c r="AN73" s="13"/>
      <c r="AO73" s="28"/>
      <c r="AP73" s="13"/>
      <c r="AQ73" s="28"/>
      <c r="AR73" s="13"/>
      <c r="AS73" s="28"/>
      <c r="AT73" s="28"/>
      <c r="AU73" s="21"/>
      <c r="AV73" s="21"/>
      <c r="AW73" s="21"/>
      <c r="AX73" s="21"/>
      <c r="AY73" s="21"/>
      <c r="AZ73" s="21"/>
      <c r="BA73" s="21"/>
      <c r="BB73" s="21"/>
    </row>
    <row r="74" customFormat="false" ht="12.75" hidden="false" customHeight="true" outlineLevel="0" collapsed="false">
      <c r="A74" s="22" t="n">
        <v>73</v>
      </c>
      <c r="B74" s="12"/>
      <c r="C74" s="44"/>
      <c r="D74" s="10"/>
      <c r="E74" s="10"/>
      <c r="F74" s="12"/>
      <c r="G74" s="12"/>
      <c r="H74" s="12"/>
      <c r="I74" s="12"/>
      <c r="J74" s="16"/>
      <c r="K74" s="12"/>
      <c r="L74" s="12"/>
      <c r="M74" s="12"/>
      <c r="N74" s="12"/>
      <c r="O74" s="12"/>
      <c r="P74" s="23"/>
      <c r="Q74" s="28"/>
      <c r="R74" s="28"/>
      <c r="S74" s="28"/>
      <c r="T74" s="28"/>
      <c r="U74" s="13"/>
      <c r="V74" s="13"/>
      <c r="W74" s="13"/>
      <c r="X74" s="13"/>
      <c r="Y74" s="13"/>
      <c r="Z74" s="13"/>
      <c r="AA74" s="13"/>
      <c r="AB74" s="28"/>
      <c r="AC74" s="29"/>
      <c r="AD74" s="28"/>
      <c r="AE74" s="30"/>
      <c r="AF74" s="30"/>
      <c r="AG74" s="30"/>
      <c r="AH74" s="13"/>
      <c r="AI74" s="28"/>
      <c r="AJ74" s="28"/>
      <c r="AK74" s="13"/>
      <c r="AL74" s="28"/>
      <c r="AM74" s="30"/>
      <c r="AN74" s="13"/>
      <c r="AO74" s="28"/>
      <c r="AP74" s="13"/>
      <c r="AQ74" s="28"/>
      <c r="AR74" s="13"/>
      <c r="AS74" s="28"/>
      <c r="AT74" s="28"/>
      <c r="AU74" s="21"/>
      <c r="AV74" s="21"/>
      <c r="AW74" s="21"/>
      <c r="AX74" s="21"/>
      <c r="AY74" s="21"/>
      <c r="AZ74" s="21"/>
      <c r="BA74" s="21"/>
      <c r="BB74" s="21"/>
    </row>
    <row r="75" customFormat="false" ht="12.75" hidden="false" customHeight="true" outlineLevel="0" collapsed="false">
      <c r="A75" s="22" t="n">
        <v>74</v>
      </c>
      <c r="B75" s="12"/>
      <c r="C75" s="45"/>
      <c r="D75" s="24"/>
      <c r="E75" s="24"/>
      <c r="F75" s="12"/>
      <c r="G75" s="12"/>
      <c r="H75" s="12"/>
      <c r="I75" s="12"/>
      <c r="J75" s="27"/>
      <c r="K75" s="12"/>
      <c r="L75" s="12"/>
      <c r="M75" s="12"/>
      <c r="N75" s="12"/>
      <c r="O75" s="12"/>
      <c r="P75" s="23"/>
      <c r="Q75" s="28"/>
      <c r="R75" s="28"/>
      <c r="S75" s="28"/>
      <c r="T75" s="28"/>
      <c r="U75" s="13"/>
      <c r="V75" s="13"/>
      <c r="W75" s="13"/>
      <c r="X75" s="13"/>
      <c r="Y75" s="13"/>
      <c r="Z75" s="13"/>
      <c r="AA75" s="13"/>
      <c r="AB75" s="28"/>
      <c r="AC75" s="29"/>
      <c r="AD75" s="28"/>
      <c r="AE75" s="30"/>
      <c r="AF75" s="30"/>
      <c r="AG75" s="30"/>
      <c r="AH75" s="13"/>
      <c r="AI75" s="28"/>
      <c r="AJ75" s="28"/>
      <c r="AK75" s="13"/>
      <c r="AL75" s="28"/>
      <c r="AM75" s="30"/>
      <c r="AN75" s="13"/>
      <c r="AO75" s="28"/>
      <c r="AP75" s="13"/>
      <c r="AQ75" s="28"/>
      <c r="AR75" s="13"/>
      <c r="AS75" s="28"/>
      <c r="AT75" s="28"/>
      <c r="AU75" s="21"/>
      <c r="AV75" s="21"/>
      <c r="AW75" s="21"/>
      <c r="AX75" s="21"/>
      <c r="AY75" s="21"/>
      <c r="AZ75" s="21"/>
      <c r="BA75" s="21"/>
      <c r="BB75" s="21"/>
    </row>
    <row r="76" customFormat="false" ht="12.75" hidden="false" customHeight="true" outlineLevel="0" collapsed="false">
      <c r="A76" s="22" t="n">
        <v>75</v>
      </c>
      <c r="B76" s="12"/>
      <c r="C76" s="44"/>
      <c r="D76" s="10"/>
      <c r="E76" s="10"/>
      <c r="F76" s="12"/>
      <c r="G76" s="12"/>
      <c r="H76" s="12"/>
      <c r="I76" s="12"/>
      <c r="J76" s="16"/>
      <c r="K76" s="12"/>
      <c r="L76" s="12"/>
      <c r="M76" s="12"/>
      <c r="N76" s="12"/>
      <c r="O76" s="12"/>
      <c r="P76" s="23"/>
      <c r="Q76" s="28"/>
      <c r="R76" s="28"/>
      <c r="S76" s="28"/>
      <c r="T76" s="28"/>
      <c r="U76" s="13"/>
      <c r="V76" s="13"/>
      <c r="W76" s="13"/>
      <c r="X76" s="13"/>
      <c r="Y76" s="13"/>
      <c r="Z76" s="13"/>
      <c r="AA76" s="13"/>
      <c r="AB76" s="28"/>
      <c r="AC76" s="29"/>
      <c r="AD76" s="28"/>
      <c r="AE76" s="30"/>
      <c r="AF76" s="30"/>
      <c r="AG76" s="30"/>
      <c r="AH76" s="13"/>
      <c r="AI76" s="28"/>
      <c r="AJ76" s="28"/>
      <c r="AK76" s="13"/>
      <c r="AL76" s="28"/>
      <c r="AM76" s="30"/>
      <c r="AN76" s="13"/>
      <c r="AO76" s="28"/>
      <c r="AP76" s="13"/>
      <c r="AQ76" s="28"/>
      <c r="AR76" s="13"/>
      <c r="AS76" s="28"/>
      <c r="AT76" s="28"/>
      <c r="AU76" s="21"/>
      <c r="AV76" s="21"/>
      <c r="AW76" s="21"/>
      <c r="AX76" s="21"/>
      <c r="AY76" s="21"/>
      <c r="AZ76" s="21"/>
      <c r="BA76" s="21"/>
      <c r="BB76" s="21"/>
    </row>
    <row r="77" customFormat="false" ht="12.75" hidden="false" customHeight="true" outlineLevel="0" collapsed="false">
      <c r="A77" s="22" t="n">
        <v>76</v>
      </c>
      <c r="B77" s="12"/>
      <c r="C77" s="45"/>
      <c r="D77" s="24"/>
      <c r="E77" s="24"/>
      <c r="F77" s="12"/>
      <c r="G77" s="12"/>
      <c r="H77" s="12"/>
      <c r="I77" s="12"/>
      <c r="J77" s="27"/>
      <c r="K77" s="12"/>
      <c r="L77" s="12"/>
      <c r="M77" s="12"/>
      <c r="N77" s="12"/>
      <c r="O77" s="12"/>
      <c r="P77" s="23"/>
      <c r="Q77" s="28"/>
      <c r="R77" s="28"/>
      <c r="S77" s="28"/>
      <c r="T77" s="28"/>
      <c r="U77" s="13"/>
      <c r="V77" s="13"/>
      <c r="W77" s="13"/>
      <c r="X77" s="13"/>
      <c r="Y77" s="13"/>
      <c r="Z77" s="13"/>
      <c r="AA77" s="13"/>
      <c r="AB77" s="28"/>
      <c r="AC77" s="29"/>
      <c r="AD77" s="28"/>
      <c r="AE77" s="30"/>
      <c r="AF77" s="30"/>
      <c r="AG77" s="30"/>
      <c r="AH77" s="13"/>
      <c r="AI77" s="28"/>
      <c r="AJ77" s="28"/>
      <c r="AK77" s="13"/>
      <c r="AL77" s="28"/>
      <c r="AM77" s="30"/>
      <c r="AN77" s="13"/>
      <c r="AO77" s="28"/>
      <c r="AP77" s="13"/>
      <c r="AQ77" s="28"/>
      <c r="AR77" s="13"/>
      <c r="AS77" s="28"/>
      <c r="AT77" s="28"/>
      <c r="AU77" s="21"/>
      <c r="AV77" s="21"/>
      <c r="AW77" s="21"/>
      <c r="AX77" s="21"/>
      <c r="AY77" s="21"/>
      <c r="AZ77" s="21"/>
      <c r="BA77" s="21"/>
      <c r="BB77" s="21"/>
    </row>
    <row r="78" customFormat="false" ht="12.75" hidden="false" customHeight="true" outlineLevel="0" collapsed="false">
      <c r="A78" s="22" t="n">
        <v>77</v>
      </c>
      <c r="B78" s="12"/>
      <c r="C78" s="44"/>
      <c r="D78" s="10"/>
      <c r="E78" s="10"/>
      <c r="F78" s="12"/>
      <c r="G78" s="12"/>
      <c r="H78" s="12"/>
      <c r="I78" s="12"/>
      <c r="J78" s="16"/>
      <c r="K78" s="12"/>
      <c r="L78" s="12"/>
      <c r="M78" s="12"/>
      <c r="N78" s="12"/>
      <c r="O78" s="12"/>
      <c r="P78" s="23"/>
      <c r="Q78" s="28"/>
      <c r="R78" s="28"/>
      <c r="S78" s="28"/>
      <c r="T78" s="28"/>
      <c r="U78" s="13"/>
      <c r="V78" s="13"/>
      <c r="W78" s="13"/>
      <c r="X78" s="13"/>
      <c r="Y78" s="13"/>
      <c r="Z78" s="13"/>
      <c r="AA78" s="13"/>
      <c r="AB78" s="28"/>
      <c r="AC78" s="29"/>
      <c r="AD78" s="28"/>
      <c r="AE78" s="30"/>
      <c r="AF78" s="30"/>
      <c r="AG78" s="30"/>
      <c r="AH78" s="13"/>
      <c r="AI78" s="28"/>
      <c r="AJ78" s="28"/>
      <c r="AK78" s="13"/>
      <c r="AL78" s="28"/>
      <c r="AM78" s="30"/>
      <c r="AN78" s="13"/>
      <c r="AO78" s="28"/>
      <c r="AP78" s="13"/>
      <c r="AQ78" s="28"/>
      <c r="AR78" s="13"/>
      <c r="AS78" s="28"/>
      <c r="AT78" s="28"/>
      <c r="AU78" s="21"/>
      <c r="AV78" s="21"/>
      <c r="AW78" s="21"/>
      <c r="AX78" s="21"/>
      <c r="AY78" s="21"/>
      <c r="AZ78" s="21"/>
      <c r="BA78" s="21"/>
      <c r="BB78" s="21"/>
    </row>
    <row r="79" customFormat="false" ht="12.75" hidden="false" customHeight="true" outlineLevel="0" collapsed="false">
      <c r="A79" s="22" t="n">
        <v>78</v>
      </c>
      <c r="B79" s="12"/>
      <c r="C79" s="45"/>
      <c r="D79" s="24"/>
      <c r="E79" s="24"/>
      <c r="F79" s="12"/>
      <c r="G79" s="12"/>
      <c r="H79" s="12"/>
      <c r="I79" s="12"/>
      <c r="J79" s="27"/>
      <c r="K79" s="12"/>
      <c r="L79" s="12"/>
      <c r="M79" s="12"/>
      <c r="N79" s="12"/>
      <c r="O79" s="12"/>
      <c r="P79" s="23"/>
      <c r="Q79" s="28"/>
      <c r="R79" s="28"/>
      <c r="S79" s="28"/>
      <c r="T79" s="28"/>
      <c r="U79" s="13"/>
      <c r="V79" s="13"/>
      <c r="W79" s="13"/>
      <c r="X79" s="13"/>
      <c r="Y79" s="13"/>
      <c r="Z79" s="13"/>
      <c r="AA79" s="13"/>
      <c r="AB79" s="28"/>
      <c r="AC79" s="29"/>
      <c r="AD79" s="28"/>
      <c r="AE79" s="30"/>
      <c r="AF79" s="30"/>
      <c r="AG79" s="30"/>
      <c r="AH79" s="13"/>
      <c r="AI79" s="28"/>
      <c r="AJ79" s="28"/>
      <c r="AK79" s="13"/>
      <c r="AL79" s="28"/>
      <c r="AM79" s="30"/>
      <c r="AN79" s="13"/>
      <c r="AO79" s="28"/>
      <c r="AP79" s="13"/>
      <c r="AQ79" s="28"/>
      <c r="AR79" s="13"/>
      <c r="AS79" s="28"/>
      <c r="AT79" s="28"/>
      <c r="AU79" s="21"/>
      <c r="AV79" s="21"/>
      <c r="AW79" s="21"/>
      <c r="AX79" s="21"/>
      <c r="AY79" s="21"/>
      <c r="AZ79" s="21"/>
      <c r="BA79" s="21"/>
      <c r="BB79" s="21"/>
    </row>
    <row r="80" customFormat="false" ht="12.75" hidden="false" customHeight="true" outlineLevel="0" collapsed="false">
      <c r="A80" s="22" t="n">
        <v>79</v>
      </c>
      <c r="B80" s="12"/>
      <c r="C80" s="44"/>
      <c r="D80" s="10"/>
      <c r="E80" s="10"/>
      <c r="F80" s="12"/>
      <c r="G80" s="12"/>
      <c r="H80" s="12"/>
      <c r="I80" s="12"/>
      <c r="J80" s="16"/>
      <c r="K80" s="12"/>
      <c r="L80" s="12"/>
      <c r="M80" s="12"/>
      <c r="N80" s="12"/>
      <c r="O80" s="12"/>
      <c r="P80" s="23"/>
      <c r="Q80" s="28"/>
      <c r="R80" s="28"/>
      <c r="S80" s="28"/>
      <c r="T80" s="28"/>
      <c r="U80" s="13"/>
      <c r="V80" s="13"/>
      <c r="W80" s="13"/>
      <c r="X80" s="13"/>
      <c r="Y80" s="13"/>
      <c r="Z80" s="13"/>
      <c r="AA80" s="13"/>
      <c r="AB80" s="28"/>
      <c r="AC80" s="29"/>
      <c r="AD80" s="28"/>
      <c r="AE80" s="30"/>
      <c r="AF80" s="30"/>
      <c r="AG80" s="30"/>
      <c r="AH80" s="13"/>
      <c r="AI80" s="28"/>
      <c r="AJ80" s="28"/>
      <c r="AK80" s="13"/>
      <c r="AL80" s="28"/>
      <c r="AM80" s="30"/>
      <c r="AN80" s="13"/>
      <c r="AO80" s="28"/>
      <c r="AP80" s="13"/>
      <c r="AQ80" s="28"/>
      <c r="AR80" s="13"/>
      <c r="AS80" s="28"/>
      <c r="AT80" s="28"/>
      <c r="AU80" s="21"/>
      <c r="AV80" s="21"/>
      <c r="AW80" s="21"/>
      <c r="AX80" s="21"/>
      <c r="AY80" s="21"/>
      <c r="AZ80" s="21"/>
      <c r="BA80" s="21"/>
      <c r="BB80" s="21"/>
    </row>
    <row r="81" customFormat="false" ht="12.75" hidden="false" customHeight="true" outlineLevel="0" collapsed="false">
      <c r="A81" s="22" t="n">
        <v>80</v>
      </c>
      <c r="B81" s="12"/>
      <c r="C81" s="45"/>
      <c r="D81" s="24"/>
      <c r="E81" s="24"/>
      <c r="F81" s="12"/>
      <c r="G81" s="12"/>
      <c r="H81" s="12"/>
      <c r="I81" s="12"/>
      <c r="J81" s="27"/>
      <c r="K81" s="12"/>
      <c r="L81" s="12"/>
      <c r="M81" s="12"/>
      <c r="N81" s="12"/>
      <c r="O81" s="12"/>
      <c r="P81" s="23"/>
      <c r="Q81" s="28"/>
      <c r="R81" s="28"/>
      <c r="S81" s="28"/>
      <c r="T81" s="28"/>
      <c r="U81" s="13"/>
      <c r="V81" s="13"/>
      <c r="W81" s="13"/>
      <c r="X81" s="13"/>
      <c r="Y81" s="13"/>
      <c r="Z81" s="13"/>
      <c r="AA81" s="13"/>
      <c r="AB81" s="28"/>
      <c r="AC81" s="29"/>
      <c r="AD81" s="28"/>
      <c r="AE81" s="30"/>
      <c r="AF81" s="30"/>
      <c r="AG81" s="30"/>
      <c r="AH81" s="13"/>
      <c r="AI81" s="28"/>
      <c r="AJ81" s="28"/>
      <c r="AK81" s="13"/>
      <c r="AL81" s="28"/>
      <c r="AM81" s="30"/>
      <c r="AN81" s="13"/>
      <c r="AO81" s="28"/>
      <c r="AP81" s="13"/>
      <c r="AQ81" s="28"/>
      <c r="AR81" s="13"/>
      <c r="AS81" s="28"/>
      <c r="AT81" s="28"/>
      <c r="AU81" s="21"/>
      <c r="AV81" s="21"/>
      <c r="AW81" s="21"/>
      <c r="AX81" s="21"/>
      <c r="AY81" s="21"/>
      <c r="AZ81" s="21"/>
      <c r="BA81" s="21"/>
      <c r="BB81" s="21"/>
    </row>
    <row r="82" customFormat="false" ht="12.75" hidden="false" customHeight="true" outlineLevel="0" collapsed="false">
      <c r="A82" s="22" t="n">
        <v>81</v>
      </c>
      <c r="B82" s="12"/>
      <c r="C82" s="44"/>
      <c r="D82" s="10"/>
      <c r="E82" s="10"/>
      <c r="F82" s="12"/>
      <c r="G82" s="12"/>
      <c r="H82" s="12"/>
      <c r="I82" s="12"/>
      <c r="J82" s="16"/>
      <c r="K82" s="12"/>
      <c r="L82" s="12"/>
      <c r="M82" s="12"/>
      <c r="N82" s="12"/>
      <c r="O82" s="12"/>
      <c r="P82" s="23"/>
      <c r="Q82" s="28"/>
      <c r="R82" s="28"/>
      <c r="S82" s="28"/>
      <c r="T82" s="28"/>
      <c r="U82" s="13"/>
      <c r="V82" s="13"/>
      <c r="W82" s="13"/>
      <c r="X82" s="13"/>
      <c r="Y82" s="13"/>
      <c r="Z82" s="13"/>
      <c r="AA82" s="13"/>
      <c r="AB82" s="28"/>
      <c r="AC82" s="29"/>
      <c r="AD82" s="28"/>
      <c r="AE82" s="30"/>
      <c r="AF82" s="30"/>
      <c r="AG82" s="30"/>
      <c r="AH82" s="13"/>
      <c r="AI82" s="28"/>
      <c r="AJ82" s="28"/>
      <c r="AK82" s="13"/>
      <c r="AL82" s="28"/>
      <c r="AM82" s="30"/>
      <c r="AN82" s="13"/>
      <c r="AO82" s="28"/>
      <c r="AP82" s="13"/>
      <c r="AQ82" s="28"/>
      <c r="AR82" s="13"/>
      <c r="AS82" s="28"/>
      <c r="AT82" s="28"/>
      <c r="AU82" s="21"/>
      <c r="AV82" s="21"/>
      <c r="AW82" s="21"/>
      <c r="AX82" s="21"/>
      <c r="AY82" s="21"/>
      <c r="AZ82" s="21"/>
      <c r="BA82" s="21"/>
      <c r="BB82" s="21"/>
    </row>
    <row r="83" customFormat="false" ht="12.75" hidden="false" customHeight="true" outlineLevel="0" collapsed="false">
      <c r="A83" s="22" t="n">
        <v>82</v>
      </c>
      <c r="B83" s="12"/>
      <c r="C83" s="45"/>
      <c r="D83" s="24"/>
      <c r="E83" s="24"/>
      <c r="F83" s="12"/>
      <c r="G83" s="12"/>
      <c r="H83" s="12"/>
      <c r="I83" s="12"/>
      <c r="J83" s="27"/>
      <c r="K83" s="12"/>
      <c r="L83" s="12"/>
      <c r="M83" s="12"/>
      <c r="N83" s="12"/>
      <c r="O83" s="12"/>
      <c r="P83" s="23"/>
      <c r="Q83" s="28"/>
      <c r="R83" s="28"/>
      <c r="S83" s="28"/>
      <c r="T83" s="28"/>
      <c r="U83" s="13"/>
      <c r="V83" s="13"/>
      <c r="W83" s="13"/>
      <c r="X83" s="13"/>
      <c r="Y83" s="13"/>
      <c r="Z83" s="13"/>
      <c r="AA83" s="13"/>
      <c r="AB83" s="28"/>
      <c r="AC83" s="29"/>
      <c r="AD83" s="28"/>
      <c r="AE83" s="30"/>
      <c r="AF83" s="30"/>
      <c r="AG83" s="30"/>
      <c r="AH83" s="13"/>
      <c r="AI83" s="28"/>
      <c r="AJ83" s="28"/>
      <c r="AK83" s="13"/>
      <c r="AL83" s="28"/>
      <c r="AM83" s="30"/>
      <c r="AN83" s="13"/>
      <c r="AO83" s="28"/>
      <c r="AP83" s="13"/>
      <c r="AQ83" s="28"/>
      <c r="AR83" s="13"/>
      <c r="AS83" s="28"/>
      <c r="AT83" s="28"/>
      <c r="AU83" s="21"/>
      <c r="AV83" s="21"/>
      <c r="AW83" s="21"/>
      <c r="AX83" s="21"/>
      <c r="AY83" s="21"/>
      <c r="AZ83" s="21"/>
      <c r="BA83" s="21"/>
      <c r="BB83" s="21"/>
    </row>
    <row r="84" customFormat="false" ht="12.75" hidden="false" customHeight="true" outlineLevel="0" collapsed="false">
      <c r="A84" s="22" t="n">
        <v>83</v>
      </c>
      <c r="B84" s="12"/>
      <c r="C84" s="44"/>
      <c r="D84" s="10"/>
      <c r="E84" s="10"/>
      <c r="F84" s="12"/>
      <c r="G84" s="12"/>
      <c r="H84" s="12"/>
      <c r="I84" s="12"/>
      <c r="J84" s="16"/>
      <c r="K84" s="12"/>
      <c r="L84" s="12"/>
      <c r="M84" s="12"/>
      <c r="N84" s="12"/>
      <c r="O84" s="12"/>
      <c r="P84" s="23"/>
      <c r="Q84" s="28"/>
      <c r="R84" s="28"/>
      <c r="S84" s="28"/>
      <c r="T84" s="28"/>
      <c r="U84" s="13"/>
      <c r="V84" s="13"/>
      <c r="W84" s="13"/>
      <c r="X84" s="13"/>
      <c r="Y84" s="13"/>
      <c r="Z84" s="13"/>
      <c r="AA84" s="13"/>
      <c r="AB84" s="28"/>
      <c r="AC84" s="29"/>
      <c r="AD84" s="28"/>
      <c r="AE84" s="30"/>
      <c r="AF84" s="30"/>
      <c r="AG84" s="30"/>
      <c r="AH84" s="13"/>
      <c r="AI84" s="28"/>
      <c r="AJ84" s="28"/>
      <c r="AK84" s="13"/>
      <c r="AL84" s="28"/>
      <c r="AM84" s="30"/>
      <c r="AN84" s="13"/>
      <c r="AO84" s="28"/>
      <c r="AP84" s="13"/>
      <c r="AQ84" s="28"/>
      <c r="AR84" s="13"/>
      <c r="AS84" s="28"/>
      <c r="AT84" s="28"/>
      <c r="AU84" s="21"/>
      <c r="AV84" s="21"/>
      <c r="AW84" s="21"/>
      <c r="AX84" s="21"/>
      <c r="AY84" s="21"/>
      <c r="AZ84" s="21"/>
      <c r="BA84" s="21"/>
      <c r="BB84" s="21"/>
    </row>
    <row r="85" customFormat="false" ht="12.75" hidden="false" customHeight="true" outlineLevel="0" collapsed="false">
      <c r="A85" s="22" t="n">
        <v>84</v>
      </c>
      <c r="B85" s="12"/>
      <c r="C85" s="45"/>
      <c r="D85" s="24"/>
      <c r="E85" s="24"/>
      <c r="F85" s="12"/>
      <c r="G85" s="12"/>
      <c r="H85" s="12"/>
      <c r="I85" s="12"/>
      <c r="J85" s="27"/>
      <c r="K85" s="12"/>
      <c r="L85" s="12"/>
      <c r="M85" s="12"/>
      <c r="N85" s="12"/>
      <c r="O85" s="12"/>
      <c r="P85" s="23"/>
      <c r="Q85" s="28"/>
      <c r="R85" s="28"/>
      <c r="S85" s="28"/>
      <c r="T85" s="28"/>
      <c r="U85" s="13"/>
      <c r="V85" s="13"/>
      <c r="W85" s="13"/>
      <c r="X85" s="13"/>
      <c r="Y85" s="13"/>
      <c r="Z85" s="13"/>
      <c r="AA85" s="13"/>
      <c r="AB85" s="28"/>
      <c r="AC85" s="29"/>
      <c r="AD85" s="28"/>
      <c r="AE85" s="30"/>
      <c r="AF85" s="30"/>
      <c r="AG85" s="30"/>
      <c r="AH85" s="13"/>
      <c r="AI85" s="28"/>
      <c r="AJ85" s="28"/>
      <c r="AK85" s="13"/>
      <c r="AL85" s="28"/>
      <c r="AM85" s="30"/>
      <c r="AN85" s="13"/>
      <c r="AO85" s="28"/>
      <c r="AP85" s="13"/>
      <c r="AQ85" s="28"/>
      <c r="AR85" s="13"/>
      <c r="AS85" s="28"/>
      <c r="AT85" s="28"/>
      <c r="AU85" s="21"/>
      <c r="AV85" s="21"/>
      <c r="AW85" s="21"/>
      <c r="AX85" s="21"/>
      <c r="AY85" s="21"/>
      <c r="AZ85" s="21"/>
      <c r="BA85" s="21"/>
      <c r="BB85" s="21"/>
    </row>
    <row r="86" customFormat="false" ht="12.75" hidden="false" customHeight="true" outlineLevel="0" collapsed="false">
      <c r="A86" s="22" t="n">
        <v>85</v>
      </c>
      <c r="B86" s="12"/>
      <c r="C86" s="44"/>
      <c r="D86" s="10"/>
      <c r="E86" s="10"/>
      <c r="F86" s="12"/>
      <c r="G86" s="12"/>
      <c r="H86" s="12"/>
      <c r="I86" s="12"/>
      <c r="J86" s="16"/>
      <c r="K86" s="12"/>
      <c r="L86" s="12"/>
      <c r="M86" s="12"/>
      <c r="N86" s="12"/>
      <c r="O86" s="12"/>
      <c r="P86" s="23"/>
      <c r="Q86" s="28"/>
      <c r="R86" s="28"/>
      <c r="S86" s="28"/>
      <c r="T86" s="28"/>
      <c r="U86" s="13"/>
      <c r="V86" s="13"/>
      <c r="W86" s="13"/>
      <c r="X86" s="13"/>
      <c r="Y86" s="13"/>
      <c r="Z86" s="13"/>
      <c r="AA86" s="13"/>
      <c r="AB86" s="28"/>
      <c r="AC86" s="29"/>
      <c r="AD86" s="28"/>
      <c r="AE86" s="30"/>
      <c r="AF86" s="30"/>
      <c r="AG86" s="30"/>
      <c r="AH86" s="13"/>
      <c r="AI86" s="28"/>
      <c r="AJ86" s="28"/>
      <c r="AK86" s="13"/>
      <c r="AL86" s="28"/>
      <c r="AM86" s="30"/>
      <c r="AN86" s="13"/>
      <c r="AO86" s="28"/>
      <c r="AP86" s="13"/>
      <c r="AQ86" s="28"/>
      <c r="AR86" s="13"/>
      <c r="AS86" s="28"/>
      <c r="AT86" s="28"/>
      <c r="AU86" s="21"/>
      <c r="AV86" s="21"/>
      <c r="AW86" s="21"/>
      <c r="AX86" s="21"/>
      <c r="AY86" s="21"/>
      <c r="AZ86" s="21"/>
      <c r="BA86" s="21"/>
      <c r="BB86" s="21"/>
    </row>
    <row r="87" customFormat="false" ht="12.75" hidden="false" customHeight="true" outlineLevel="0" collapsed="false">
      <c r="A87" s="22" t="n">
        <v>86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3"/>
      <c r="Q87" s="28"/>
      <c r="R87" s="28"/>
      <c r="S87" s="28"/>
      <c r="T87" s="28"/>
      <c r="U87" s="13"/>
      <c r="V87" s="13"/>
      <c r="W87" s="13"/>
      <c r="X87" s="13"/>
      <c r="Y87" s="13"/>
      <c r="Z87" s="13"/>
      <c r="AA87" s="13"/>
      <c r="AB87" s="28"/>
      <c r="AC87" s="29"/>
      <c r="AD87" s="28"/>
      <c r="AE87" s="30"/>
      <c r="AF87" s="30"/>
      <c r="AG87" s="30"/>
      <c r="AH87" s="13"/>
      <c r="AI87" s="28"/>
      <c r="AJ87" s="28"/>
      <c r="AK87" s="13"/>
      <c r="AL87" s="28"/>
      <c r="AM87" s="30"/>
      <c r="AN87" s="13"/>
      <c r="AO87" s="28"/>
      <c r="AP87" s="13"/>
      <c r="AQ87" s="28"/>
      <c r="AR87" s="13"/>
      <c r="AS87" s="28"/>
      <c r="AT87" s="28"/>
      <c r="AU87" s="21"/>
      <c r="AV87" s="21"/>
      <c r="AW87" s="21"/>
      <c r="AX87" s="21"/>
      <c r="AY87" s="21"/>
      <c r="AZ87" s="21"/>
      <c r="BA87" s="21"/>
      <c r="BB87" s="21"/>
    </row>
    <row r="88" customFormat="false" ht="12.75" hidden="false" customHeight="true" outlineLevel="0" collapsed="false">
      <c r="A88" s="22" t="n">
        <v>87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3"/>
      <c r="Q88" s="28"/>
      <c r="R88" s="28"/>
      <c r="S88" s="28"/>
      <c r="T88" s="28"/>
      <c r="U88" s="13"/>
      <c r="V88" s="13"/>
      <c r="W88" s="13"/>
      <c r="X88" s="13"/>
      <c r="Y88" s="13"/>
      <c r="Z88" s="13"/>
      <c r="AA88" s="13"/>
      <c r="AB88" s="28"/>
      <c r="AC88" s="29"/>
      <c r="AD88" s="28"/>
      <c r="AE88" s="30"/>
      <c r="AF88" s="30"/>
      <c r="AG88" s="30"/>
      <c r="AH88" s="13"/>
      <c r="AI88" s="28"/>
      <c r="AJ88" s="28"/>
      <c r="AK88" s="13"/>
      <c r="AL88" s="28"/>
      <c r="AM88" s="30"/>
      <c r="AN88" s="13"/>
      <c r="AO88" s="28"/>
      <c r="AP88" s="13"/>
      <c r="AQ88" s="28"/>
      <c r="AR88" s="13"/>
      <c r="AS88" s="28"/>
      <c r="AT88" s="28"/>
      <c r="AU88" s="21"/>
      <c r="AV88" s="21"/>
      <c r="AW88" s="21"/>
      <c r="AX88" s="21"/>
      <c r="AY88" s="21"/>
      <c r="AZ88" s="21"/>
      <c r="BA88" s="21"/>
      <c r="BB88" s="21"/>
    </row>
    <row r="89" customFormat="false" ht="12.75" hidden="false" customHeight="true" outlineLevel="0" collapsed="false">
      <c r="A89" s="22" t="n">
        <v>88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3"/>
      <c r="Q89" s="28"/>
      <c r="R89" s="28"/>
      <c r="S89" s="28"/>
      <c r="T89" s="28"/>
      <c r="U89" s="13"/>
      <c r="V89" s="13"/>
      <c r="W89" s="13"/>
      <c r="X89" s="13"/>
      <c r="Y89" s="13"/>
      <c r="Z89" s="13"/>
      <c r="AA89" s="13"/>
      <c r="AB89" s="28"/>
      <c r="AC89" s="29"/>
      <c r="AD89" s="28"/>
      <c r="AE89" s="30"/>
      <c r="AF89" s="30"/>
      <c r="AG89" s="30"/>
      <c r="AH89" s="13"/>
      <c r="AI89" s="28"/>
      <c r="AJ89" s="28"/>
      <c r="AK89" s="13"/>
      <c r="AL89" s="28"/>
      <c r="AM89" s="30"/>
      <c r="AN89" s="13"/>
      <c r="AO89" s="28"/>
      <c r="AP89" s="13"/>
      <c r="AQ89" s="28"/>
      <c r="AR89" s="13"/>
      <c r="AS89" s="28"/>
      <c r="AT89" s="28"/>
      <c r="AU89" s="21"/>
      <c r="AV89" s="21"/>
      <c r="AW89" s="21"/>
      <c r="AX89" s="21"/>
      <c r="AY89" s="21"/>
      <c r="AZ89" s="21"/>
      <c r="BA89" s="21"/>
      <c r="BB89" s="21"/>
    </row>
    <row r="90" customFormat="false" ht="12.75" hidden="false" customHeight="true" outlineLevel="0" collapsed="false">
      <c r="A90" s="22" t="n">
        <v>89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3"/>
      <c r="Q90" s="28"/>
      <c r="R90" s="28"/>
      <c r="S90" s="28"/>
      <c r="T90" s="28"/>
      <c r="U90" s="13"/>
      <c r="V90" s="13"/>
      <c r="W90" s="13"/>
      <c r="X90" s="13"/>
      <c r="Y90" s="13"/>
      <c r="Z90" s="13"/>
      <c r="AA90" s="13"/>
      <c r="AB90" s="28"/>
      <c r="AC90" s="29"/>
      <c r="AD90" s="28"/>
      <c r="AE90" s="30"/>
      <c r="AF90" s="30"/>
      <c r="AG90" s="30"/>
      <c r="AH90" s="13"/>
      <c r="AI90" s="28"/>
      <c r="AJ90" s="28"/>
      <c r="AK90" s="13"/>
      <c r="AL90" s="28"/>
      <c r="AM90" s="30"/>
      <c r="AN90" s="13"/>
      <c r="AO90" s="28"/>
      <c r="AP90" s="13"/>
      <c r="AQ90" s="28"/>
      <c r="AR90" s="13"/>
      <c r="AS90" s="28"/>
      <c r="AT90" s="28"/>
      <c r="AU90" s="21"/>
      <c r="AV90" s="21"/>
      <c r="AW90" s="21"/>
      <c r="AX90" s="21"/>
      <c r="AY90" s="21"/>
      <c r="AZ90" s="21"/>
      <c r="BA90" s="21"/>
      <c r="BB90" s="21"/>
    </row>
    <row r="91" customFormat="false" ht="12.75" hidden="false" customHeight="true" outlineLevel="0" collapsed="false">
      <c r="A91" s="22" t="n">
        <v>90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23"/>
      <c r="Q91" s="28"/>
      <c r="R91" s="28"/>
      <c r="S91" s="28"/>
      <c r="T91" s="28"/>
      <c r="U91" s="13"/>
      <c r="V91" s="13"/>
      <c r="W91" s="13"/>
      <c r="X91" s="13"/>
      <c r="Y91" s="13"/>
      <c r="Z91" s="13"/>
      <c r="AA91" s="13"/>
      <c r="AB91" s="28"/>
      <c r="AC91" s="29"/>
      <c r="AD91" s="28"/>
      <c r="AE91" s="30"/>
      <c r="AF91" s="30"/>
      <c r="AG91" s="30"/>
      <c r="AH91" s="13"/>
      <c r="AI91" s="28"/>
      <c r="AJ91" s="28"/>
      <c r="AK91" s="13"/>
      <c r="AL91" s="28"/>
      <c r="AM91" s="30"/>
      <c r="AN91" s="13"/>
      <c r="AO91" s="28"/>
      <c r="AP91" s="13"/>
      <c r="AQ91" s="28"/>
      <c r="AR91" s="13"/>
      <c r="AS91" s="28"/>
      <c r="AT91" s="28"/>
      <c r="AU91" s="21"/>
      <c r="AV91" s="21"/>
      <c r="AW91" s="21"/>
      <c r="AX91" s="21"/>
      <c r="AY91" s="21"/>
      <c r="AZ91" s="21"/>
      <c r="BA91" s="21"/>
      <c r="BB91" s="21"/>
    </row>
    <row r="92" customFormat="false" ht="12.75" hidden="false" customHeight="true" outlineLevel="0" collapsed="false">
      <c r="A92" s="22" t="n">
        <v>91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23"/>
      <c r="Q92" s="28"/>
      <c r="R92" s="28"/>
      <c r="S92" s="28"/>
      <c r="T92" s="28"/>
      <c r="U92" s="13"/>
      <c r="V92" s="13"/>
      <c r="W92" s="13"/>
      <c r="X92" s="13"/>
      <c r="Y92" s="13"/>
      <c r="Z92" s="13"/>
      <c r="AA92" s="13"/>
      <c r="AB92" s="28"/>
      <c r="AC92" s="29"/>
      <c r="AD92" s="28"/>
      <c r="AE92" s="30"/>
      <c r="AF92" s="30"/>
      <c r="AG92" s="30"/>
      <c r="AH92" s="13"/>
      <c r="AI92" s="28"/>
      <c r="AJ92" s="28"/>
      <c r="AK92" s="13"/>
      <c r="AL92" s="28"/>
      <c r="AM92" s="30"/>
      <c r="AN92" s="13"/>
      <c r="AO92" s="28"/>
      <c r="AP92" s="13"/>
      <c r="AQ92" s="28"/>
      <c r="AR92" s="13"/>
      <c r="AS92" s="28"/>
      <c r="AT92" s="28"/>
      <c r="AU92" s="21"/>
      <c r="AV92" s="21"/>
      <c r="AW92" s="21"/>
      <c r="AX92" s="21"/>
      <c r="AY92" s="21"/>
      <c r="AZ92" s="21"/>
      <c r="BA92" s="21"/>
      <c r="BB92" s="21"/>
    </row>
    <row r="93" customFormat="false" ht="12.75" hidden="false" customHeight="true" outlineLevel="0" collapsed="false">
      <c r="A93" s="22" t="n">
        <v>92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23"/>
      <c r="Q93" s="28"/>
      <c r="R93" s="28"/>
      <c r="S93" s="28"/>
      <c r="T93" s="28"/>
      <c r="U93" s="13"/>
      <c r="V93" s="13"/>
      <c r="W93" s="13"/>
      <c r="X93" s="13"/>
      <c r="Y93" s="13"/>
      <c r="Z93" s="13"/>
      <c r="AA93" s="13"/>
      <c r="AB93" s="28"/>
      <c r="AC93" s="29"/>
      <c r="AD93" s="28"/>
      <c r="AE93" s="30"/>
      <c r="AF93" s="30"/>
      <c r="AG93" s="30"/>
      <c r="AH93" s="13"/>
      <c r="AI93" s="28"/>
      <c r="AJ93" s="28"/>
      <c r="AK93" s="13"/>
      <c r="AL93" s="28"/>
      <c r="AM93" s="30"/>
      <c r="AN93" s="13"/>
      <c r="AO93" s="28"/>
      <c r="AP93" s="13"/>
      <c r="AQ93" s="28"/>
      <c r="AR93" s="13"/>
      <c r="AS93" s="28"/>
      <c r="AT93" s="28"/>
      <c r="AU93" s="21"/>
      <c r="AV93" s="21"/>
      <c r="AW93" s="21"/>
      <c r="AX93" s="21"/>
      <c r="AY93" s="21"/>
      <c r="AZ93" s="21"/>
      <c r="BA93" s="21"/>
      <c r="BB93" s="21"/>
    </row>
    <row r="94" customFormat="false" ht="12.75" hidden="false" customHeight="true" outlineLevel="0" collapsed="false">
      <c r="A94" s="22" t="n">
        <v>93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23"/>
      <c r="Q94" s="28"/>
      <c r="R94" s="28"/>
      <c r="S94" s="28"/>
      <c r="T94" s="28"/>
      <c r="U94" s="13"/>
      <c r="V94" s="13"/>
      <c r="W94" s="13"/>
      <c r="X94" s="13"/>
      <c r="Y94" s="13"/>
      <c r="Z94" s="13"/>
      <c r="AA94" s="13"/>
      <c r="AB94" s="28"/>
      <c r="AC94" s="29"/>
      <c r="AD94" s="28"/>
      <c r="AE94" s="30"/>
      <c r="AF94" s="30"/>
      <c r="AG94" s="30"/>
      <c r="AH94" s="13"/>
      <c r="AI94" s="28"/>
      <c r="AJ94" s="28"/>
      <c r="AK94" s="13"/>
      <c r="AL94" s="28"/>
      <c r="AM94" s="30"/>
      <c r="AN94" s="13"/>
      <c r="AO94" s="28"/>
      <c r="AP94" s="13"/>
      <c r="AQ94" s="28"/>
      <c r="AR94" s="13"/>
      <c r="AS94" s="28"/>
      <c r="AT94" s="28"/>
      <c r="AU94" s="21"/>
      <c r="AV94" s="21"/>
      <c r="AW94" s="21"/>
      <c r="AX94" s="21"/>
      <c r="AY94" s="21"/>
      <c r="AZ94" s="21"/>
      <c r="BA94" s="21"/>
      <c r="BB94" s="21"/>
    </row>
    <row r="95" customFormat="false" ht="12.75" hidden="false" customHeight="true" outlineLevel="0" collapsed="false">
      <c r="A95" s="22" t="n">
        <v>94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23"/>
      <c r="Q95" s="28"/>
      <c r="R95" s="28"/>
      <c r="S95" s="28"/>
      <c r="T95" s="28"/>
      <c r="U95" s="13"/>
      <c r="V95" s="13"/>
      <c r="W95" s="13"/>
      <c r="X95" s="13"/>
      <c r="Y95" s="13"/>
      <c r="Z95" s="13"/>
      <c r="AA95" s="13"/>
      <c r="AB95" s="28"/>
      <c r="AC95" s="29"/>
      <c r="AD95" s="28"/>
      <c r="AE95" s="30"/>
      <c r="AF95" s="30"/>
      <c r="AG95" s="30"/>
      <c r="AH95" s="13"/>
      <c r="AI95" s="28"/>
      <c r="AJ95" s="28"/>
      <c r="AK95" s="13"/>
      <c r="AL95" s="28"/>
      <c r="AM95" s="30"/>
      <c r="AN95" s="13"/>
      <c r="AO95" s="28"/>
      <c r="AP95" s="13"/>
      <c r="AQ95" s="28"/>
      <c r="AR95" s="13"/>
      <c r="AS95" s="28"/>
      <c r="AT95" s="28"/>
      <c r="AU95" s="21"/>
      <c r="AV95" s="21"/>
      <c r="AW95" s="21"/>
      <c r="AX95" s="21"/>
      <c r="AY95" s="21"/>
      <c r="AZ95" s="21"/>
      <c r="BA95" s="21"/>
      <c r="BB95" s="21"/>
    </row>
    <row r="96" customFormat="false" ht="12.75" hidden="false" customHeight="true" outlineLevel="0" collapsed="false">
      <c r="A96" s="22" t="n">
        <v>95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23"/>
      <c r="Q96" s="28"/>
      <c r="R96" s="28"/>
      <c r="S96" s="28"/>
      <c r="T96" s="28"/>
      <c r="U96" s="13"/>
      <c r="V96" s="13"/>
      <c r="W96" s="13"/>
      <c r="X96" s="13"/>
      <c r="Y96" s="13"/>
      <c r="Z96" s="13"/>
      <c r="AA96" s="13"/>
      <c r="AB96" s="28"/>
      <c r="AC96" s="29"/>
      <c r="AD96" s="28"/>
      <c r="AE96" s="30"/>
      <c r="AF96" s="30"/>
      <c r="AG96" s="30"/>
      <c r="AH96" s="13"/>
      <c r="AI96" s="28"/>
      <c r="AJ96" s="28"/>
      <c r="AK96" s="13"/>
      <c r="AL96" s="28"/>
      <c r="AM96" s="30"/>
      <c r="AN96" s="13"/>
      <c r="AO96" s="28"/>
      <c r="AP96" s="13"/>
      <c r="AQ96" s="28"/>
      <c r="AR96" s="13"/>
      <c r="AS96" s="28"/>
      <c r="AT96" s="28"/>
      <c r="AU96" s="21"/>
      <c r="AV96" s="21"/>
      <c r="AW96" s="21"/>
      <c r="AX96" s="21"/>
      <c r="AY96" s="21"/>
      <c r="AZ96" s="21"/>
      <c r="BA96" s="21"/>
      <c r="BB96" s="21"/>
    </row>
    <row r="97" customFormat="false" ht="12.75" hidden="false" customHeight="true" outlineLevel="0" collapsed="false">
      <c r="A97" s="22" t="n">
        <v>96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3"/>
      <c r="Q97" s="28"/>
      <c r="R97" s="28"/>
      <c r="S97" s="28"/>
      <c r="T97" s="28"/>
      <c r="U97" s="13"/>
      <c r="V97" s="13"/>
      <c r="W97" s="13"/>
      <c r="X97" s="13"/>
      <c r="Y97" s="13"/>
      <c r="Z97" s="13"/>
      <c r="AA97" s="13"/>
      <c r="AB97" s="28"/>
      <c r="AC97" s="29"/>
      <c r="AD97" s="28"/>
      <c r="AE97" s="30"/>
      <c r="AF97" s="30"/>
      <c r="AG97" s="30"/>
      <c r="AH97" s="13"/>
      <c r="AI97" s="28"/>
      <c r="AJ97" s="28"/>
      <c r="AK97" s="13"/>
      <c r="AL97" s="28"/>
      <c r="AM97" s="30"/>
      <c r="AN97" s="13"/>
      <c r="AO97" s="28"/>
      <c r="AP97" s="13"/>
      <c r="AQ97" s="28"/>
      <c r="AR97" s="13"/>
      <c r="AS97" s="28"/>
      <c r="AT97" s="28"/>
      <c r="AU97" s="21"/>
      <c r="AV97" s="21"/>
      <c r="AW97" s="21"/>
      <c r="AX97" s="21"/>
      <c r="AY97" s="21"/>
      <c r="AZ97" s="21"/>
      <c r="BA97" s="21"/>
      <c r="BB97" s="21"/>
    </row>
    <row r="98" customFormat="false" ht="12.75" hidden="false" customHeight="true" outlineLevel="0" collapsed="false">
      <c r="A98" s="22" t="n">
        <v>97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23"/>
      <c r="Q98" s="28"/>
      <c r="R98" s="28"/>
      <c r="S98" s="28"/>
      <c r="T98" s="28"/>
      <c r="U98" s="13"/>
      <c r="V98" s="13"/>
      <c r="W98" s="13"/>
      <c r="X98" s="13"/>
      <c r="Y98" s="13"/>
      <c r="Z98" s="13"/>
      <c r="AA98" s="13"/>
      <c r="AB98" s="28"/>
      <c r="AC98" s="29"/>
      <c r="AD98" s="28"/>
      <c r="AE98" s="30"/>
      <c r="AF98" s="30"/>
      <c r="AG98" s="30"/>
      <c r="AH98" s="13"/>
      <c r="AI98" s="28"/>
      <c r="AJ98" s="28"/>
      <c r="AK98" s="13"/>
      <c r="AL98" s="28"/>
      <c r="AM98" s="30"/>
      <c r="AN98" s="13"/>
      <c r="AO98" s="28"/>
      <c r="AP98" s="13"/>
      <c r="AQ98" s="28"/>
      <c r="AR98" s="13"/>
      <c r="AS98" s="28"/>
      <c r="AT98" s="28"/>
      <c r="AU98" s="21"/>
      <c r="AV98" s="21"/>
      <c r="AW98" s="21"/>
      <c r="AX98" s="21"/>
      <c r="AY98" s="21"/>
      <c r="AZ98" s="21"/>
      <c r="BA98" s="21"/>
      <c r="BB98" s="21"/>
    </row>
    <row r="99" customFormat="false" ht="12.75" hidden="false" customHeight="true" outlineLevel="0" collapsed="false">
      <c r="A99" s="22" t="n">
        <v>98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23"/>
      <c r="Q99" s="28"/>
      <c r="R99" s="28"/>
      <c r="S99" s="28"/>
      <c r="T99" s="28"/>
      <c r="U99" s="13"/>
      <c r="V99" s="13"/>
      <c r="W99" s="13"/>
      <c r="X99" s="13"/>
      <c r="Y99" s="13"/>
      <c r="Z99" s="13"/>
      <c r="AA99" s="13"/>
      <c r="AB99" s="28"/>
      <c r="AC99" s="29"/>
      <c r="AD99" s="28"/>
      <c r="AE99" s="30"/>
      <c r="AF99" s="30"/>
      <c r="AG99" s="30"/>
      <c r="AH99" s="13"/>
      <c r="AI99" s="28"/>
      <c r="AJ99" s="28"/>
      <c r="AK99" s="13"/>
      <c r="AL99" s="28"/>
      <c r="AM99" s="30"/>
      <c r="AN99" s="13"/>
      <c r="AO99" s="28"/>
      <c r="AP99" s="13"/>
      <c r="AQ99" s="28"/>
      <c r="AR99" s="13"/>
      <c r="AS99" s="28"/>
      <c r="AT99" s="28"/>
      <c r="AU99" s="21"/>
      <c r="AV99" s="21"/>
      <c r="AW99" s="21"/>
      <c r="AX99" s="21"/>
      <c r="AY99" s="21"/>
      <c r="AZ99" s="21"/>
      <c r="BA99" s="21"/>
      <c r="BB99" s="21"/>
    </row>
    <row r="100" customFormat="false" ht="12.75" hidden="false" customHeight="true" outlineLevel="0" collapsed="false">
      <c r="A100" s="22" t="n">
        <v>99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28"/>
      <c r="R100" s="28"/>
      <c r="S100" s="28"/>
      <c r="T100" s="28"/>
      <c r="U100" s="13"/>
      <c r="V100" s="13"/>
      <c r="W100" s="13"/>
      <c r="X100" s="13"/>
      <c r="Y100" s="13"/>
      <c r="Z100" s="13"/>
      <c r="AA100" s="13"/>
      <c r="AB100" s="28"/>
      <c r="AC100" s="29"/>
      <c r="AD100" s="28"/>
      <c r="AE100" s="30"/>
      <c r="AF100" s="30"/>
      <c r="AG100" s="30"/>
      <c r="AH100" s="13"/>
      <c r="AI100" s="28"/>
      <c r="AJ100" s="28"/>
      <c r="AK100" s="13"/>
      <c r="AL100" s="28"/>
      <c r="AM100" s="30"/>
      <c r="AN100" s="13"/>
      <c r="AO100" s="28"/>
      <c r="AP100" s="13"/>
      <c r="AQ100" s="28"/>
      <c r="AR100" s="13"/>
      <c r="AS100" s="28"/>
      <c r="AT100" s="28"/>
      <c r="AU100" s="21"/>
      <c r="AV100" s="21"/>
      <c r="AW100" s="21"/>
      <c r="AX100" s="21"/>
      <c r="AY100" s="21"/>
      <c r="AZ100" s="21"/>
      <c r="BA100" s="21"/>
      <c r="BB100" s="21"/>
    </row>
    <row r="101" customFormat="false" ht="12.75" hidden="false" customHeight="true" outlineLevel="0" collapsed="false">
      <c r="A101" s="22" t="n">
        <v>100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28"/>
      <c r="R101" s="28"/>
      <c r="S101" s="28"/>
      <c r="T101" s="28"/>
      <c r="U101" s="13"/>
      <c r="V101" s="13"/>
      <c r="W101" s="13"/>
      <c r="X101" s="13"/>
      <c r="Y101" s="13"/>
      <c r="Z101" s="13"/>
      <c r="AA101" s="13"/>
      <c r="AB101" s="28"/>
      <c r="AC101" s="29"/>
      <c r="AD101" s="28"/>
      <c r="AE101" s="30"/>
      <c r="AF101" s="30"/>
      <c r="AG101" s="30"/>
      <c r="AH101" s="13"/>
      <c r="AI101" s="28"/>
      <c r="AJ101" s="28"/>
      <c r="AK101" s="13"/>
      <c r="AL101" s="28"/>
      <c r="AM101" s="30"/>
      <c r="AN101" s="13"/>
      <c r="AO101" s="28"/>
      <c r="AP101" s="13"/>
      <c r="AQ101" s="28"/>
      <c r="AR101" s="13"/>
      <c r="AS101" s="28"/>
      <c r="AT101" s="28"/>
      <c r="AU101" s="21"/>
      <c r="AV101" s="21"/>
      <c r="AW101" s="21"/>
      <c r="AX101" s="21"/>
      <c r="AY101" s="21"/>
      <c r="AZ101" s="21"/>
      <c r="BA101" s="21"/>
      <c r="BB101" s="21"/>
    </row>
    <row r="102" customFormat="false" ht="13.5" hidden="false" customHeight="false" outlineLevel="0" collapsed="false">
      <c r="A102" s="4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</row>
    <row r="103" customFormat="false" ht="13.5" hidden="false" customHeight="false" outlineLevel="0" collapsed="false">
      <c r="A103" s="46"/>
      <c r="B103" s="2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</row>
    <row r="104" customFormat="false" ht="13.5" hidden="false" customHeight="false" outlineLevel="0" collapsed="false">
      <c r="A104" s="46"/>
      <c r="B104" s="2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</row>
    <row r="105" customFormat="false" ht="13.5" hidden="false" customHeight="false" outlineLevel="0" collapsed="false">
      <c r="A105" s="46"/>
      <c r="B105" s="2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</row>
    <row r="106" customFormat="false" ht="13.5" hidden="false" customHeight="false" outlineLevel="0" collapsed="false">
      <c r="A106" s="46"/>
      <c r="B106" s="2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</row>
    <row r="107" customFormat="false" ht="13.5" hidden="false" customHeight="false" outlineLevel="0" collapsed="false">
      <c r="A107" s="46"/>
      <c r="B107" s="2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</row>
    <row r="108" customFormat="false" ht="13.5" hidden="false" customHeight="false" outlineLevel="0" collapsed="false">
      <c r="A108" s="46"/>
      <c r="B108" s="2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</row>
    <row r="109" customFormat="false" ht="13.5" hidden="false" customHeight="false" outlineLevel="0" collapsed="false">
      <c r="A109" s="46"/>
      <c r="B109" s="2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</row>
    <row r="110" customFormat="false" ht="13.5" hidden="false" customHeight="false" outlineLevel="0" collapsed="false">
      <c r="A110" s="46"/>
      <c r="B110" s="2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</row>
    <row r="111" customFormat="false" ht="13.5" hidden="false" customHeight="false" outlineLevel="0" collapsed="false">
      <c r="A111" s="46"/>
      <c r="B111" s="2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</row>
    <row r="112" customFormat="false" ht="13.5" hidden="false" customHeight="false" outlineLevel="0" collapsed="false">
      <c r="A112" s="46"/>
      <c r="B112" s="2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</row>
    <row r="113" customFormat="false" ht="13.5" hidden="false" customHeight="false" outlineLevel="0" collapsed="false">
      <c r="A113" s="46"/>
      <c r="B113" s="2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</row>
    <row r="114" customFormat="false" ht="13.5" hidden="false" customHeight="false" outlineLevel="0" collapsed="false">
      <c r="A114" s="46"/>
      <c r="B114" s="2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</row>
    <row r="115" customFormat="false" ht="13.5" hidden="false" customHeight="false" outlineLevel="0" collapsed="false">
      <c r="A115" s="46"/>
      <c r="B115" s="2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</row>
    <row r="116" customFormat="false" ht="13.5" hidden="false" customHeight="false" outlineLevel="0" collapsed="false">
      <c r="A116" s="46"/>
      <c r="B116" s="2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</row>
    <row r="117" customFormat="false" ht="13.5" hidden="false" customHeight="false" outlineLevel="0" collapsed="false">
      <c r="A117" s="46"/>
      <c r="B117" s="2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</row>
    <row r="118" customFormat="false" ht="13.5" hidden="false" customHeight="false" outlineLevel="0" collapsed="false">
      <c r="A118" s="46"/>
      <c r="B118" s="2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</row>
    <row r="119" customFormat="false" ht="13.5" hidden="false" customHeight="false" outlineLevel="0" collapsed="false">
      <c r="A119" s="46"/>
      <c r="B119" s="2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</row>
    <row r="120" customFormat="false" ht="13.5" hidden="false" customHeight="false" outlineLevel="0" collapsed="false">
      <c r="A120" s="46"/>
      <c r="B120" s="2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</row>
    <row r="121" customFormat="false" ht="13.5" hidden="false" customHeight="false" outlineLevel="0" collapsed="false">
      <c r="A121" s="46"/>
      <c r="B121" s="2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</row>
    <row r="122" customFormat="false" ht="13.5" hidden="false" customHeight="false" outlineLevel="0" collapsed="false">
      <c r="A122" s="46"/>
      <c r="B122" s="2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</row>
    <row r="123" customFormat="false" ht="13.5" hidden="false" customHeight="false" outlineLevel="0" collapsed="false">
      <c r="A123" s="46"/>
      <c r="B123" s="2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</row>
    <row r="124" customFormat="false" ht="13.5" hidden="false" customHeight="false" outlineLevel="0" collapsed="false">
      <c r="A124" s="46"/>
      <c r="B124" s="2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</row>
    <row r="125" customFormat="false" ht="12.75" hidden="false" customHeight="false" outlineLevel="0" collapsed="false">
      <c r="A125" s="4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</row>
    <row r="126" customFormat="false" ht="12.75" hidden="false" customHeight="false" outlineLevel="0" collapsed="false">
      <c r="A126" s="4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</row>
    <row r="127" customFormat="false" ht="12.75" hidden="false" customHeight="false" outlineLevel="0" collapsed="false">
      <c r="A127" s="4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</row>
    <row r="128" customFormat="false" ht="12.75" hidden="false" customHeight="false" outlineLevel="0" collapsed="false">
      <c r="A128" s="4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</row>
    <row r="129" customFormat="false" ht="12.75" hidden="false" customHeight="false" outlineLevel="0" collapsed="false">
      <c r="A129" s="4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</row>
    <row r="130" customFormat="false" ht="12.75" hidden="false" customHeight="false" outlineLevel="0" collapsed="false">
      <c r="A130" s="4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</row>
    <row r="131" customFormat="false" ht="12.75" hidden="false" customHeight="false" outlineLevel="0" collapsed="false">
      <c r="A131" s="4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</row>
    <row r="132" customFormat="false" ht="12.75" hidden="false" customHeight="false" outlineLevel="0" collapsed="false">
      <c r="A132" s="4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</row>
    <row r="133" customFormat="false" ht="12.75" hidden="false" customHeight="false" outlineLevel="0" collapsed="false">
      <c r="A133" s="4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</row>
    <row r="134" customFormat="false" ht="12.75" hidden="false" customHeight="false" outlineLevel="0" collapsed="false">
      <c r="A134" s="4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</row>
    <row r="135" customFormat="false" ht="12.75" hidden="false" customHeight="false" outlineLevel="0" collapsed="false">
      <c r="A135" s="4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</row>
    <row r="136" customFormat="false" ht="12.75" hidden="false" customHeight="false" outlineLevel="0" collapsed="false">
      <c r="A136" s="4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</row>
    <row r="137" customFormat="false" ht="12.75" hidden="false" customHeight="false" outlineLevel="0" collapsed="false">
      <c r="A137" s="4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</row>
    <row r="138" customFormat="false" ht="12.75" hidden="false" customHeight="false" outlineLevel="0" collapsed="false">
      <c r="A138" s="4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</row>
    <row r="139" customFormat="false" ht="12.75" hidden="false" customHeight="false" outlineLevel="0" collapsed="false">
      <c r="A139" s="4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</row>
    <row r="140" customFormat="false" ht="12.75" hidden="false" customHeight="false" outlineLevel="0" collapsed="false">
      <c r="A140" s="4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</row>
    <row r="141" customFormat="false" ht="12.75" hidden="false" customHeight="false" outlineLevel="0" collapsed="false">
      <c r="A141" s="4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</row>
    <row r="142" customFormat="false" ht="12.75" hidden="false" customHeight="false" outlineLevel="0" collapsed="false">
      <c r="A142" s="4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</row>
    <row r="143" customFormat="false" ht="12.75" hidden="false" customHeight="false" outlineLevel="0" collapsed="false">
      <c r="A143" s="4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</row>
    <row r="144" customFormat="false" ht="12.75" hidden="false" customHeight="false" outlineLevel="0" collapsed="false">
      <c r="A144" s="4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</row>
    <row r="145" customFormat="false" ht="12.75" hidden="false" customHeight="false" outlineLevel="0" collapsed="false">
      <c r="A145" s="4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</row>
    <row r="146" customFormat="false" ht="12.75" hidden="false" customHeight="false" outlineLevel="0" collapsed="false">
      <c r="A146" s="4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</row>
    <row r="147" customFormat="false" ht="12.75" hidden="false" customHeight="false" outlineLevel="0" collapsed="false">
      <c r="A147" s="4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</row>
    <row r="148" customFormat="false" ht="12.75" hidden="false" customHeight="false" outlineLevel="0" collapsed="false">
      <c r="A148" s="4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</row>
    <row r="149" customFormat="false" ht="12.75" hidden="false" customHeight="false" outlineLevel="0" collapsed="false">
      <c r="A149" s="4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</row>
    <row r="150" customFormat="false" ht="12.75" hidden="false" customHeight="false" outlineLevel="0" collapsed="false">
      <c r="A150" s="4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</row>
    <row r="151" customFormat="false" ht="12.75" hidden="false" customHeight="false" outlineLevel="0" collapsed="false">
      <c r="A151" s="4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</row>
    <row r="152" customFormat="false" ht="12.75" hidden="false" customHeight="false" outlineLevel="0" collapsed="false">
      <c r="A152" s="4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</row>
    <row r="153" customFormat="false" ht="12.75" hidden="false" customHeight="false" outlineLevel="0" collapsed="false">
      <c r="A153" s="4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</row>
    <row r="154" customFormat="false" ht="12.75" hidden="false" customHeight="false" outlineLevel="0" collapsed="false">
      <c r="A154" s="4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</row>
    <row r="155" customFormat="false" ht="12.75" hidden="false" customHeight="false" outlineLevel="0" collapsed="false">
      <c r="A155" s="4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</row>
    <row r="156" customFormat="false" ht="12.75" hidden="false" customHeight="false" outlineLevel="0" collapsed="false">
      <c r="A156" s="4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</row>
    <row r="157" customFormat="false" ht="12.75" hidden="false" customHeight="false" outlineLevel="0" collapsed="false">
      <c r="A157" s="4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</row>
    <row r="158" customFormat="false" ht="12.75" hidden="false" customHeight="false" outlineLevel="0" collapsed="false">
      <c r="A158" s="4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</row>
    <row r="159" customFormat="false" ht="12.75" hidden="false" customHeight="false" outlineLevel="0" collapsed="false">
      <c r="A159" s="4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</row>
    <row r="160" customFormat="false" ht="12.75" hidden="false" customHeight="false" outlineLevel="0" collapsed="false">
      <c r="A160" s="4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</row>
    <row r="161" customFormat="false" ht="12.75" hidden="false" customHeight="false" outlineLevel="0" collapsed="false">
      <c r="A161" s="4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</row>
    <row r="162" customFormat="false" ht="12.75" hidden="false" customHeight="false" outlineLevel="0" collapsed="false">
      <c r="A162" s="4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</row>
    <row r="163" customFormat="false" ht="12.75" hidden="false" customHeight="false" outlineLevel="0" collapsed="false">
      <c r="A163" s="4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</row>
    <row r="164" customFormat="false" ht="12.75" hidden="false" customHeight="false" outlineLevel="0" collapsed="false">
      <c r="A164" s="4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</row>
    <row r="165" customFormat="false" ht="12.75" hidden="false" customHeight="false" outlineLevel="0" collapsed="false">
      <c r="A165" s="4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</row>
    <row r="166" customFormat="false" ht="12.75" hidden="false" customHeight="false" outlineLevel="0" collapsed="false">
      <c r="A166" s="4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</row>
    <row r="167" customFormat="false" ht="12.75" hidden="false" customHeight="false" outlineLevel="0" collapsed="false">
      <c r="A167" s="4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</row>
    <row r="168" customFormat="false" ht="12.75" hidden="false" customHeight="false" outlineLevel="0" collapsed="false">
      <c r="A168" s="4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</row>
    <row r="169" customFormat="false" ht="12.75" hidden="false" customHeight="false" outlineLevel="0" collapsed="false">
      <c r="A169" s="4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</row>
    <row r="170" customFormat="false" ht="12.75" hidden="false" customHeight="false" outlineLevel="0" collapsed="false">
      <c r="A170" s="4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</row>
    <row r="171" customFormat="false" ht="12.75" hidden="false" customHeight="false" outlineLevel="0" collapsed="false">
      <c r="A171" s="4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</row>
    <row r="172" customFormat="false" ht="12.75" hidden="false" customHeight="false" outlineLevel="0" collapsed="false">
      <c r="A172" s="4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</row>
    <row r="173" customFormat="false" ht="12.75" hidden="false" customHeight="false" outlineLevel="0" collapsed="false">
      <c r="A173" s="4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</row>
    <row r="174" customFormat="false" ht="12.75" hidden="false" customHeight="false" outlineLevel="0" collapsed="false">
      <c r="A174" s="4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</row>
    <row r="175" customFormat="false" ht="12.75" hidden="false" customHeight="false" outlineLevel="0" collapsed="false">
      <c r="A175" s="4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</row>
    <row r="176" customFormat="false" ht="12.75" hidden="false" customHeight="false" outlineLevel="0" collapsed="false">
      <c r="A176" s="4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</row>
    <row r="177" customFormat="false" ht="12.75" hidden="false" customHeight="false" outlineLevel="0" collapsed="false">
      <c r="A177" s="4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</row>
    <row r="178" customFormat="false" ht="12.75" hidden="false" customHeight="false" outlineLevel="0" collapsed="false">
      <c r="A178" s="4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</row>
    <row r="179" customFormat="false" ht="12.75" hidden="false" customHeight="false" outlineLevel="0" collapsed="false">
      <c r="A179" s="4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</row>
    <row r="180" customFormat="false" ht="12.75" hidden="false" customHeight="false" outlineLevel="0" collapsed="false">
      <c r="A180" s="4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</row>
    <row r="181" customFormat="false" ht="12.75" hidden="false" customHeight="false" outlineLevel="0" collapsed="false">
      <c r="A181" s="4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</row>
    <row r="182" customFormat="false" ht="12.75" hidden="false" customHeight="false" outlineLevel="0" collapsed="false">
      <c r="A182" s="4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</row>
    <row r="183" customFormat="false" ht="12.75" hidden="false" customHeight="false" outlineLevel="0" collapsed="false">
      <c r="A183" s="4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</row>
    <row r="184" customFormat="false" ht="12.75" hidden="false" customHeight="false" outlineLevel="0" collapsed="false">
      <c r="A184" s="4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</row>
  </sheetData>
  <conditionalFormatting sqref="F125:F65536">
    <cfRule type="cellIs" priority="2" operator="between" aboveAverage="0" equalAverage="0" bottom="0" percent="0" rank="0" text="" dxfId="0">
      <formula>20000000</formula>
      <formula>200000000</formula>
    </cfRule>
  </conditionalFormatting>
  <conditionalFormatting sqref="G125:G65536">
    <cfRule type="cellIs" priority="3" operator="between" aboveAverage="0" equalAverage="0" bottom="0" percent="0" rank="0" text="" dxfId="1">
      <formula>0</formula>
      <formula>0</formula>
    </cfRule>
  </conditionalFormatting>
  <conditionalFormatting sqref="J125:J65536">
    <cfRule type="cellIs" priority="4" operator="between" aboveAverage="0" equalAverage="0" bottom="0" percent="0" rank="0" text="" dxfId="2">
      <formula>0.000001</formula>
      <formula>150000</formula>
    </cfRule>
  </conditionalFormatting>
  <conditionalFormatting sqref="K19:K28">
    <cfRule type="cellIs" priority="5" operator="between" aboveAverage="0" equalAverage="0" bottom="0" percent="0" rank="0" text="" dxfId="3">
      <formula>0.01</formula>
      <formula>300000</formula>
    </cfRule>
  </conditionalFormatting>
  <conditionalFormatting sqref="K19:K28">
    <cfRule type="cellIs" priority="6" operator="between" aboveAverage="0" equalAverage="0" bottom="0" percent="0" rank="0" text="" dxfId="4">
      <formula>0.01</formula>
      <formula>300000</formula>
    </cfRule>
  </conditionalFormatting>
  <conditionalFormatting sqref="K19:K28 H2:H35">
    <cfRule type="cellIs" priority="7" operator="between" aboveAverage="0" equalAverage="0" bottom="0" percent="0" rank="0" text="" dxfId="5">
      <formula>0</formula>
      <formula>0</formula>
    </cfRule>
  </conditionalFormatting>
  <conditionalFormatting sqref="K19:K28">
    <cfRule type="cellIs" priority="8" operator="between" aboveAverage="0" equalAverage="0" bottom="0" percent="0" rank="0" text="" dxfId="6">
      <formula>0.01</formula>
      <formula>350000</formula>
    </cfRule>
  </conditionalFormatting>
  <conditionalFormatting sqref="K19:K28">
    <cfRule type="cellIs" priority="9" operator="between" aboveAverage="0" equalAverage="0" bottom="0" percent="0" rank="0" text="" dxfId="7">
      <formula>0.01</formula>
      <formula>300000</formula>
    </cfRule>
  </conditionalFormatting>
  <conditionalFormatting sqref="K19:K28">
    <cfRule type="cellIs" priority="10" operator="between" aboveAverage="0" equalAverage="0" bottom="0" percent="0" rank="0" text="" dxfId="8">
      <formula>0.0001</formula>
      <formula>400000</formula>
    </cfRule>
  </conditionalFormatting>
  <conditionalFormatting sqref="K19:K28">
    <cfRule type="cellIs" priority="11" operator="between" aboveAverage="0" equalAverage="0" bottom="0" percent="0" rank="0" text="" dxfId="9">
      <formula>0.01</formula>
      <formula>400000</formula>
    </cfRule>
  </conditionalFormatting>
  <conditionalFormatting sqref="F2:F35">
    <cfRule type="cellIs" priority="12" operator="between" aboveAverage="0" equalAverage="0" bottom="0" percent="0" rank="0" text="" dxfId="10">
      <formula>"Kunjungi"</formula>
      <formula>"Kunjungi"</formula>
    </cfRule>
    <cfRule type="cellIs" priority="13" operator="between" aboveAverage="0" equalAverage="0" bottom="0" percent="0" rank="0" text="" dxfId="11">
      <formula>"OK"</formula>
      <formula>"OK"</formula>
    </cfRule>
    <cfRule type="cellIs" priority="14" operator="between" aboveAverage="0" equalAverage="0" bottom="0" percent="0" rank="0" text="" dxfId="12">
      <formula>"HUBUNGI"</formula>
      <formula>"HUBUNGI"</formula>
    </cfRule>
  </conditionalFormatting>
  <conditionalFormatting sqref="F2:F35">
    <cfRule type="cellIs" priority="15" operator="between" aboveAverage="0" equalAverage="0" bottom="0" percent="0" rank="0" text="" dxfId="13">
      <formula>"JOS"</formula>
      <formula>"JOS"</formula>
    </cfRule>
    <cfRule type="cellIs" priority="16" operator="between" aboveAverage="0" equalAverage="0" bottom="0" percent="0" rank="0" text="" dxfId="14">
      <formula>4056</formula>
      <formula>4056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33CCCC"/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pageBreakPreview" topLeftCell="A1" colorId="64" zoomScale="98" zoomScaleNormal="100" zoomScalePageLayoutView="98" workbookViewId="0">
      <selection pane="topLeft" activeCell="K5" activeCellId="0" sqref="K5"/>
    </sheetView>
  </sheetViews>
  <sheetFormatPr defaultColWidth="11.5625" defaultRowHeight="15.75" customHeight="true" zeroHeight="false" outlineLevelRow="0" outlineLevelCol="0"/>
  <cols>
    <col collapsed="false" customWidth="true" hidden="false" outlineLevel="0" max="1" min="1" style="47" width="4.56"/>
    <col collapsed="false" customWidth="true" hidden="false" outlineLevel="0" max="2" min="2" style="47" width="3.7"/>
    <col collapsed="false" customWidth="true" hidden="false" outlineLevel="0" max="3" min="3" style="47" width="32.56"/>
    <col collapsed="false" customWidth="true" hidden="false" outlineLevel="0" max="4" min="4" style="47" width="2.7"/>
    <col collapsed="false" customWidth="true" hidden="false" outlineLevel="0" max="5" min="5" style="47" width="18.85"/>
    <col collapsed="false" customWidth="true" hidden="false" outlineLevel="0" max="6" min="6" style="47" width="32.28"/>
    <col collapsed="false" customWidth="true" hidden="false" outlineLevel="0" max="7" min="7" style="47" width="27.28"/>
    <col collapsed="false" customWidth="true" hidden="false" outlineLevel="0" max="8" min="8" style="47" width="13.41"/>
    <col collapsed="false" customWidth="true" hidden="false" outlineLevel="0" max="9" min="9" style="47" width="2.84"/>
    <col collapsed="false" customWidth="true" hidden="false" outlineLevel="0" max="10" min="10" style="47" width="3.56"/>
    <col collapsed="false" customWidth="true" hidden="false" outlineLevel="0" max="11" min="11" style="47" width="15.56"/>
    <col collapsed="false" customWidth="false" hidden="false" outlineLevel="0" max="257" min="12" style="47" width="11.56"/>
  </cols>
  <sheetData>
    <row r="1" customFormat="false" ht="26.25" hidden="false" customHeight="true" outlineLevel="0" collapsed="false">
      <c r="A1" s="48" t="n">
        <v>10</v>
      </c>
      <c r="B1" s="49" t="s">
        <v>66</v>
      </c>
      <c r="C1" s="50"/>
      <c r="D1" s="51"/>
      <c r="E1" s="51"/>
      <c r="J1" s="52"/>
      <c r="K1" s="52"/>
    </row>
    <row r="2" customFormat="false" ht="12.75" hidden="true" customHeight="false" outlineLevel="0" collapsed="false">
      <c r="D2" s="53" t="s">
        <v>67</v>
      </c>
      <c r="I2" s="53"/>
      <c r="J2" s="53"/>
      <c r="K2" s="53"/>
    </row>
    <row r="3" customFormat="false" ht="15.75" hidden="true" customHeight="false" outlineLevel="0" collapsed="false"/>
    <row r="4" customFormat="false" ht="8.25" hidden="false" customHeight="true" outlineLevel="0" collapsed="false"/>
    <row r="5" customFormat="false" ht="12.75" hidden="false" customHeight="true" outlineLevel="0" collapsed="false">
      <c r="C5" s="54" t="s">
        <v>68</v>
      </c>
      <c r="D5" s="55" t="s">
        <v>69</v>
      </c>
      <c r="E5" s="56" t="str">
        <f aca="false">VLOOKUP(A1,Original!A1:AL101,5)</f>
        <v>IKA EVI YANI</v>
      </c>
      <c r="F5" s="56"/>
      <c r="H5" s="57" t="s">
        <v>70</v>
      </c>
      <c r="I5" s="57"/>
      <c r="J5" s="47" t="s">
        <v>69</v>
      </c>
      <c r="K5" s="58" t="n">
        <v>1</v>
      </c>
      <c r="O5" s="47" t="s">
        <v>71</v>
      </c>
    </row>
    <row r="6" customFormat="false" ht="12.75" hidden="false" customHeight="true" outlineLevel="0" collapsed="false">
      <c r="C6" s="59" t="s">
        <v>13</v>
      </c>
      <c r="D6" s="60" t="s">
        <v>69</v>
      </c>
      <c r="E6" s="61" t="n">
        <f aca="false">VLOOKUP(A1,Original!A1:AL101,16)</f>
        <v>0</v>
      </c>
      <c r="F6" s="61"/>
      <c r="H6" s="62" t="s">
        <v>72</v>
      </c>
      <c r="I6" s="62"/>
      <c r="J6" s="47" t="s">
        <v>69</v>
      </c>
      <c r="K6" s="58" t="s">
        <v>73</v>
      </c>
      <c r="O6" s="47" t="s">
        <v>74</v>
      </c>
    </row>
    <row r="7" customFormat="false" ht="12.75" hidden="false" customHeight="true" outlineLevel="0" collapsed="false">
      <c r="C7" s="59" t="s">
        <v>3</v>
      </c>
      <c r="D7" s="60" t="s">
        <v>69</v>
      </c>
      <c r="E7" s="63" t="n">
        <f aca="false">VLOOKUP(A1,Original!A1:AL101,4)</f>
        <v>1100022521196</v>
      </c>
      <c r="F7" s="63"/>
      <c r="H7" s="62" t="s">
        <v>75</v>
      </c>
      <c r="J7" s="47" t="s">
        <v>69</v>
      </c>
      <c r="K7" s="64" t="s">
        <v>76</v>
      </c>
    </row>
    <row r="8" customFormat="false" ht="12.75" hidden="false" customHeight="true" outlineLevel="0" collapsed="false">
      <c r="C8" s="59" t="s">
        <v>2</v>
      </c>
      <c r="D8" s="60" t="s">
        <v>69</v>
      </c>
      <c r="E8" s="63" t="n">
        <f aca="false">VLOOKUP(A1,Original!A1:AL101,3)</f>
        <v>1100102969364</v>
      </c>
      <c r="F8" s="63"/>
    </row>
    <row r="9" customFormat="false" ht="12.75" hidden="false" customHeight="true" outlineLevel="0" collapsed="false">
      <c r="C9" s="59" t="s">
        <v>77</v>
      </c>
      <c r="D9" s="60" t="s">
        <v>69</v>
      </c>
      <c r="E9" s="65" t="n">
        <f aca="false">VLOOKUP(A1,Original!A1:AL101,10)</f>
        <v>23000</v>
      </c>
      <c r="F9" s="65"/>
      <c r="O9" s="47" t="s">
        <v>78</v>
      </c>
    </row>
    <row r="10" customFormat="false" ht="12.75" hidden="false" customHeight="true" outlineLevel="0" collapsed="false">
      <c r="C10" s="59" t="s">
        <v>79</v>
      </c>
      <c r="D10" s="60" t="s">
        <v>69</v>
      </c>
      <c r="E10" s="61" t="s">
        <v>80</v>
      </c>
      <c r="F10" s="61"/>
      <c r="O10" s="47" t="s">
        <v>81</v>
      </c>
    </row>
    <row r="11" customFormat="false" ht="12.75" hidden="false" customHeight="true" outlineLevel="0" collapsed="false">
      <c r="C11" s="66" t="s">
        <v>82</v>
      </c>
      <c r="D11" s="67" t="s">
        <v>69</v>
      </c>
      <c r="E11" s="68" t="s">
        <v>78</v>
      </c>
      <c r="F11" s="68"/>
      <c r="O11" s="47" t="s">
        <v>83</v>
      </c>
    </row>
    <row r="12" customFormat="false" ht="15" hidden="false" customHeight="true" outlineLevel="0" collapsed="false">
      <c r="O12" s="69" t="s">
        <v>84</v>
      </c>
    </row>
    <row r="13" customFormat="false" ht="6.75" hidden="false" customHeight="true" outlineLevel="0" collapsed="false">
      <c r="F13" s="69"/>
      <c r="G13" s="69"/>
      <c r="O13" s="47" t="s">
        <v>85</v>
      </c>
    </row>
    <row r="14" customFormat="false" ht="18" hidden="false" customHeight="true" outlineLevel="0" collapsed="false">
      <c r="B14" s="70"/>
      <c r="C14" s="71" t="n">
        <f aca="true">NOW()</f>
        <v>46314.6141959918</v>
      </c>
      <c r="D14" s="72"/>
      <c r="E14" s="73" t="s">
        <v>86</v>
      </c>
      <c r="F14" s="74"/>
      <c r="G14" s="75"/>
      <c r="H14" s="75"/>
      <c r="O14" s="47" t="s">
        <v>87</v>
      </c>
    </row>
    <row r="15" customFormat="false" ht="27.75" hidden="false" customHeight="true" outlineLevel="0" collapsed="false">
      <c r="B15" s="76"/>
      <c r="C15" s="72"/>
      <c r="D15" s="72"/>
      <c r="E15" s="72"/>
      <c r="F15" s="72"/>
    </row>
    <row r="16" customFormat="false" ht="23.25" hidden="false" customHeight="true" outlineLevel="0" collapsed="false">
      <c r="B16" s="72"/>
      <c r="C16" s="72"/>
      <c r="D16" s="72"/>
      <c r="E16" s="77" t="str">
        <f aca="false">"Yth. "&amp;E5</f>
        <v>Yth. IKA EVI YANI</v>
      </c>
      <c r="F16" s="77"/>
      <c r="G16" s="78"/>
      <c r="H16" s="78"/>
    </row>
    <row r="17" customFormat="false" ht="19.5" hidden="false" customHeight="true" outlineLevel="0" collapsed="false">
      <c r="B17" s="72"/>
      <c r="C17" s="79"/>
      <c r="D17" s="79"/>
      <c r="E17" s="80" t="n">
        <f aca="false">IF(E11="4056-angsuran",(E8),IF(E11="4052-Angsuran dari GNC",(E8),IF(E11="4204-Pelunasan",(E8),IF(E11="1314-GNC ke Tabungan",(E7),IF(E11="4234-Penarikan Kelebihan Bayar",(E7),IF(E11="4104 - Pelunasan Pokok Sebagian",(E8)))))))</f>
        <v>1100102969364</v>
      </c>
      <c r="F17" s="80"/>
      <c r="G17" s="78"/>
      <c r="H17" s="78"/>
    </row>
    <row r="18" customFormat="false" ht="24" hidden="false" customHeight="true" outlineLevel="0" collapsed="false">
      <c r="B18" s="72"/>
      <c r="C18" s="79"/>
      <c r="D18" s="79"/>
      <c r="E18" s="81" t="n">
        <f aca="false">E6</f>
        <v>0</v>
      </c>
      <c r="F18" s="81"/>
      <c r="G18" s="82"/>
    </row>
    <row r="19" customFormat="false" ht="30.75" hidden="false" customHeight="true" outlineLevel="0" collapsed="false">
      <c r="B19" s="83"/>
      <c r="C19" s="84" t="str">
        <f aca="false">IF(E11="4056-angsuran","Kotran 4056",IF(E11="4052-Angsuran dari GNC","Kotran 4052",IF(E11="4204-Pelunasan","Kotran 4204",IF(E11="1314-GNC ke Tabungan","Kotran 1314",IF(E11="4234-Penarikan Kelebihan Bayar","Kotran 4234",IF(E11="4104 - Pelunasan Pokok Sebagian","Kotran 4104"))))))</f>
        <v>Kotran 4056</v>
      </c>
      <c r="D19" s="85" t="n">
        <f aca="false">E9</f>
        <v>23000</v>
      </c>
      <c r="E19" s="85"/>
      <c r="F19" s="79"/>
      <c r="G19" s="86"/>
      <c r="H19" s="87"/>
    </row>
    <row r="20" customFormat="false" ht="14.25" hidden="false" customHeight="true" outlineLevel="0" collapsed="false">
      <c r="B20" s="83"/>
      <c r="C20" s="88" t="str">
        <f aca="false">IF(E11="4056-angsuran","Pembayaran Angsuran",IF(E11="4052-Angsuran dari GNC","Pembayaran Angsuran",IF(E11="4204-Pelunasan","Pelunasan Kredit",IF(E11="1314-GNC ke Tabungan","Pindah Buku",IF(E11="4234-Penarikan Kelebihan Bayar","Penarikan Kelebihan Bayar",IF(E11="4104 - Pelunasan Pokok Sebagian","Pelunasan Pokok Sebagian"))))))</f>
        <v>Pembayaran Angsuran</v>
      </c>
      <c r="D20" s="89"/>
      <c r="E20" s="89"/>
      <c r="F20" s="90" t="s">
        <v>86</v>
      </c>
      <c r="G20" s="91"/>
      <c r="H20" s="92"/>
    </row>
    <row r="21" customFormat="false" ht="18" hidden="false" customHeight="true" outlineLevel="0" collapsed="false">
      <c r="B21" s="93"/>
      <c r="C21" s="88"/>
      <c r="D21" s="72"/>
      <c r="E21" s="94"/>
      <c r="F21" s="95"/>
      <c r="G21" s="91"/>
      <c r="H21" s="96"/>
    </row>
    <row r="22" customFormat="false" ht="37.5" hidden="false" customHeight="true" outlineLevel="0" collapsed="false">
      <c r="B22" s="97"/>
      <c r="C22" s="98"/>
      <c r="D22" s="99"/>
      <c r="E22" s="99"/>
      <c r="F22" s="100"/>
      <c r="G22" s="91"/>
      <c r="H22" s="87"/>
    </row>
    <row r="23" customFormat="false" ht="24.75" hidden="false" customHeight="true" outlineLevel="0" collapsed="false">
      <c r="B23" s="101" t="str">
        <f aca="false">IF(E11="4056-angsuran","  ",IF(E11="4052-Angsuran dari GNC","Reff",IF(E11="4204-Pelunasan","  ",IF(E11="1314-GNC ke Tabungan","Reff",IF(E11="4234-Penarikan Kelebihan Bayar","  ",IF(E11="4104 - Pelunasan Pokok Sebagian","  "))))))</f>
        <v>  </v>
      </c>
      <c r="C23" s="102"/>
      <c r="D23" s="103"/>
      <c r="E23" s="104"/>
      <c r="F23" s="105" t="str">
        <f aca="false">IF(D25&lt;0,"&amp;sen","")</f>
        <v/>
      </c>
      <c r="G23" s="106"/>
      <c r="H23" s="107"/>
    </row>
    <row r="24" customFormat="false" ht="9" hidden="false" customHeight="true" outlineLevel="0" collapsed="false">
      <c r="B24" s="108"/>
      <c r="C24" s="90"/>
      <c r="D24" s="90"/>
      <c r="E24" s="94" t="s">
        <v>86</v>
      </c>
      <c r="F24" s="109"/>
      <c r="G24" s="110"/>
      <c r="H24" s="111"/>
    </row>
    <row r="25" customFormat="false" ht="17.25" hidden="false" customHeight="true" outlineLevel="0" collapsed="false">
      <c r="B25" s="112" t="s">
        <v>86</v>
      </c>
      <c r="C25" s="90"/>
      <c r="D25" s="113" t="n">
        <f aca="false">D19</f>
        <v>23000</v>
      </c>
      <c r="E25" s="113"/>
      <c r="F25" s="114"/>
      <c r="G25" s="115"/>
      <c r="H25" s="116"/>
    </row>
    <row r="26" customFormat="false" ht="6" hidden="false" customHeight="true" outlineLevel="0" collapsed="false">
      <c r="B26" s="117"/>
      <c r="C26" s="118" t="e">
        <f aca="false">'Rumus '!A48</f>
        <v>#N/A</v>
      </c>
      <c r="D26" s="118"/>
      <c r="E26" s="118"/>
      <c r="F26" s="118"/>
      <c r="G26" s="119"/>
      <c r="H26" s="120"/>
    </row>
    <row r="27" customFormat="false" ht="15" hidden="false" customHeight="true" outlineLevel="0" collapsed="false">
      <c r="B27" s="117"/>
      <c r="C27" s="118"/>
      <c r="D27" s="118"/>
      <c r="E27" s="118"/>
      <c r="F27" s="118"/>
      <c r="G27" s="121"/>
      <c r="H27" s="122"/>
      <c r="I27" s="122"/>
    </row>
    <row r="28" customFormat="false" ht="15" hidden="false" customHeight="true" outlineLevel="0" collapsed="false">
      <c r="B28" s="117"/>
      <c r="C28" s="118"/>
      <c r="D28" s="118"/>
      <c r="E28" s="118"/>
      <c r="F28" s="118"/>
      <c r="G28" s="121"/>
      <c r="H28" s="122"/>
      <c r="I28" s="122"/>
    </row>
    <row r="29" customFormat="false" ht="4.5" hidden="false" customHeight="true" outlineLevel="0" collapsed="false">
      <c r="B29" s="72"/>
      <c r="C29" s="79"/>
      <c r="D29" s="79"/>
      <c r="E29" s="79"/>
      <c r="F29" s="79" t="s">
        <v>88</v>
      </c>
      <c r="G29" s="123"/>
    </row>
    <row r="30" customFormat="false" ht="15.75" hidden="false" customHeight="false" outlineLevel="0" collapsed="false">
      <c r="B30" s="72"/>
      <c r="C30" s="124" t="s">
        <v>89</v>
      </c>
      <c r="D30" s="125" t="n">
        <f aca="false">IF(E11="4056-angsuran",(E7),IF(E11="4052-Angsuran dari GNC",K5,IF(E11="4204-Pelunasan",(E7),IF(E11="1314-GNC ke Tabungan",(K5),IF(E11="4234-Penarikan Kelebihan Bayar",(E8),IF(E11="4104 - Pelunasan Pokok Sebagian",(E7)))))))</f>
        <v>1100022521196</v>
      </c>
      <c r="E30" s="125"/>
      <c r="F30" s="126"/>
      <c r="G30" s="123"/>
    </row>
    <row r="31" customFormat="false" ht="15.75" hidden="false" customHeight="false" outlineLevel="0" collapsed="false">
      <c r="B31" s="72"/>
      <c r="C31" s="124"/>
      <c r="D31" s="127" t="str">
        <f aca="false">IF(E11="4056-angsuran",(E5),IF(E11="4052-Angsuran dari GNC",K6,IF(E11="4204-Pelunasan",E5,IF(E11="1314-GNC ke Tabungan",(K6),IF(E11="4234-Penarikan Kelebihan Bayar",(E5),IF(E11="4104 - Pelunasan Pokok Sebagian",(E5)))))))</f>
        <v>IKA EVI YANI</v>
      </c>
      <c r="E31" s="127"/>
      <c r="F31" s="128" t="str">
        <f aca="false">K7</f>
        <v>-</v>
      </c>
    </row>
    <row r="34" customFormat="false" ht="15.75" hidden="false" customHeight="false" outlineLevel="0" collapsed="false">
      <c r="B34" s="129"/>
      <c r="G34" s="130"/>
    </row>
    <row r="35" customFormat="false" ht="15.75" hidden="false" customHeight="false" outlineLevel="0" collapsed="false">
      <c r="E35" s="131"/>
      <c r="G35" s="130"/>
    </row>
    <row r="36" customFormat="false" ht="15.75" hidden="false" customHeight="false" outlineLevel="0" collapsed="false">
      <c r="E36" s="131"/>
      <c r="G36" s="132"/>
    </row>
    <row r="37" customFormat="false" ht="15.75" hidden="false" customHeight="false" outlineLevel="0" collapsed="false">
      <c r="E37" s="131"/>
      <c r="G37" s="133"/>
    </row>
    <row r="38" customFormat="false" ht="15.75" hidden="false" customHeight="false" outlineLevel="0" collapsed="false">
      <c r="E38" s="131"/>
      <c r="G38" s="133"/>
    </row>
    <row r="39" customFormat="false" ht="15.75" hidden="false" customHeight="false" outlineLevel="0" collapsed="false">
      <c r="E39" s="131"/>
      <c r="G39" s="133"/>
    </row>
    <row r="40" customFormat="false" ht="15.75" hidden="false" customHeight="true" outlineLevel="0" collapsed="false">
      <c r="E40" s="131"/>
      <c r="G40" s="133"/>
    </row>
    <row r="41" customFormat="false" ht="15.75" hidden="false" customHeight="false" outlineLevel="0" collapsed="false">
      <c r="E41" s="131"/>
      <c r="G41" s="133"/>
    </row>
    <row r="42" customFormat="false" ht="15.75" hidden="false" customHeight="false" outlineLevel="0" collapsed="false">
      <c r="E42" s="131"/>
      <c r="G42" s="133"/>
    </row>
    <row r="43" customFormat="false" ht="15.75" hidden="false" customHeight="false" outlineLevel="0" collapsed="false">
      <c r="E43" s="131"/>
    </row>
    <row r="44" customFormat="false" ht="15.75" hidden="false" customHeight="false" outlineLevel="0" collapsed="false">
      <c r="E44" s="131"/>
    </row>
  </sheetData>
  <mergeCells count="19">
    <mergeCell ref="E5:F5"/>
    <mergeCell ref="H5:I5"/>
    <mergeCell ref="E6:F6"/>
    <mergeCell ref="E7:F7"/>
    <mergeCell ref="E8:F8"/>
    <mergeCell ref="E9:F9"/>
    <mergeCell ref="E10:F10"/>
    <mergeCell ref="E11:F11"/>
    <mergeCell ref="E16:F16"/>
    <mergeCell ref="E17:F17"/>
    <mergeCell ref="D19:E19"/>
    <mergeCell ref="C20:C21"/>
    <mergeCell ref="D20:E20"/>
    <mergeCell ref="D22:E22"/>
    <mergeCell ref="D25:E25"/>
    <mergeCell ref="C26:F28"/>
    <mergeCell ref="C30:C31"/>
    <mergeCell ref="D30:E30"/>
    <mergeCell ref="D31:E31"/>
  </mergeCells>
  <dataValidations count="1">
    <dataValidation allowBlank="true" errorStyle="stop" operator="between" showDropDown="false" showErrorMessage="true" showInputMessage="false" sqref="E11:F11" type="list">
      <formula1>$O$9:$O$14</formula1>
      <formula2>0</formula2>
    </dataValidation>
  </dataValidations>
  <printOptions headings="false" gridLines="false" gridLinesSet="true" horizontalCentered="false" verticalCentered="false"/>
  <pageMargins left="0.490277777777778" right="0.459722222222222" top="1.0798611111111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3"/>
  <sheetViews>
    <sheetView showFormulas="false" showGridLines="true" showRowColHeaders="true" showZeros="true" rightToLeft="false" tabSelected="false" showOutlineSymbols="true" defaultGridColor="true" view="pageBreakPreview" topLeftCell="A28" colorId="64" zoomScale="100" zoomScaleNormal="100" zoomScalePageLayoutView="100" workbookViewId="0">
      <selection pane="topLeft" activeCell="I15" activeCellId="0" sqref="I15"/>
    </sheetView>
  </sheetViews>
  <sheetFormatPr defaultColWidth="11.5625" defaultRowHeight="15.75" customHeight="true" zeroHeight="false" outlineLevelRow="0" outlineLevelCol="0"/>
  <cols>
    <col collapsed="false" customWidth="true" hidden="false" outlineLevel="0" max="1" min="1" style="47" width="4.56"/>
    <col collapsed="false" customWidth="true" hidden="false" outlineLevel="0" max="2" min="2" style="47" width="3.7"/>
    <col collapsed="false" customWidth="true" hidden="false" outlineLevel="0" max="3" min="3" style="47" width="35.85"/>
    <col collapsed="false" customWidth="true" hidden="false" outlineLevel="0" max="4" min="4" style="47" width="2.7"/>
    <col collapsed="false" customWidth="true" hidden="false" outlineLevel="0" max="5" min="5" style="47" width="18.85"/>
    <col collapsed="false" customWidth="true" hidden="false" outlineLevel="0" max="6" min="6" style="47" width="28.99"/>
    <col collapsed="false" customWidth="true" hidden="false" outlineLevel="0" max="7" min="7" style="47" width="19.14"/>
    <col collapsed="false" customWidth="true" hidden="true" outlineLevel="0" max="8" min="8" style="47" width="31.28"/>
    <col collapsed="false" customWidth="true" hidden="false" outlineLevel="0" max="9" min="9" style="47" width="19.7"/>
    <col collapsed="false" customWidth="true" hidden="false" outlineLevel="0" max="10" min="10" style="47" width="14.28"/>
    <col collapsed="false" customWidth="true" hidden="false" outlineLevel="0" max="11" min="11" style="47" width="18.7"/>
    <col collapsed="false" customWidth="false" hidden="false" outlineLevel="0" max="257" min="12" style="47" width="11.56"/>
  </cols>
  <sheetData>
    <row r="1" customFormat="false" ht="5.25" hidden="false" customHeight="true" outlineLevel="0" collapsed="false"/>
    <row r="2" customFormat="false" ht="12.75" hidden="false" customHeight="true" outlineLevel="0" collapsed="false">
      <c r="C2" s="54" t="s">
        <v>90</v>
      </c>
      <c r="D2" s="55" t="s">
        <v>69</v>
      </c>
      <c r="E2" s="134" t="s">
        <v>91</v>
      </c>
      <c r="F2" s="134"/>
      <c r="H2" s="135" t="s">
        <v>92</v>
      </c>
      <c r="I2" s="135" t="s">
        <v>93</v>
      </c>
      <c r="K2" s="136"/>
    </row>
    <row r="3" customFormat="false" ht="12.75" hidden="false" customHeight="true" outlineLevel="0" collapsed="false">
      <c r="C3" s="59" t="s">
        <v>94</v>
      </c>
      <c r="D3" s="60" t="s">
        <v>69</v>
      </c>
      <c r="E3" s="137" t="s">
        <v>95</v>
      </c>
      <c r="F3" s="137"/>
      <c r="H3" s="135" t="s">
        <v>96</v>
      </c>
      <c r="I3" s="135" t="s">
        <v>97</v>
      </c>
      <c r="K3" s="138" t="s">
        <v>98</v>
      </c>
    </row>
    <row r="4" customFormat="false" ht="12.75" hidden="false" customHeight="true" outlineLevel="0" collapsed="false">
      <c r="C4" s="59" t="s">
        <v>99</v>
      </c>
      <c r="D4" s="60" t="s">
        <v>69</v>
      </c>
      <c r="E4" s="139" t="s">
        <v>100</v>
      </c>
      <c r="F4" s="139"/>
      <c r="H4" s="135" t="s">
        <v>101</v>
      </c>
      <c r="I4" s="135" t="s">
        <v>102</v>
      </c>
      <c r="K4" s="140" t="s">
        <v>103</v>
      </c>
    </row>
    <row r="5" customFormat="false" ht="12.75" hidden="false" customHeight="true" outlineLevel="0" collapsed="false">
      <c r="C5" s="59" t="s">
        <v>104</v>
      </c>
      <c r="D5" s="60" t="s">
        <v>69</v>
      </c>
      <c r="E5" s="141" t="s">
        <v>105</v>
      </c>
      <c r="F5" s="141"/>
      <c r="H5" s="135" t="s">
        <v>106</v>
      </c>
      <c r="I5" s="135"/>
      <c r="K5" s="140" t="s">
        <v>107</v>
      </c>
    </row>
    <row r="6" customFormat="false" ht="12.75" hidden="false" customHeight="true" outlineLevel="0" collapsed="false">
      <c r="C6" s="59" t="s">
        <v>7</v>
      </c>
      <c r="D6" s="60" t="s">
        <v>69</v>
      </c>
      <c r="E6" s="142" t="n">
        <v>400000</v>
      </c>
      <c r="F6" s="142"/>
      <c r="H6" s="135" t="s">
        <v>108</v>
      </c>
      <c r="I6" s="135"/>
      <c r="K6" s="140" t="s">
        <v>109</v>
      </c>
    </row>
    <row r="7" customFormat="false" ht="12.75" hidden="false" customHeight="true" outlineLevel="0" collapsed="false">
      <c r="C7" s="59" t="s">
        <v>110</v>
      </c>
      <c r="D7" s="60" t="s">
        <v>69</v>
      </c>
      <c r="E7" s="143" t="s">
        <v>111</v>
      </c>
      <c r="F7" s="143"/>
      <c r="H7" s="135" t="s">
        <v>112</v>
      </c>
      <c r="I7" s="135"/>
      <c r="K7" s="140" t="s">
        <v>113</v>
      </c>
    </row>
    <row r="8" customFormat="false" ht="12.75" hidden="false" customHeight="true" outlineLevel="0" collapsed="false">
      <c r="C8" s="59" t="s">
        <v>114</v>
      </c>
      <c r="D8" s="60" t="s">
        <v>69</v>
      </c>
      <c r="E8" s="143" t="s">
        <v>115</v>
      </c>
      <c r="F8" s="143"/>
      <c r="H8" s="135"/>
      <c r="I8" s="135"/>
      <c r="K8" s="140" t="n">
        <v>19511601</v>
      </c>
    </row>
    <row r="9" customFormat="false" ht="12.75" hidden="false" customHeight="true" outlineLevel="0" collapsed="false">
      <c r="C9" s="59" t="s">
        <v>116</v>
      </c>
      <c r="D9" s="60" t="s">
        <v>69</v>
      </c>
      <c r="E9" s="144" t="s">
        <v>93</v>
      </c>
      <c r="F9" s="145" t="str">
        <f aca="false">IF(E9="195 116 01","All Suspen Deposit",IF(E9="210 112 06","Pajak YMHD PPH Final Bunga Simpanan",IF(E9="195 116 20","All Rek Suspend Apl",0)))</f>
        <v>All Suspen Deposit</v>
      </c>
      <c r="H9" s="135"/>
      <c r="J9" s="47" t="n">
        <v>0.87</v>
      </c>
      <c r="K9" s="140"/>
    </row>
    <row r="10" customFormat="false" ht="12.75" hidden="false" customHeight="true" outlineLevel="0" collapsed="false">
      <c r="C10" s="66" t="s">
        <v>82</v>
      </c>
      <c r="D10" s="67" t="s">
        <v>69</v>
      </c>
      <c r="E10" s="146" t="s">
        <v>101</v>
      </c>
      <c r="F10" s="146"/>
      <c r="H10" s="135"/>
      <c r="K10" s="87"/>
    </row>
    <row r="11" customFormat="false" ht="15" hidden="false" customHeight="true" outlineLevel="0" collapsed="false">
      <c r="K11" s="87"/>
      <c r="O11" s="69"/>
    </row>
    <row r="12" customFormat="false" ht="6.75" hidden="false" customHeight="true" outlineLevel="0" collapsed="false">
      <c r="F12" s="69"/>
      <c r="G12" s="69"/>
      <c r="K12" s="87"/>
    </row>
    <row r="13" customFormat="false" ht="18" hidden="false" customHeight="true" outlineLevel="0" collapsed="false">
      <c r="B13" s="70"/>
      <c r="C13" s="147" t="s">
        <v>117</v>
      </c>
      <c r="D13" s="72"/>
      <c r="E13" s="73" t="s">
        <v>86</v>
      </c>
      <c r="F13" s="148" t="n">
        <f aca="true">NOW()</f>
        <v>46314.6141961586</v>
      </c>
      <c r="G13" s="75"/>
      <c r="H13" s="75"/>
    </row>
    <row r="14" customFormat="false" ht="30.75" hidden="false" customHeight="true" outlineLevel="0" collapsed="false">
      <c r="B14" s="76"/>
      <c r="C14" s="72"/>
      <c r="D14" s="72"/>
      <c r="E14" s="72"/>
      <c r="F14" s="72"/>
    </row>
    <row r="15" customFormat="false" ht="23.25" hidden="false" customHeight="true" outlineLevel="0" collapsed="false">
      <c r="B15" s="72"/>
      <c r="C15" s="72"/>
      <c r="D15" s="72"/>
      <c r="E15" s="149"/>
      <c r="F15" s="150" t="str">
        <f aca="false">IF(E10="1209 - Debet Giro ke GL","K/ "&amp;(E9),IF(E10="1208 - Debet GL ke Giro","D/ "&amp;(E9),IF(E10="1314 - Debet Giro ke Tabungan","D/ "&amp;(E2),IF(E10="1107 - Kredit Giro Debit Gl","D/ "&amp;(E9),IF(E10="1417 - Pembulatan",(E2),IF(E10="7016 - Pembayaran Tagihan dari Giro","D/ "&amp;(E2)))))))</f>
        <v>D/ 112-00-0706273-5</v>
      </c>
      <c r="G15" s="78"/>
      <c r="H15" s="78"/>
      <c r="I15" s="47" t="n">
        <v>1120007062735</v>
      </c>
    </row>
    <row r="16" customFormat="false" ht="19.5" hidden="false" customHeight="true" outlineLevel="0" collapsed="false">
      <c r="B16" s="72"/>
      <c r="C16" s="79"/>
      <c r="D16" s="79"/>
      <c r="E16" s="151" t="str">
        <f aca="false">IF(E10="1209 - Debet Giro ke GL",(F9),IF(E10="1208 - Debet GL ke Giro",(F9),IF(E10="1314 - Debet Giro ke Tabungan",(E3),IF(E10="1107 - Kredit Giro Debit GL",(F9),IF(E10="1417 - Pembulatan",(E3),IF(E10="7016 - Pembayaran Tagihan dari Giro",(E3)))))))</f>
        <v>GNC - PNPL Asuran (11277)</v>
      </c>
      <c r="F16" s="151"/>
      <c r="G16" s="78"/>
      <c r="H16" s="78"/>
    </row>
    <row r="17" customFormat="false" ht="22.5" hidden="false" customHeight="true" outlineLevel="0" collapsed="false">
      <c r="B17" s="72"/>
      <c r="C17" s="79"/>
      <c r="D17" s="79"/>
      <c r="E17" s="81" t="str">
        <f aca="false">E3</f>
        <v>GNC - PNPL Asuran (11277)</v>
      </c>
      <c r="F17" s="81"/>
      <c r="G17" s="82"/>
    </row>
    <row r="18" customFormat="false" ht="39" hidden="false" customHeight="true" outlineLevel="0" collapsed="false">
      <c r="B18" s="152" t="str">
        <f aca="false">IF(E10="1209 - Debet Giro ke GL","Kotran 1209",IF(E10="1208 - Debet GL ke Giro","Kotran 1208",IF(E10="1314 - Debet Giro ke Tabungan","Kotran 1314",IF(E10="1301 - Penariakan Tunai Giro","Kotran 1301",IF(E10="1107 - Kredit Giro Debit GL","Kotran 1107",IF(E10="1417 - Pembulatan","Kotran 1417",IF(E10="7016 - Pembayaran Tagihan dari Giro","Kotran 7016")))))))</f>
        <v>Kotran 1314</v>
      </c>
      <c r="C18" s="84"/>
      <c r="D18" s="85" t="n">
        <f aca="false">E6</f>
        <v>400000</v>
      </c>
      <c r="E18" s="85"/>
      <c r="F18" s="79"/>
      <c r="G18" s="86"/>
      <c r="H18" s="87"/>
    </row>
    <row r="19" customFormat="false" ht="14.25" hidden="false" customHeight="true" outlineLevel="0" collapsed="false">
      <c r="B19" s="153" t="str">
        <f aca="false">E7</f>
        <v>JRB.R01.BR/MTU/106/2022</v>
      </c>
      <c r="C19" s="153"/>
      <c r="D19" s="153"/>
      <c r="E19" s="153"/>
      <c r="F19" s="153"/>
      <c r="G19" s="91"/>
      <c r="H19" s="92"/>
    </row>
    <row r="20" customFormat="false" ht="18" hidden="false" customHeight="true" outlineLevel="0" collapsed="false">
      <c r="B20" s="153"/>
      <c r="C20" s="153"/>
      <c r="D20" s="153"/>
      <c r="E20" s="153"/>
      <c r="F20" s="153"/>
      <c r="G20" s="91"/>
      <c r="H20" s="96"/>
    </row>
    <row r="21" customFormat="false" ht="17.25" hidden="false" customHeight="true" outlineLevel="0" collapsed="false">
      <c r="B21" s="97"/>
      <c r="C21" s="98"/>
      <c r="D21" s="99"/>
      <c r="E21" s="99"/>
      <c r="F21" s="100"/>
      <c r="G21" s="91"/>
      <c r="H21" s="87"/>
    </row>
    <row r="22" customFormat="false" ht="19.5" hidden="false" customHeight="true" outlineLevel="0" collapsed="false">
      <c r="B22" s="154" t="str">
        <f aca="false">IF(E10="1209 - Debet Giro ke GL","Reff "&amp;(E8),IF(E10="1208 - Debet GL ke Giro","  ",IF(E10="1314 - Debet Giro ke Tabungan","Reff "&amp;(E8),IF(E10="1107 - Kredit Giro Debit GL","  ",IF(E10="1417 - Pembulatan","Reff "&amp;(E8),IF(E10="7016 - Pembayaran Tagihan dari Giro",(E8)))))))</f>
        <v>Reff 0000 0000 2022 1575 430</v>
      </c>
      <c r="C22" s="155"/>
      <c r="D22" s="103"/>
      <c r="E22" s="104"/>
      <c r="F22" s="105" t="str">
        <f aca="false">IF(D24&lt;0,"&amp;sen","")</f>
        <v/>
      </c>
      <c r="G22" s="106"/>
      <c r="H22" s="107"/>
    </row>
    <row r="23" customFormat="false" ht="16.5" hidden="false" customHeight="true" outlineLevel="0" collapsed="false">
      <c r="B23" s="108"/>
      <c r="C23" s="90"/>
      <c r="D23" s="90"/>
      <c r="E23" s="94" t="s">
        <v>86</v>
      </c>
      <c r="F23" s="109"/>
      <c r="G23" s="110"/>
      <c r="H23" s="111"/>
    </row>
    <row r="24" customFormat="false" ht="58.5" hidden="false" customHeight="true" outlineLevel="0" collapsed="false">
      <c r="B24" s="112" t="s">
        <v>86</v>
      </c>
      <c r="C24" s="90"/>
      <c r="D24" s="113" t="n">
        <f aca="false">E6</f>
        <v>400000</v>
      </c>
      <c r="E24" s="113"/>
      <c r="F24" s="114"/>
      <c r="G24" s="115"/>
      <c r="H24" s="116"/>
    </row>
    <row r="25" customFormat="false" ht="6" hidden="false" customHeight="true" outlineLevel="0" collapsed="false">
      <c r="B25" s="117"/>
      <c r="C25" s="156" t="e">
        <f aca="false">'Rumus '!A295</f>
        <v>#N/A</v>
      </c>
      <c r="D25" s="156"/>
      <c r="E25" s="156"/>
      <c r="F25" s="156"/>
      <c r="G25" s="119"/>
      <c r="H25" s="120"/>
    </row>
    <row r="26" customFormat="false" ht="15" hidden="false" customHeight="true" outlineLevel="0" collapsed="false">
      <c r="B26" s="117"/>
      <c r="C26" s="156"/>
      <c r="D26" s="156"/>
      <c r="E26" s="156"/>
      <c r="F26" s="156"/>
      <c r="G26" s="121"/>
      <c r="H26" s="122"/>
      <c r="I26" s="122"/>
    </row>
    <row r="27" customFormat="false" ht="24.75" hidden="false" customHeight="true" outlineLevel="0" collapsed="false">
      <c r="B27" s="117"/>
      <c r="C27" s="156"/>
      <c r="D27" s="156"/>
      <c r="E27" s="156"/>
      <c r="F27" s="156"/>
      <c r="G27" s="121"/>
      <c r="H27" s="122"/>
      <c r="I27" s="122"/>
    </row>
    <row r="28" customFormat="false" ht="13.5" hidden="false" customHeight="true" outlineLevel="0" collapsed="false">
      <c r="B28" s="157" t="str">
        <f aca="false">IF(E10="1209 - Debet Giro ke GL","D/ "&amp;(E2),IF(E10="1208 - Debet GL ke Giro","K/ "&amp;(E4),IF(E10="1314 - Debet Giro ke Tabungan","K/ "&amp;(E4),IF(E10="1107 - Kredit Giro Debit Gl","K/ "&amp;(E2),IF(E10="1417 - Pembulatan","K/ 036 Fee Lainnya",IF(E10="7016 - Pembayaran Tagihan dari Giro","K/ "&amp;(E4)))))))</f>
        <v>K/ 112-00-1202930-7</v>
      </c>
      <c r="C28" s="157"/>
      <c r="D28" s="79"/>
      <c r="E28" s="79"/>
      <c r="F28" s="79" t="s">
        <v>88</v>
      </c>
      <c r="G28" s="123"/>
    </row>
    <row r="29" customFormat="false" ht="15.75" hidden="false" customHeight="true" outlineLevel="0" collapsed="false">
      <c r="B29" s="158" t="str">
        <f aca="false">IF(E10="1209 - Debet Giro ke GL",(E3),IF(E10="1208 - Debet GL ke Giro",(E5),IF(E10="1314 - Debet Giro ke Tabungan",(E5),IF(E10="1107 - Kredit Giro Debit Gl",(E3),IF(E10="1417 - Pembulatan"," ",IF(E10="7016 - Pembayaran Tagihan dari Giro",(E5)))))))</f>
        <v>Ahmad Munharib</v>
      </c>
      <c r="C29" s="158"/>
      <c r="D29" s="125"/>
      <c r="E29" s="125"/>
      <c r="F29" s="126"/>
      <c r="G29" s="123"/>
    </row>
    <row r="30" customFormat="false" ht="15.75" hidden="false" customHeight="true" outlineLevel="0" collapsed="false">
      <c r="B30" s="72"/>
      <c r="C30" s="159"/>
      <c r="D30" s="127"/>
      <c r="E30" s="127"/>
      <c r="F30" s="160" t="s">
        <v>118</v>
      </c>
    </row>
    <row r="33" customFormat="false" ht="15.75" hidden="false" customHeight="false" outlineLevel="0" collapsed="false">
      <c r="B33" s="129"/>
      <c r="G33" s="130"/>
    </row>
    <row r="34" customFormat="false" ht="15.75" hidden="false" customHeight="false" outlineLevel="0" collapsed="false">
      <c r="E34" s="131"/>
      <c r="G34" s="130"/>
    </row>
    <row r="35" customFormat="false" ht="15.75" hidden="false" customHeight="false" outlineLevel="0" collapsed="false">
      <c r="E35" s="131"/>
      <c r="G35" s="132"/>
    </row>
    <row r="36" customFormat="false" ht="15.75" hidden="false" customHeight="false" outlineLevel="0" collapsed="false">
      <c r="E36" s="131"/>
      <c r="G36" s="133"/>
    </row>
    <row r="37" customFormat="false" ht="15.75" hidden="false" customHeight="false" outlineLevel="0" collapsed="false">
      <c r="E37" s="131"/>
      <c r="G37" s="133"/>
    </row>
    <row r="38" customFormat="false" ht="15.75" hidden="false" customHeight="false" outlineLevel="0" collapsed="false">
      <c r="C38" s="47" t="n">
        <v>3219434</v>
      </c>
      <c r="E38" s="131" t="s">
        <v>119</v>
      </c>
      <c r="G38" s="133"/>
    </row>
    <row r="39" customFormat="false" ht="15.75" hidden="false" customHeight="true" outlineLevel="0" collapsed="false">
      <c r="C39" s="47" t="n">
        <v>1263110</v>
      </c>
      <c r="E39" s="131" t="s">
        <v>120</v>
      </c>
      <c r="G39" s="133"/>
    </row>
    <row r="40" customFormat="false" ht="15.75" hidden="false" customHeight="false" outlineLevel="0" collapsed="false">
      <c r="C40" s="47" t="n">
        <v>250000</v>
      </c>
      <c r="E40" s="131"/>
      <c r="G40" s="133"/>
    </row>
    <row r="41" customFormat="false" ht="15.75" hidden="false" customHeight="false" outlineLevel="0" collapsed="false">
      <c r="C41" s="47" t="n">
        <v>1000000</v>
      </c>
      <c r="E41" s="131" t="s">
        <v>121</v>
      </c>
      <c r="G41" s="133"/>
    </row>
    <row r="42" customFormat="false" ht="15.75" hidden="false" customHeight="false" outlineLevel="0" collapsed="false">
      <c r="E42" s="131"/>
    </row>
    <row r="43" customFormat="false" ht="15.75" hidden="false" customHeight="false" outlineLevel="0" collapsed="false">
      <c r="E43" s="131"/>
    </row>
  </sheetData>
  <mergeCells count="18">
    <mergeCell ref="E2:F2"/>
    <mergeCell ref="E3:F3"/>
    <mergeCell ref="E4:F4"/>
    <mergeCell ref="E5:F5"/>
    <mergeCell ref="E6:F6"/>
    <mergeCell ref="E7:F7"/>
    <mergeCell ref="E8:F8"/>
    <mergeCell ref="E10:F10"/>
    <mergeCell ref="E16:F16"/>
    <mergeCell ref="D18:E18"/>
    <mergeCell ref="B19:F20"/>
    <mergeCell ref="D21:E21"/>
    <mergeCell ref="D24:E24"/>
    <mergeCell ref="C25:F27"/>
    <mergeCell ref="B28:C28"/>
    <mergeCell ref="B29:C29"/>
    <mergeCell ref="D29:E29"/>
    <mergeCell ref="D30:E30"/>
  </mergeCells>
  <dataValidations count="2">
    <dataValidation allowBlank="true" errorStyle="stop" operator="between" showDropDown="false" showErrorMessage="true" showInputMessage="false" sqref="E10:F10" type="list">
      <formula1>$H$2:$H$7</formula1>
      <formula2>0</formula2>
    </dataValidation>
    <dataValidation allowBlank="true" errorStyle="stop" operator="between" showDropDown="false" showErrorMessage="true" showInputMessage="false" sqref="E9" type="list">
      <formula1>$I$2:$I$5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85" bottom="0.984027777777778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8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7" activeCellId="0" sqref="I7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61" width="0.41"/>
    <col collapsed="false" customWidth="true" hidden="false" outlineLevel="0" max="2" min="2" style="162" width="21.13"/>
    <col collapsed="false" customWidth="false" hidden="false" outlineLevel="0" max="4" min="3" style="162" width="9.14"/>
    <col collapsed="false" customWidth="true" hidden="false" outlineLevel="0" max="5" min="5" style="162" width="14.56"/>
    <col collapsed="false" customWidth="true" hidden="false" outlineLevel="0" max="6" min="6" style="162" width="16.7"/>
    <col collapsed="false" customWidth="true" hidden="false" outlineLevel="0" max="7" min="7" style="162" width="17.28"/>
    <col collapsed="false" customWidth="false" hidden="false" outlineLevel="0" max="8" min="8" style="161" width="9.14"/>
    <col collapsed="false" customWidth="true" hidden="false" outlineLevel="0" max="9" min="9" style="161" width="9.99"/>
    <col collapsed="false" customWidth="false" hidden="false" outlineLevel="0" max="14" min="10" style="161" width="9.14"/>
    <col collapsed="false" customWidth="true" hidden="false" outlineLevel="0" max="15" min="15" style="161" width="11.56"/>
    <col collapsed="false" customWidth="false" hidden="false" outlineLevel="0" max="257" min="16" style="161" width="9.14"/>
  </cols>
  <sheetData>
    <row r="1" customFormat="false" ht="15" hidden="false" customHeight="false" outlineLevel="0" collapsed="false">
      <c r="M1" s="161" t="s">
        <v>122</v>
      </c>
      <c r="O1" s="161" t="s">
        <v>123</v>
      </c>
    </row>
    <row r="2" customFormat="false" ht="15" hidden="false" customHeight="false" outlineLevel="0" collapsed="false">
      <c r="B2" s="162" t="s">
        <v>124</v>
      </c>
      <c r="M2" s="161" t="s">
        <v>125</v>
      </c>
      <c r="O2" s="161" t="s">
        <v>124</v>
      </c>
    </row>
    <row r="3" customFormat="false" ht="9" hidden="false" customHeight="true" outlineLevel="0" collapsed="false"/>
    <row r="4" customFormat="false" ht="117" hidden="false" customHeight="true" outlineLevel="0" collapsed="false">
      <c r="B4" s="163"/>
      <c r="C4" s="164" t="s">
        <v>126</v>
      </c>
      <c r="D4" s="164"/>
      <c r="E4" s="164"/>
      <c r="F4" s="164"/>
      <c r="G4" s="163"/>
      <c r="I4" s="165"/>
    </row>
    <row r="5" customFormat="false" ht="10.5" hidden="false" customHeight="true" outlineLevel="0" collapsed="false">
      <c r="B5" s="166" t="s">
        <v>125</v>
      </c>
      <c r="C5" s="163"/>
      <c r="D5" s="163"/>
      <c r="E5" s="163"/>
      <c r="F5" s="163"/>
      <c r="G5" s="163"/>
      <c r="I5" s="165"/>
    </row>
    <row r="6" customFormat="false" ht="22.5" hidden="false" customHeight="true" outlineLevel="0" collapsed="false">
      <c r="B6" s="163"/>
      <c r="C6" s="167" t="str">
        <f aca="false">IF(B5="Kotran 0002","KCP MMU Martapura",IF(B5="Kotran 0001","All Suspend Deposit - 195 116 01"))</f>
        <v>KCP MMU Martapura</v>
      </c>
      <c r="D6" s="163"/>
      <c r="E6" s="163"/>
      <c r="F6" s="163"/>
      <c r="G6" s="163"/>
      <c r="I6" s="165"/>
    </row>
    <row r="7" customFormat="false" ht="17.25" hidden="false" customHeight="true" outlineLevel="0" collapsed="false">
      <c r="B7" s="168"/>
      <c r="C7" s="169" t="s">
        <v>127</v>
      </c>
      <c r="D7" s="169"/>
      <c r="E7" s="169"/>
      <c r="F7" s="169"/>
      <c r="G7" s="170" t="n">
        <v>3950000</v>
      </c>
      <c r="I7" s="171"/>
    </row>
    <row r="8" customFormat="false" ht="23.25" hidden="false" customHeight="true" outlineLevel="0" collapsed="false">
      <c r="B8" s="172" t="str">
        <f aca="false">IF(B5="Kotran 0002","D/ "&amp;B2,IF(B5="Kotran 0001","D/ Tunai"))</f>
        <v>D/ All Akun Susp Transaksi Antar APL - 195 116 20</v>
      </c>
      <c r="C8" s="163"/>
      <c r="D8" s="163"/>
      <c r="E8" s="163"/>
      <c r="F8" s="163"/>
      <c r="G8" s="163"/>
      <c r="I8" s="165"/>
      <c r="K8" s="161" t="n">
        <v>126000</v>
      </c>
    </row>
    <row r="9" customFormat="false" ht="18" hidden="false" customHeight="true" outlineLevel="0" collapsed="false">
      <c r="B9" s="173" t="str">
        <f aca="false">IF(B5="Kotran 0002","K/ Tunai",IF(B5="Kotran 0001","K/ "&amp;B2,0))</f>
        <v>K/ Tunai</v>
      </c>
      <c r="C9" s="163"/>
      <c r="D9" s="163"/>
      <c r="E9" s="163"/>
      <c r="F9" s="174"/>
      <c r="G9" s="163"/>
      <c r="I9" s="165"/>
      <c r="K9" s="161" t="n">
        <v>48000</v>
      </c>
    </row>
    <row r="10" customFormat="false" ht="16.5" hidden="false" customHeight="true" outlineLevel="0" collapsed="false">
      <c r="B10" s="175"/>
      <c r="C10" s="163"/>
      <c r="D10" s="163"/>
      <c r="E10" s="163"/>
      <c r="F10" s="163"/>
      <c r="G10" s="163"/>
      <c r="I10" s="165"/>
    </row>
    <row r="11" customFormat="false" ht="8.25" hidden="false" customHeight="true" outlineLevel="0" collapsed="false">
      <c r="B11" s="175"/>
      <c r="C11" s="163"/>
      <c r="D11" s="163" t="s">
        <v>86</v>
      </c>
      <c r="E11" s="163"/>
      <c r="F11" s="163"/>
      <c r="G11" s="163"/>
      <c r="I11" s="165"/>
    </row>
    <row r="12" customFormat="false" ht="12.75" hidden="false" customHeight="true" outlineLevel="0" collapsed="false">
      <c r="B12" s="175"/>
      <c r="C12" s="163"/>
      <c r="D12" s="163"/>
      <c r="E12" s="163"/>
      <c r="F12" s="163"/>
      <c r="G12" s="176" t="n">
        <f aca="false">G7</f>
        <v>3950000</v>
      </c>
      <c r="I12" s="165"/>
    </row>
    <row r="13" customFormat="false" ht="15" hidden="true" customHeight="false" outlineLevel="0" collapsed="false">
      <c r="B13" s="163"/>
      <c r="C13" s="163"/>
      <c r="D13" s="163"/>
      <c r="E13" s="163"/>
      <c r="F13" s="163"/>
      <c r="G13" s="163"/>
      <c r="I13" s="165"/>
    </row>
    <row r="14" customFormat="false" ht="47.25" hidden="false" customHeight="true" outlineLevel="0" collapsed="false">
      <c r="B14" s="177" t="e">
        <f aca="false">'Rumus '!A416</f>
        <v>#N/A</v>
      </c>
      <c r="C14" s="163"/>
      <c r="D14" s="163"/>
      <c r="E14" s="163"/>
      <c r="F14" s="163"/>
      <c r="G14" s="163"/>
      <c r="I14" s="165"/>
    </row>
    <row r="15" customFormat="false" ht="15" hidden="false" customHeight="false" outlineLevel="0" collapsed="false">
      <c r="B15" s="163"/>
      <c r="C15" s="163"/>
      <c r="D15" s="163"/>
      <c r="E15" s="163"/>
      <c r="F15" s="163"/>
      <c r="G15" s="163"/>
      <c r="I15" s="165"/>
    </row>
    <row r="16" customFormat="false" ht="17.25" hidden="false" customHeight="true" outlineLevel="0" collapsed="false">
      <c r="B16" s="163"/>
      <c r="C16" s="163"/>
      <c r="D16" s="163"/>
      <c r="E16" s="163"/>
      <c r="F16" s="178" t="s">
        <v>128</v>
      </c>
      <c r="G16" s="179" t="n">
        <f aca="true">NOW()</f>
        <v>46314.6141962903</v>
      </c>
      <c r="I16" s="165"/>
    </row>
    <row r="17" customFormat="false" ht="15" hidden="false" customHeight="false" outlineLevel="0" collapsed="false">
      <c r="B17" s="163"/>
      <c r="C17" s="163"/>
      <c r="D17" s="163"/>
      <c r="E17" s="163"/>
      <c r="F17" s="163"/>
      <c r="G17" s="163"/>
      <c r="I17" s="165"/>
    </row>
    <row r="18" customFormat="false" ht="15" hidden="false" customHeight="false" outlineLevel="0" collapsed="false">
      <c r="B18" s="163"/>
      <c r="C18" s="163"/>
      <c r="D18" s="163"/>
      <c r="E18" s="163"/>
      <c r="F18" s="163"/>
      <c r="G18" s="163"/>
      <c r="I18" s="165"/>
    </row>
    <row r="19" customFormat="false" ht="15.75" hidden="false" customHeight="true" outlineLevel="0" collapsed="false">
      <c r="B19" s="163"/>
      <c r="C19" s="163"/>
      <c r="D19" s="163"/>
      <c r="E19" s="163"/>
      <c r="F19" s="180" t="s">
        <v>129</v>
      </c>
      <c r="G19" s="180"/>
      <c r="I19" s="165"/>
    </row>
    <row r="20" customFormat="false" ht="15" hidden="false" customHeight="true" outlineLevel="0" collapsed="false">
      <c r="B20" s="163"/>
      <c r="C20" s="163"/>
      <c r="D20" s="163"/>
      <c r="E20" s="163"/>
      <c r="F20" s="181" t="s">
        <v>130</v>
      </c>
      <c r="G20" s="181"/>
    </row>
    <row r="22" customFormat="false" ht="15" hidden="false" customHeight="false" outlineLevel="0" collapsed="false">
      <c r="B22" s="182"/>
    </row>
    <row r="23" customFormat="false" ht="15" hidden="false" customHeight="false" outlineLevel="0" collapsed="false">
      <c r="B23" s="182" t="s">
        <v>131</v>
      </c>
    </row>
    <row r="24" customFormat="false" ht="15" hidden="false" customHeight="false" outlineLevel="0" collapsed="false">
      <c r="B24" s="182" t="s">
        <v>132</v>
      </c>
    </row>
    <row r="25" customFormat="false" ht="15" hidden="false" customHeight="false" outlineLevel="0" collapsed="false">
      <c r="B25" s="182" t="s">
        <v>133</v>
      </c>
    </row>
    <row r="26" customFormat="false" ht="15" hidden="false" customHeight="false" outlineLevel="0" collapsed="false">
      <c r="B26" s="182" t="s">
        <v>134</v>
      </c>
    </row>
    <row r="27" customFormat="false" ht="15" hidden="false" customHeight="false" outlineLevel="0" collapsed="false">
      <c r="B27" s="182" t="s">
        <v>135</v>
      </c>
    </row>
    <row r="28" customFormat="false" ht="15" hidden="false" customHeight="false" outlineLevel="0" collapsed="false">
      <c r="B28" s="182" t="s">
        <v>136</v>
      </c>
    </row>
    <row r="29" customFormat="false" ht="15" hidden="false" customHeight="false" outlineLevel="0" collapsed="false">
      <c r="B29" s="182" t="s">
        <v>137</v>
      </c>
    </row>
    <row r="30" customFormat="false" ht="15" hidden="false" customHeight="false" outlineLevel="0" collapsed="false">
      <c r="B30" s="182" t="s">
        <v>138</v>
      </c>
    </row>
    <row r="31" customFormat="false" ht="15" hidden="false" customHeight="false" outlineLevel="0" collapsed="false">
      <c r="B31" s="182" t="s">
        <v>127</v>
      </c>
    </row>
    <row r="32" customFormat="false" ht="15" hidden="false" customHeight="false" outlineLevel="0" collapsed="false">
      <c r="B32" s="182" t="s">
        <v>139</v>
      </c>
    </row>
    <row r="33" customFormat="false" ht="15" hidden="false" customHeight="false" outlineLevel="0" collapsed="false">
      <c r="B33" s="182" t="s">
        <v>140</v>
      </c>
    </row>
    <row r="34" customFormat="false" ht="15" hidden="false" customHeight="false" outlineLevel="0" collapsed="false">
      <c r="B34" s="183" t="s">
        <v>141</v>
      </c>
    </row>
    <row r="35" customFormat="false" ht="15" hidden="false" customHeight="false" outlineLevel="0" collapsed="false">
      <c r="B35" s="183"/>
    </row>
    <row r="36" customFormat="false" ht="15" hidden="false" customHeight="false" outlineLevel="0" collapsed="false">
      <c r="B36" s="183"/>
    </row>
    <row r="37" customFormat="false" ht="15" hidden="false" customHeight="false" outlineLevel="0" collapsed="false">
      <c r="B37" s="183"/>
    </row>
    <row r="38" customFormat="false" ht="15" hidden="false" customHeight="false" outlineLevel="0" collapsed="false">
      <c r="B38" s="183"/>
    </row>
    <row r="39" customFormat="false" ht="15" hidden="false" customHeight="false" outlineLevel="0" collapsed="false">
      <c r="B39" s="183"/>
    </row>
    <row r="40" customFormat="false" ht="15" hidden="false" customHeight="false" outlineLevel="0" collapsed="false">
      <c r="B40" s="183"/>
    </row>
    <row r="41" customFormat="false" ht="15" hidden="false" customHeight="false" outlineLevel="0" collapsed="false">
      <c r="B41" s="183"/>
    </row>
    <row r="42" customFormat="false" ht="15" hidden="false" customHeight="false" outlineLevel="0" collapsed="false">
      <c r="B42" s="183"/>
    </row>
    <row r="43" customFormat="false" ht="15" hidden="false" customHeight="false" outlineLevel="0" collapsed="false">
      <c r="B43" s="183"/>
    </row>
    <row r="44" customFormat="false" ht="15" hidden="false" customHeight="false" outlineLevel="0" collapsed="false">
      <c r="B44" s="183"/>
    </row>
    <row r="45" customFormat="false" ht="15" hidden="false" customHeight="false" outlineLevel="0" collapsed="false">
      <c r="B45" s="183"/>
    </row>
    <row r="46" customFormat="false" ht="15" hidden="false" customHeight="false" outlineLevel="0" collapsed="false">
      <c r="B46" s="183"/>
    </row>
    <row r="47" customFormat="false" ht="15" hidden="false" customHeight="false" outlineLevel="0" collapsed="false">
      <c r="B47" s="183"/>
    </row>
    <row r="48" customFormat="false" ht="15" hidden="false" customHeight="false" outlineLevel="0" collapsed="false">
      <c r="B48" s="183"/>
    </row>
    <row r="49" customFormat="false" ht="15" hidden="false" customHeight="false" outlineLevel="0" collapsed="false">
      <c r="B49" s="183"/>
    </row>
    <row r="50" customFormat="false" ht="15" hidden="false" customHeight="false" outlineLevel="0" collapsed="false">
      <c r="B50" s="183"/>
    </row>
    <row r="51" customFormat="false" ht="15" hidden="false" customHeight="false" outlineLevel="0" collapsed="false">
      <c r="B51" s="183"/>
    </row>
    <row r="52" customFormat="false" ht="15" hidden="false" customHeight="false" outlineLevel="0" collapsed="false">
      <c r="B52" s="183"/>
    </row>
    <row r="53" customFormat="false" ht="15" hidden="false" customHeight="false" outlineLevel="0" collapsed="false">
      <c r="B53" s="183"/>
    </row>
    <row r="54" customFormat="false" ht="15" hidden="false" customHeight="false" outlineLevel="0" collapsed="false">
      <c r="B54" s="183"/>
    </row>
    <row r="55" customFormat="false" ht="15" hidden="false" customHeight="false" outlineLevel="0" collapsed="false">
      <c r="B55" s="183"/>
    </row>
    <row r="56" customFormat="false" ht="15" hidden="false" customHeight="false" outlineLevel="0" collapsed="false">
      <c r="B56" s="183"/>
    </row>
    <row r="57" customFormat="false" ht="15" hidden="false" customHeight="false" outlineLevel="0" collapsed="false">
      <c r="B57" s="183"/>
    </row>
    <row r="58" customFormat="false" ht="15" hidden="false" customHeight="false" outlineLevel="0" collapsed="false">
      <c r="B58" s="183"/>
    </row>
    <row r="59" customFormat="false" ht="15" hidden="false" customHeight="false" outlineLevel="0" collapsed="false">
      <c r="B59" s="183"/>
    </row>
    <row r="60" customFormat="false" ht="15" hidden="false" customHeight="false" outlineLevel="0" collapsed="false">
      <c r="B60" s="183"/>
    </row>
    <row r="61" customFormat="false" ht="15" hidden="false" customHeight="false" outlineLevel="0" collapsed="false">
      <c r="B61" s="183"/>
    </row>
    <row r="62" customFormat="false" ht="15" hidden="false" customHeight="false" outlineLevel="0" collapsed="false">
      <c r="B62" s="183"/>
    </row>
    <row r="63" customFormat="false" ht="15" hidden="false" customHeight="false" outlineLevel="0" collapsed="false">
      <c r="B63" s="183"/>
    </row>
    <row r="64" customFormat="false" ht="15" hidden="false" customHeight="false" outlineLevel="0" collapsed="false">
      <c r="B64" s="183"/>
    </row>
    <row r="65" customFormat="false" ht="15" hidden="false" customHeight="false" outlineLevel="0" collapsed="false">
      <c r="B65" s="183"/>
    </row>
    <row r="66" customFormat="false" ht="15" hidden="false" customHeight="false" outlineLevel="0" collapsed="false">
      <c r="B66" s="183"/>
    </row>
    <row r="67" customFormat="false" ht="15" hidden="false" customHeight="false" outlineLevel="0" collapsed="false">
      <c r="B67" s="183"/>
    </row>
    <row r="68" customFormat="false" ht="15" hidden="false" customHeight="false" outlineLevel="0" collapsed="false">
      <c r="B68" s="183"/>
    </row>
    <row r="69" customFormat="false" ht="15" hidden="false" customHeight="false" outlineLevel="0" collapsed="false">
      <c r="B69" s="183"/>
    </row>
    <row r="70" customFormat="false" ht="15" hidden="false" customHeight="false" outlineLevel="0" collapsed="false">
      <c r="B70" s="183"/>
    </row>
    <row r="71" customFormat="false" ht="15" hidden="false" customHeight="false" outlineLevel="0" collapsed="false">
      <c r="B71" s="183"/>
    </row>
    <row r="72" customFormat="false" ht="15" hidden="false" customHeight="false" outlineLevel="0" collapsed="false">
      <c r="B72" s="183"/>
    </row>
    <row r="73" customFormat="false" ht="15" hidden="false" customHeight="false" outlineLevel="0" collapsed="false">
      <c r="B73" s="183"/>
    </row>
    <row r="74" customFormat="false" ht="15" hidden="false" customHeight="false" outlineLevel="0" collapsed="false">
      <c r="B74" s="183"/>
    </row>
    <row r="75" customFormat="false" ht="15" hidden="false" customHeight="false" outlineLevel="0" collapsed="false">
      <c r="B75" s="183"/>
    </row>
    <row r="76" customFormat="false" ht="15" hidden="false" customHeight="false" outlineLevel="0" collapsed="false">
      <c r="B76" s="183"/>
    </row>
    <row r="77" customFormat="false" ht="15" hidden="false" customHeight="false" outlineLevel="0" collapsed="false">
      <c r="B77" s="183"/>
    </row>
    <row r="78" customFormat="false" ht="15" hidden="false" customHeight="false" outlineLevel="0" collapsed="false">
      <c r="B78" s="183"/>
    </row>
    <row r="79" customFormat="false" ht="15" hidden="false" customHeight="false" outlineLevel="0" collapsed="false">
      <c r="B79" s="183"/>
    </row>
    <row r="80" customFormat="false" ht="15" hidden="false" customHeight="false" outlineLevel="0" collapsed="false">
      <c r="B80" s="183"/>
    </row>
    <row r="81" customFormat="false" ht="15" hidden="false" customHeight="false" outlineLevel="0" collapsed="false">
      <c r="B81" s="183"/>
    </row>
  </sheetData>
  <mergeCells count="4">
    <mergeCell ref="C4:F4"/>
    <mergeCell ref="C7:F7"/>
    <mergeCell ref="F19:G19"/>
    <mergeCell ref="F20:G20"/>
  </mergeCells>
  <dataValidations count="3">
    <dataValidation allowBlank="true" errorStyle="stop" operator="between" showDropDown="false" showErrorMessage="true" showInputMessage="false" sqref="C7:F7" type="list">
      <formula1>$B$22:$B$33</formula1>
      <formula2>0</formula2>
    </dataValidation>
    <dataValidation allowBlank="true" errorStyle="stop" operator="between" showDropDown="false" showErrorMessage="true" showInputMessage="false" sqref="B5" type="list">
      <formula1>$M$1:$M$2</formula1>
      <formula2>0</formula2>
    </dataValidation>
    <dataValidation allowBlank="true" errorStyle="stop" operator="between" showDropDown="false" showErrorMessage="true" showInputMessage="false" sqref="B2" type="list">
      <formula1>$O$1:$O$3</formula1>
      <formula2>0</formula2>
    </dataValidation>
  </dataValidations>
  <printOptions headings="false" gridLines="false" gridLinesSet="true" horizontalCentered="false" verticalCentered="false"/>
  <pageMargins left="0.75" right="0.75" top="0.7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O60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I22" activeCellId="0" sqref="I22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84" width="4.28"/>
    <col collapsed="false" customWidth="true" hidden="false" outlineLevel="0" max="2" min="2" style="185" width="26.13"/>
    <col collapsed="false" customWidth="true" hidden="false" outlineLevel="0" max="3" min="3" style="186" width="3.85"/>
    <col collapsed="false" customWidth="true" hidden="false" outlineLevel="0" max="4" min="4" style="186" width="8.41"/>
    <col collapsed="false" customWidth="true" hidden="false" outlineLevel="0" max="5" min="5" style="187" width="11.85"/>
    <col collapsed="false" customWidth="true" hidden="false" outlineLevel="0" max="6" min="6" style="187" width="8.41"/>
    <col collapsed="false" customWidth="true" hidden="false" outlineLevel="0" max="7" min="7" style="187" width="17.7"/>
    <col collapsed="false" customWidth="true" hidden="false" outlineLevel="0" max="8" min="8" style="187" width="12.85"/>
    <col collapsed="false" customWidth="true" hidden="false" outlineLevel="0" max="9" min="9" style="185" width="18.41"/>
    <col collapsed="false" customWidth="true" hidden="false" outlineLevel="0" max="10" min="10" style="188" width="12.99"/>
    <col collapsed="false" customWidth="true" hidden="false" outlineLevel="0" max="11" min="11" style="185" width="13.85"/>
    <col collapsed="false" customWidth="true" hidden="false" outlineLevel="0" max="12" min="12" style="185" width="12.56"/>
    <col collapsed="false" customWidth="true" hidden="false" outlineLevel="0" max="13" min="13" style="185" width="12.85"/>
    <col collapsed="false" customWidth="true" hidden="false" outlineLevel="0" max="14" min="14" style="189" width="12.7"/>
    <col collapsed="false" customWidth="false" hidden="false" outlineLevel="0" max="257" min="15" style="185" width="9.14"/>
  </cols>
  <sheetData>
    <row r="4" customFormat="false" ht="12.75" hidden="false" customHeight="false" outlineLevel="0" collapsed="false">
      <c r="L4" s="190" t="s">
        <v>142</v>
      </c>
    </row>
    <row r="5" customFormat="false" ht="41.25" hidden="false" customHeight="true" outlineLevel="0" collapsed="false"/>
    <row r="6" customFormat="false" ht="12.75" hidden="false" customHeight="false" outlineLevel="0" collapsed="false">
      <c r="A6" s="191" t="s">
        <v>143</v>
      </c>
      <c r="C6" s="186" t="s">
        <v>69</v>
      </c>
      <c r="D6" s="192" t="s">
        <v>144</v>
      </c>
      <c r="E6" s="192"/>
      <c r="F6" s="192"/>
      <c r="I6" s="185" t="s">
        <v>145</v>
      </c>
      <c r="J6" s="188" t="s">
        <v>146</v>
      </c>
      <c r="K6" s="193"/>
      <c r="L6" s="184"/>
      <c r="N6" s="191"/>
      <c r="O6" s="191"/>
    </row>
    <row r="7" customFormat="false" ht="12.75" hidden="false" customHeight="false" outlineLevel="0" collapsed="false">
      <c r="A7" s="191" t="s">
        <v>147</v>
      </c>
      <c r="C7" s="186" t="s">
        <v>69</v>
      </c>
      <c r="D7" s="194" t="n">
        <v>44714</v>
      </c>
      <c r="E7" s="194"/>
      <c r="F7" s="179"/>
      <c r="I7" s="185" t="s">
        <v>148</v>
      </c>
      <c r="J7" s="188" t="s">
        <v>149</v>
      </c>
      <c r="K7" s="193"/>
      <c r="L7" s="184"/>
      <c r="N7" s="191"/>
      <c r="O7" s="191"/>
    </row>
    <row r="8" customFormat="false" ht="12.75" hidden="false" customHeight="false" outlineLevel="0" collapsed="false">
      <c r="A8" s="191" t="s">
        <v>150</v>
      </c>
      <c r="C8" s="186" t="s">
        <v>69</v>
      </c>
      <c r="D8" s="192" t="str">
        <f aca="false">IF(L4="Listrik",(C50),IF(L4="Pulsa",(C51),IF(L4="Listrik Kantor",(C52))))</f>
        <v>Permohonan Reimburse Tunjangan Pulsa</v>
      </c>
      <c r="E8" s="192"/>
      <c r="F8" s="192"/>
      <c r="I8" s="185" t="s">
        <v>151</v>
      </c>
      <c r="J8" s="188" t="s">
        <v>152</v>
      </c>
      <c r="K8" s="191"/>
      <c r="L8" s="184"/>
      <c r="N8" s="191"/>
      <c r="O8" s="191"/>
    </row>
    <row r="9" customFormat="false" ht="12.75" hidden="false" customHeight="false" outlineLevel="0" collapsed="false">
      <c r="A9" s="191" t="s">
        <v>153</v>
      </c>
      <c r="C9" s="186" t="s">
        <v>69</v>
      </c>
      <c r="D9" s="192" t="s">
        <v>154</v>
      </c>
      <c r="E9" s="192"/>
      <c r="F9" s="192"/>
      <c r="I9" s="185" t="s">
        <v>155</v>
      </c>
      <c r="J9" s="188" t="s">
        <v>156</v>
      </c>
      <c r="K9" s="193"/>
      <c r="L9" s="184"/>
      <c r="N9" s="191"/>
      <c r="O9" s="191"/>
    </row>
    <row r="10" customFormat="false" ht="12.75" hidden="false" customHeight="false" outlineLevel="0" collapsed="false">
      <c r="A10" s="191" t="s">
        <v>157</v>
      </c>
      <c r="C10" s="186" t="s">
        <v>69</v>
      </c>
      <c r="D10" s="192" t="s">
        <v>158</v>
      </c>
      <c r="E10" s="192"/>
      <c r="F10" s="192"/>
    </row>
    <row r="12" customFormat="false" ht="12.75" hidden="false" customHeight="false" outlineLevel="0" collapsed="false">
      <c r="A12" s="195" t="s">
        <v>159</v>
      </c>
      <c r="B12" s="196" t="s">
        <v>160</v>
      </c>
    </row>
    <row r="13" customFormat="false" ht="21" hidden="false" customHeight="true" outlineLevel="0" collapsed="false">
      <c r="A13" s="197" t="s">
        <v>161</v>
      </c>
      <c r="B13" s="197" t="s">
        <v>162</v>
      </c>
      <c r="C13" s="198" t="s">
        <v>163</v>
      </c>
      <c r="D13" s="198"/>
      <c r="E13" s="198"/>
      <c r="F13" s="199" t="s">
        <v>164</v>
      </c>
      <c r="G13" s="199" t="s">
        <v>165</v>
      </c>
      <c r="H13" s="200" t="s">
        <v>166</v>
      </c>
      <c r="I13" s="200"/>
      <c r="J13" s="200" t="s">
        <v>7</v>
      </c>
      <c r="K13" s="201"/>
    </row>
    <row r="14" customFormat="false" ht="17.25" hidden="false" customHeight="true" outlineLevel="0" collapsed="false">
      <c r="A14" s="197"/>
      <c r="B14" s="197"/>
      <c r="C14" s="198" t="s">
        <v>167</v>
      </c>
      <c r="D14" s="198"/>
      <c r="E14" s="202" t="s">
        <v>168</v>
      </c>
      <c r="F14" s="199"/>
      <c r="G14" s="199"/>
      <c r="H14" s="200"/>
      <c r="I14" s="200"/>
      <c r="J14" s="200"/>
      <c r="K14" s="201"/>
    </row>
    <row r="15" customFormat="false" ht="53.25" hidden="false" customHeight="true" outlineLevel="0" collapsed="false">
      <c r="A15" s="203" t="n">
        <v>1</v>
      </c>
      <c r="B15" s="203" t="str">
        <f aca="false">IF(L4="Listrik",(B50),IF(L4="Pulsa",(B51),IF(L4="Listrik Kantor",(B52))))</f>
        <v>540.112.06
BTK Beban Tunjangan Pulsa Telepon Genggam</v>
      </c>
      <c r="C15" s="204" t="s">
        <v>129</v>
      </c>
      <c r="D15" s="204"/>
      <c r="E15" s="205" t="s">
        <v>169</v>
      </c>
      <c r="F15" s="206" t="n">
        <v>1</v>
      </c>
      <c r="G15" s="205" t="n">
        <v>44691</v>
      </c>
      <c r="H15" s="207" t="str">
        <f aca="false">IF(L4="Listrik",(E50),IF(L4="Pulsa",(E51),IF(L4="Listrik Kantor",(E52))))</f>
        <v>Biaya Tunjangan Pulsa Branch 
Manager Bulan Mei 2022</v>
      </c>
      <c r="I15" s="207"/>
      <c r="J15" s="208" t="n">
        <v>200000</v>
      </c>
      <c r="K15" s="189"/>
      <c r="L15" s="209"/>
    </row>
    <row r="16" customFormat="false" ht="5.25" hidden="false" customHeight="true" outlineLevel="0" collapsed="false">
      <c r="A16" s="210"/>
      <c r="B16" s="210"/>
      <c r="C16" s="210"/>
      <c r="D16" s="210"/>
      <c r="E16" s="210"/>
      <c r="F16" s="210"/>
      <c r="G16" s="210"/>
      <c r="H16" s="210"/>
      <c r="I16" s="210"/>
      <c r="J16" s="210"/>
      <c r="K16" s="211"/>
      <c r="L16" s="212"/>
      <c r="M16" s="189"/>
    </row>
    <row r="17" customFormat="false" ht="17.25" hidden="false" customHeight="true" outlineLevel="0" collapsed="false">
      <c r="A17" s="200" t="s">
        <v>170</v>
      </c>
      <c r="B17" s="200"/>
      <c r="C17" s="200"/>
      <c r="D17" s="200"/>
      <c r="E17" s="200"/>
      <c r="F17" s="200"/>
      <c r="G17" s="200"/>
      <c r="H17" s="200"/>
      <c r="I17" s="200"/>
      <c r="J17" s="213" t="n">
        <f aca="false">J15</f>
        <v>200000</v>
      </c>
      <c r="K17" s="214"/>
      <c r="M17" s="189"/>
    </row>
    <row r="18" customFormat="false" ht="12.75" hidden="false" customHeight="false" outlineLevel="0" collapsed="false">
      <c r="J18" s="215"/>
      <c r="K18" s="216"/>
      <c r="L18" s="217"/>
    </row>
    <row r="19" customFormat="false" ht="12.75" hidden="false" customHeight="false" outlineLevel="0" collapsed="false">
      <c r="A19" s="195" t="s">
        <v>171</v>
      </c>
      <c r="B19" s="196" t="s">
        <v>172</v>
      </c>
      <c r="C19" s="218"/>
      <c r="D19" s="218"/>
      <c r="J19" s="215"/>
      <c r="K19" s="216"/>
    </row>
    <row r="20" customFormat="false" ht="12.75" hidden="false" customHeight="true" outlineLevel="0" collapsed="false">
      <c r="A20" s="219" t="s">
        <v>173</v>
      </c>
      <c r="B20" s="219"/>
      <c r="C20" s="220" t="s">
        <v>69</v>
      </c>
      <c r="D20" s="221" t="s">
        <v>129</v>
      </c>
      <c r="E20" s="221"/>
      <c r="F20" s="221"/>
      <c r="G20" s="221"/>
      <c r="H20" s="222"/>
      <c r="I20" s="223"/>
      <c r="J20" s="215"/>
      <c r="K20" s="216"/>
    </row>
    <row r="21" customFormat="false" ht="12.75" hidden="false" customHeight="false" outlineLevel="0" collapsed="false">
      <c r="A21" s="224" t="s">
        <v>174</v>
      </c>
      <c r="B21" s="225"/>
      <c r="C21" s="226" t="s">
        <v>69</v>
      </c>
      <c r="D21" s="221" t="s">
        <v>175</v>
      </c>
      <c r="E21" s="221"/>
      <c r="F21" s="221"/>
      <c r="G21" s="221"/>
      <c r="H21" s="222"/>
      <c r="I21" s="223"/>
      <c r="J21" s="215"/>
      <c r="K21" s="216"/>
    </row>
    <row r="22" customFormat="false" ht="12.75" hidden="false" customHeight="false" outlineLevel="0" collapsed="false">
      <c r="C22" s="218"/>
      <c r="D22" s="218"/>
      <c r="J22" s="215"/>
      <c r="K22" s="216"/>
    </row>
    <row r="23" customFormat="false" ht="12.75" hidden="false" customHeight="false" outlineLevel="0" collapsed="false">
      <c r="J23" s="215"/>
      <c r="K23" s="216"/>
    </row>
    <row r="24" customFormat="false" ht="12.75" hidden="false" customHeight="false" outlineLevel="0" collapsed="false">
      <c r="A24" s="227" t="s">
        <v>176</v>
      </c>
      <c r="B24" s="195"/>
      <c r="J24" s="215"/>
      <c r="K24" s="216"/>
    </row>
    <row r="25" customFormat="false" ht="12.75" hidden="false" customHeight="false" outlineLevel="0" collapsed="false">
      <c r="A25" s="228" t="s">
        <v>177</v>
      </c>
      <c r="B25" s="195"/>
      <c r="J25" s="215"/>
      <c r="K25" s="216"/>
    </row>
    <row r="26" customFormat="false" ht="12.75" hidden="false" customHeight="false" outlineLevel="0" collapsed="false">
      <c r="J26" s="215"/>
      <c r="K26" s="216"/>
    </row>
    <row r="27" customFormat="false" ht="12.75" hidden="false" customHeight="false" outlineLevel="0" collapsed="false">
      <c r="J27" s="215"/>
      <c r="K27" s="216"/>
    </row>
    <row r="28" customFormat="false" ht="12.75" hidden="false" customHeight="false" outlineLevel="0" collapsed="false">
      <c r="J28" s="215"/>
      <c r="K28" s="216"/>
    </row>
    <row r="29" customFormat="false" ht="12.75" hidden="false" customHeight="false" outlineLevel="0" collapsed="false">
      <c r="J29" s="215"/>
      <c r="K29" s="216"/>
    </row>
    <row r="30" customFormat="false" ht="12.75" hidden="false" customHeight="false" outlineLevel="0" collapsed="false">
      <c r="A30" s="229" t="s">
        <v>129</v>
      </c>
      <c r="J30" s="215"/>
      <c r="K30" s="216"/>
    </row>
    <row r="31" customFormat="false" ht="12.75" hidden="false" customHeight="false" outlineLevel="0" collapsed="false">
      <c r="A31" s="230" t="s">
        <v>178</v>
      </c>
      <c r="E31" s="231"/>
      <c r="F31" s="231"/>
      <c r="G31" s="231"/>
      <c r="H31" s="231"/>
      <c r="J31" s="215"/>
      <c r="K31" s="216"/>
    </row>
    <row r="32" customFormat="false" ht="12.75" hidden="false" customHeight="false" outlineLevel="0" collapsed="false">
      <c r="E32" s="232"/>
      <c r="F32" s="232"/>
      <c r="G32" s="232"/>
      <c r="H32" s="232"/>
      <c r="J32" s="215"/>
      <c r="K32" s="216"/>
    </row>
    <row r="44" customFormat="false" ht="12.75" hidden="false" customHeight="false" outlineLevel="0" collapsed="false">
      <c r="B44" s="185" t="s">
        <v>179</v>
      </c>
    </row>
    <row r="45" customFormat="false" ht="12.75" hidden="false" customHeight="false" outlineLevel="0" collapsed="false">
      <c r="B45" s="185" t="s">
        <v>142</v>
      </c>
    </row>
    <row r="50" customFormat="false" ht="51" hidden="false" customHeight="true" outlineLevel="0" collapsed="false">
      <c r="B50" s="233" t="s">
        <v>180</v>
      </c>
      <c r="C50" s="186" t="s">
        <v>181</v>
      </c>
      <c r="D50" s="233"/>
      <c r="E50" s="234" t="s">
        <v>182</v>
      </c>
      <c r="F50" s="234"/>
      <c r="G50" s="234"/>
    </row>
    <row r="51" customFormat="false" ht="38.25" hidden="false" customHeight="true" outlineLevel="0" collapsed="false">
      <c r="B51" s="233" t="s">
        <v>183</v>
      </c>
      <c r="C51" s="186" t="s">
        <v>184</v>
      </c>
      <c r="E51" s="234" t="s">
        <v>185</v>
      </c>
      <c r="F51" s="234"/>
      <c r="G51" s="234"/>
    </row>
    <row r="52" customFormat="false" ht="12.75" hidden="false" customHeight="false" outlineLevel="0" collapsed="false">
      <c r="B52" s="233"/>
    </row>
    <row r="54" customFormat="false" ht="38.25" hidden="false" customHeight="false" outlineLevel="0" collapsed="false">
      <c r="B54" s="233" t="s">
        <v>186</v>
      </c>
    </row>
    <row r="55" customFormat="false" ht="51" hidden="false" customHeight="false" outlineLevel="0" collapsed="false">
      <c r="B55" s="233" t="s">
        <v>187</v>
      </c>
    </row>
    <row r="60" customFormat="false" ht="12.75" hidden="false" customHeight="false" outlineLevel="0" collapsed="false">
      <c r="H60" s="235" t="s">
        <v>188</v>
      </c>
      <c r="I60" s="236" t="s">
        <v>189</v>
      </c>
    </row>
  </sheetData>
  <mergeCells count="18">
    <mergeCell ref="D7:E7"/>
    <mergeCell ref="A13:A14"/>
    <mergeCell ref="B13:B14"/>
    <mergeCell ref="C13:E13"/>
    <mergeCell ref="F13:F14"/>
    <mergeCell ref="G13:G14"/>
    <mergeCell ref="H13:I14"/>
    <mergeCell ref="J13:J14"/>
    <mergeCell ref="C14:D14"/>
    <mergeCell ref="C15:D15"/>
    <mergeCell ref="H15:I15"/>
    <mergeCell ref="A16:J16"/>
    <mergeCell ref="A17:I17"/>
    <mergeCell ref="A20:B20"/>
    <mergeCell ref="D20:G20"/>
    <mergeCell ref="D21:G21"/>
    <mergeCell ref="E50:G50"/>
    <mergeCell ref="E51:G51"/>
  </mergeCells>
  <dataValidations count="1">
    <dataValidation allowBlank="true" errorStyle="stop" operator="between" showDropDown="false" showErrorMessage="true" showInputMessage="false" sqref="L4" type="list">
      <formula1>$B$44:$B$46</formula1>
      <formula2>0</formula2>
    </dataValidation>
  </dataValidations>
  <printOptions headings="false" gridLines="false" gridLinesSet="true" horizontalCentered="true" verticalCentered="false"/>
  <pageMargins left="0.2" right="0.2" top="0.75" bottom="0.75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33"/>
  <sheetViews>
    <sheetView showFormulas="false" showGridLines="true" showRowColHeaders="true" showZeros="true" rightToLeft="false" tabSelected="false" showOutlineSymbols="true" defaultGridColor="true" view="pageBreakPreview" topLeftCell="A10" colorId="64" zoomScale="100" zoomScaleNormal="100" zoomScalePageLayoutView="100" workbookViewId="0">
      <selection pane="topLeft" activeCell="K16" activeCellId="0" sqref="K16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84" width="4.28"/>
    <col collapsed="false" customWidth="true" hidden="false" outlineLevel="0" max="2" min="2" style="185" width="17.28"/>
    <col collapsed="false" customWidth="true" hidden="false" outlineLevel="0" max="3" min="3" style="186" width="4.99"/>
    <col collapsed="false" customWidth="true" hidden="true" outlineLevel="0" max="5" min="4" style="185" width="10.99"/>
    <col collapsed="false" customWidth="true" hidden="false" outlineLevel="0" max="6" min="6" style="187" width="17.7"/>
    <col collapsed="false" customWidth="true" hidden="false" outlineLevel="0" max="7" min="7" style="237" width="25.7"/>
    <col collapsed="false" customWidth="true" hidden="false" outlineLevel="0" max="8" min="8" style="185" width="23.14"/>
    <col collapsed="false" customWidth="true" hidden="false" outlineLevel="0" max="9" min="9" style="188" width="17.42"/>
    <col collapsed="false" customWidth="true" hidden="false" outlineLevel="0" max="10" min="10" style="185" width="13.85"/>
    <col collapsed="false" customWidth="true" hidden="false" outlineLevel="0" max="11" min="11" style="185" width="12.56"/>
    <col collapsed="false" customWidth="true" hidden="false" outlineLevel="0" max="12" min="12" style="185" width="12.85"/>
    <col collapsed="false" customWidth="true" hidden="false" outlineLevel="0" max="13" min="13" style="189" width="12.7"/>
    <col collapsed="false" customWidth="false" hidden="false" outlineLevel="0" max="257" min="14" style="185" width="9.14"/>
  </cols>
  <sheetData>
    <row r="4" customFormat="false" ht="39.75" hidden="false" customHeight="true" outlineLevel="0" collapsed="false"/>
    <row r="5" customFormat="false" ht="12.75" hidden="false" customHeight="true" outlineLevel="0" collapsed="false">
      <c r="B5" s="191" t="s">
        <v>143</v>
      </c>
      <c r="C5" s="186" t="s">
        <v>69</v>
      </c>
      <c r="F5" s="238" t="s">
        <v>190</v>
      </c>
      <c r="G5" s="238"/>
      <c r="H5" s="185" t="s">
        <v>145</v>
      </c>
      <c r="I5" s="188" t="s">
        <v>146</v>
      </c>
      <c r="J5" s="193"/>
      <c r="K5" s="184"/>
      <c r="M5" s="191"/>
      <c r="N5" s="191"/>
    </row>
    <row r="6" customFormat="false" ht="12.75" hidden="false" customHeight="false" outlineLevel="0" collapsed="false">
      <c r="B6" s="191" t="s">
        <v>147</v>
      </c>
      <c r="C6" s="186" t="s">
        <v>69</v>
      </c>
      <c r="F6" s="179" t="s">
        <v>191</v>
      </c>
      <c r="G6" s="230"/>
      <c r="H6" s="185" t="s">
        <v>148</v>
      </c>
      <c r="I6" s="188" t="s">
        <v>149</v>
      </c>
      <c r="J6" s="193"/>
      <c r="K6" s="184"/>
      <c r="L6" s="185" t="n">
        <v>1272920</v>
      </c>
      <c r="M6" s="191"/>
      <c r="N6" s="191"/>
    </row>
    <row r="7" customFormat="false" ht="12.75" hidden="false" customHeight="true" outlineLevel="0" collapsed="false">
      <c r="B7" s="191" t="s">
        <v>150</v>
      </c>
      <c r="C7" s="186" t="s">
        <v>69</v>
      </c>
      <c r="F7" s="238" t="s">
        <v>192</v>
      </c>
      <c r="G7" s="238"/>
      <c r="H7" s="185" t="s">
        <v>151</v>
      </c>
      <c r="I7" s="188" t="s">
        <v>152</v>
      </c>
      <c r="J7" s="191"/>
      <c r="K7" s="184"/>
      <c r="L7" s="185" t="n">
        <v>1276420</v>
      </c>
      <c r="M7" s="191"/>
      <c r="N7" s="191"/>
    </row>
    <row r="8" customFormat="false" ht="12.75" hidden="false" customHeight="true" outlineLevel="0" collapsed="false">
      <c r="B8" s="191" t="s">
        <v>153</v>
      </c>
      <c r="C8" s="186" t="s">
        <v>69</v>
      </c>
      <c r="F8" s="238" t="s">
        <v>154</v>
      </c>
      <c r="G8" s="238"/>
      <c r="H8" s="185" t="s">
        <v>155</v>
      </c>
      <c r="I8" s="188" t="s">
        <v>156</v>
      </c>
      <c r="J8" s="193"/>
      <c r="K8" s="184"/>
      <c r="L8" s="185" t="n">
        <f aca="false">L7-L6</f>
        <v>3500</v>
      </c>
      <c r="M8" s="191"/>
      <c r="N8" s="191"/>
    </row>
    <row r="9" customFormat="false" ht="12.75" hidden="false" customHeight="true" outlineLevel="0" collapsed="false">
      <c r="B9" s="191" t="s">
        <v>157</v>
      </c>
      <c r="C9" s="186" t="s">
        <v>69</v>
      </c>
      <c r="F9" s="238" t="s">
        <v>158</v>
      </c>
      <c r="G9" s="238"/>
    </row>
    <row r="11" customFormat="false" ht="12.75" hidden="false" customHeight="false" outlineLevel="0" collapsed="false">
      <c r="A11" s="195" t="s">
        <v>159</v>
      </c>
      <c r="B11" s="196" t="s">
        <v>160</v>
      </c>
    </row>
    <row r="12" customFormat="false" ht="25.5" hidden="false" customHeight="true" outlineLevel="0" collapsed="false">
      <c r="A12" s="197" t="s">
        <v>161</v>
      </c>
      <c r="B12" s="197" t="s">
        <v>162</v>
      </c>
      <c r="C12" s="198" t="s">
        <v>193</v>
      </c>
      <c r="D12" s="197"/>
      <c r="E12" s="197"/>
      <c r="F12" s="202" t="s">
        <v>165</v>
      </c>
      <c r="G12" s="200" t="s">
        <v>166</v>
      </c>
      <c r="H12" s="200"/>
      <c r="I12" s="239" t="s">
        <v>7</v>
      </c>
      <c r="J12" s="201"/>
    </row>
    <row r="13" customFormat="false" ht="5.25" hidden="false" customHeight="true" outlineLevel="0" collapsed="false">
      <c r="A13" s="210"/>
      <c r="B13" s="210"/>
      <c r="C13" s="210"/>
      <c r="D13" s="210"/>
      <c r="E13" s="210"/>
      <c r="F13" s="210"/>
      <c r="G13" s="210"/>
      <c r="H13" s="210"/>
      <c r="I13" s="210"/>
      <c r="J13" s="211"/>
      <c r="K13" s="191"/>
      <c r="L13" s="189"/>
    </row>
    <row r="14" customFormat="false" ht="12.75" hidden="false" customHeight="true" outlineLevel="0" collapsed="false">
      <c r="A14" s="203" t="n">
        <v>1</v>
      </c>
      <c r="B14" s="240" t="s">
        <v>194</v>
      </c>
      <c r="C14" s="241" t="n">
        <v>1</v>
      </c>
      <c r="D14" s="242"/>
      <c r="E14" s="242"/>
      <c r="F14" s="243" t="n">
        <v>44706</v>
      </c>
      <c r="G14" s="244" t="s">
        <v>195</v>
      </c>
      <c r="H14" s="244"/>
      <c r="I14" s="245" t="n">
        <v>850000</v>
      </c>
      <c r="J14" s="211"/>
      <c r="K14" s="191"/>
      <c r="L14" s="189"/>
    </row>
    <row r="15" customFormat="false" ht="12.75" hidden="false" customHeight="true" outlineLevel="0" collapsed="false">
      <c r="A15" s="203"/>
      <c r="B15" s="240"/>
      <c r="C15" s="241"/>
      <c r="D15" s="242"/>
      <c r="E15" s="242"/>
      <c r="F15" s="205"/>
      <c r="G15" s="244"/>
      <c r="H15" s="244"/>
      <c r="I15" s="245"/>
      <c r="J15" s="211"/>
      <c r="K15" s="191"/>
      <c r="L15" s="189"/>
    </row>
    <row r="16" customFormat="false" ht="12.75" hidden="false" customHeight="true" outlineLevel="0" collapsed="false">
      <c r="A16" s="203"/>
      <c r="B16" s="240"/>
      <c r="C16" s="246"/>
      <c r="D16" s="247"/>
      <c r="E16" s="247"/>
      <c r="F16" s="248"/>
      <c r="G16" s="249"/>
      <c r="H16" s="250"/>
      <c r="I16" s="251"/>
      <c r="J16" s="211"/>
      <c r="K16" s="191"/>
      <c r="L16" s="189"/>
    </row>
    <row r="17" customFormat="false" ht="5.25" hidden="false" customHeight="true" outlineLevel="0" collapsed="false">
      <c r="A17" s="210"/>
      <c r="B17" s="210"/>
      <c r="C17" s="210"/>
      <c r="D17" s="210"/>
      <c r="E17" s="210"/>
      <c r="F17" s="210"/>
      <c r="G17" s="210"/>
      <c r="H17" s="210"/>
      <c r="I17" s="210"/>
      <c r="J17" s="211"/>
      <c r="K17" s="212"/>
      <c r="L17" s="189"/>
    </row>
    <row r="18" customFormat="false" ht="17.25" hidden="false" customHeight="true" outlineLevel="0" collapsed="false">
      <c r="A18" s="200" t="s">
        <v>170</v>
      </c>
      <c r="B18" s="200"/>
      <c r="C18" s="200"/>
      <c r="D18" s="200"/>
      <c r="E18" s="200"/>
      <c r="F18" s="200"/>
      <c r="G18" s="200"/>
      <c r="H18" s="200"/>
      <c r="I18" s="213" t="n">
        <f aca="false">I14+I15</f>
        <v>850000</v>
      </c>
      <c r="J18" s="214"/>
      <c r="L18" s="189"/>
    </row>
    <row r="19" customFormat="false" ht="12.75" hidden="false" customHeight="false" outlineLevel="0" collapsed="false">
      <c r="D19" s="184"/>
      <c r="E19" s="184"/>
      <c r="I19" s="215"/>
      <c r="J19" s="216"/>
      <c r="K19" s="217"/>
    </row>
    <row r="20" customFormat="false" ht="12.75" hidden="false" customHeight="false" outlineLevel="0" collapsed="false">
      <c r="A20" s="195" t="s">
        <v>171</v>
      </c>
      <c r="B20" s="196" t="s">
        <v>172</v>
      </c>
      <c r="C20" s="218"/>
      <c r="D20" s="216"/>
      <c r="E20" s="216"/>
      <c r="I20" s="215"/>
      <c r="J20" s="216"/>
    </row>
    <row r="21" customFormat="false" ht="12.75" hidden="false" customHeight="true" outlineLevel="0" collapsed="false">
      <c r="A21" s="219" t="s">
        <v>94</v>
      </c>
      <c r="B21" s="219"/>
      <c r="C21" s="220" t="s">
        <v>69</v>
      </c>
      <c r="D21" s="219"/>
      <c r="E21" s="219"/>
      <c r="F21" s="221" t="s">
        <v>196</v>
      </c>
      <c r="G21" s="221"/>
      <c r="H21" s="223"/>
      <c r="I21" s="215"/>
      <c r="J21" s="216"/>
    </row>
    <row r="22" customFormat="false" ht="12.75" hidden="false" customHeight="true" outlineLevel="0" collapsed="false">
      <c r="A22" s="224" t="s">
        <v>197</v>
      </c>
      <c r="B22" s="225"/>
      <c r="C22" s="226" t="s">
        <v>69</v>
      </c>
      <c r="D22" s="221"/>
      <c r="E22" s="221"/>
      <c r="F22" s="221" t="s">
        <v>91</v>
      </c>
      <c r="G22" s="221"/>
      <c r="H22" s="223"/>
      <c r="I22" s="215"/>
      <c r="J22" s="216"/>
    </row>
    <row r="23" customFormat="false" ht="12.75" hidden="false" customHeight="false" outlineLevel="0" collapsed="false">
      <c r="C23" s="218"/>
      <c r="D23" s="216"/>
      <c r="E23" s="216"/>
      <c r="I23" s="215"/>
      <c r="J23" s="216"/>
    </row>
    <row r="24" customFormat="false" ht="12.75" hidden="false" customHeight="false" outlineLevel="0" collapsed="false">
      <c r="I24" s="215"/>
      <c r="J24" s="216"/>
    </row>
    <row r="25" customFormat="false" ht="12.75" hidden="false" customHeight="false" outlineLevel="0" collapsed="false">
      <c r="A25" s="227" t="s">
        <v>176</v>
      </c>
      <c r="B25" s="195"/>
      <c r="I25" s="215"/>
      <c r="J25" s="216"/>
    </row>
    <row r="26" customFormat="false" ht="12.75" hidden="false" customHeight="false" outlineLevel="0" collapsed="false">
      <c r="A26" s="228" t="s">
        <v>177</v>
      </c>
      <c r="B26" s="195"/>
      <c r="I26" s="215"/>
      <c r="J26" s="216"/>
    </row>
    <row r="27" customFormat="false" ht="12.75" hidden="false" customHeight="false" outlineLevel="0" collapsed="false">
      <c r="I27" s="215"/>
      <c r="J27" s="216"/>
    </row>
    <row r="28" customFormat="false" ht="12.75" hidden="false" customHeight="false" outlineLevel="0" collapsed="false">
      <c r="I28" s="215"/>
      <c r="J28" s="216"/>
    </row>
    <row r="29" customFormat="false" ht="12.75" hidden="false" customHeight="false" outlineLevel="0" collapsed="false">
      <c r="I29" s="215"/>
      <c r="J29" s="216"/>
    </row>
    <row r="30" customFormat="false" ht="12.75" hidden="false" customHeight="false" outlineLevel="0" collapsed="false">
      <c r="I30" s="215"/>
      <c r="J30" s="216"/>
    </row>
    <row r="31" customFormat="false" ht="12.75" hidden="false" customHeight="false" outlineLevel="0" collapsed="false">
      <c r="A31" s="229" t="s">
        <v>129</v>
      </c>
      <c r="I31" s="215"/>
      <c r="J31" s="216"/>
    </row>
    <row r="32" customFormat="false" ht="12.75" hidden="false" customHeight="false" outlineLevel="0" collapsed="false">
      <c r="A32" s="230" t="s">
        <v>178</v>
      </c>
      <c r="F32" s="231"/>
      <c r="I32" s="215"/>
      <c r="J32" s="216"/>
    </row>
    <row r="33" customFormat="false" ht="12.75" hidden="false" customHeight="false" outlineLevel="0" collapsed="false">
      <c r="F33" s="232"/>
      <c r="I33" s="215"/>
      <c r="J33" s="216"/>
    </row>
  </sheetData>
  <mergeCells count="15">
    <mergeCell ref="F5:G5"/>
    <mergeCell ref="F7:G7"/>
    <mergeCell ref="F8:G8"/>
    <mergeCell ref="F9:G9"/>
    <mergeCell ref="G12:H12"/>
    <mergeCell ref="A13:I13"/>
    <mergeCell ref="A14:A16"/>
    <mergeCell ref="B14:B16"/>
    <mergeCell ref="G14:H14"/>
    <mergeCell ref="G15:H15"/>
    <mergeCell ref="A17:I17"/>
    <mergeCell ref="A18:H18"/>
    <mergeCell ref="A21:B21"/>
    <mergeCell ref="F21:G21"/>
    <mergeCell ref="F22:G22"/>
  </mergeCells>
  <printOptions headings="false" gridLines="false" gridLinesSet="true" horizontalCentered="true" verticalCentered="false"/>
  <pageMargins left="0.25" right="0.25" top="0.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3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K30" activeCellId="0" sqref="K30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84" width="4.28"/>
    <col collapsed="false" customWidth="true" hidden="false" outlineLevel="0" max="2" min="2" style="185" width="17.28"/>
    <col collapsed="false" customWidth="true" hidden="false" outlineLevel="0" max="3" min="3" style="186" width="4.99"/>
    <col collapsed="false" customWidth="true" hidden="true" outlineLevel="0" max="5" min="4" style="185" width="10.99"/>
    <col collapsed="false" customWidth="true" hidden="false" outlineLevel="0" max="6" min="6" style="187" width="17.7"/>
    <col collapsed="false" customWidth="true" hidden="false" outlineLevel="0" max="7" min="7" style="237" width="25.7"/>
    <col collapsed="false" customWidth="true" hidden="false" outlineLevel="0" max="8" min="8" style="185" width="23.14"/>
    <col collapsed="false" customWidth="true" hidden="false" outlineLevel="0" max="9" min="9" style="188" width="17.42"/>
    <col collapsed="false" customWidth="true" hidden="false" outlineLevel="0" max="10" min="10" style="185" width="13.85"/>
    <col collapsed="false" customWidth="true" hidden="false" outlineLevel="0" max="11" min="11" style="185" width="12.56"/>
    <col collapsed="false" customWidth="true" hidden="false" outlineLevel="0" max="12" min="12" style="185" width="12.85"/>
    <col collapsed="false" customWidth="true" hidden="false" outlineLevel="0" max="13" min="13" style="189" width="12.7"/>
    <col collapsed="false" customWidth="false" hidden="false" outlineLevel="0" max="257" min="14" style="185" width="9.14"/>
  </cols>
  <sheetData>
    <row r="4" customFormat="false" ht="39.75" hidden="false" customHeight="true" outlineLevel="0" collapsed="false"/>
    <row r="5" customFormat="false" ht="12.75" hidden="false" customHeight="true" outlineLevel="0" collapsed="false">
      <c r="B5" s="191" t="s">
        <v>143</v>
      </c>
      <c r="C5" s="186" t="s">
        <v>69</v>
      </c>
      <c r="F5" s="238" t="s">
        <v>198</v>
      </c>
      <c r="G5" s="238"/>
      <c r="H5" s="185" t="s">
        <v>145</v>
      </c>
      <c r="I5" s="188" t="s">
        <v>146</v>
      </c>
      <c r="J5" s="193"/>
      <c r="K5" s="184"/>
      <c r="M5" s="191"/>
      <c r="N5" s="191"/>
    </row>
    <row r="6" customFormat="false" ht="12.75" hidden="false" customHeight="false" outlineLevel="0" collapsed="false">
      <c r="B6" s="191" t="s">
        <v>147</v>
      </c>
      <c r="C6" s="186" t="s">
        <v>69</v>
      </c>
      <c r="F6" s="179" t="s">
        <v>191</v>
      </c>
      <c r="G6" s="230"/>
      <c r="H6" s="185" t="s">
        <v>148</v>
      </c>
      <c r="I6" s="188" t="s">
        <v>149</v>
      </c>
      <c r="J6" s="193"/>
      <c r="K6" s="184"/>
      <c r="M6" s="191"/>
      <c r="N6" s="191"/>
    </row>
    <row r="7" customFormat="false" ht="12.75" hidden="false" customHeight="true" outlineLevel="0" collapsed="false">
      <c r="B7" s="191" t="s">
        <v>150</v>
      </c>
      <c r="C7" s="186" t="s">
        <v>69</v>
      </c>
      <c r="F7" s="238" t="s">
        <v>199</v>
      </c>
      <c r="G7" s="238"/>
      <c r="H7" s="185" t="s">
        <v>151</v>
      </c>
      <c r="I7" s="188" t="s">
        <v>152</v>
      </c>
      <c r="J7" s="191"/>
      <c r="K7" s="184"/>
      <c r="M7" s="191"/>
      <c r="N7" s="191"/>
    </row>
    <row r="8" customFormat="false" ht="12.75" hidden="false" customHeight="true" outlineLevel="0" collapsed="false">
      <c r="B8" s="191" t="s">
        <v>153</v>
      </c>
      <c r="C8" s="186" t="s">
        <v>69</v>
      </c>
      <c r="F8" s="238" t="s">
        <v>154</v>
      </c>
      <c r="G8" s="238"/>
      <c r="H8" s="185" t="s">
        <v>155</v>
      </c>
      <c r="I8" s="188" t="s">
        <v>156</v>
      </c>
      <c r="J8" s="193"/>
      <c r="K8" s="184"/>
      <c r="M8" s="191"/>
      <c r="N8" s="191"/>
    </row>
    <row r="9" customFormat="false" ht="12.75" hidden="false" customHeight="true" outlineLevel="0" collapsed="false">
      <c r="B9" s="191" t="s">
        <v>157</v>
      </c>
      <c r="C9" s="186" t="s">
        <v>69</v>
      </c>
      <c r="F9" s="238" t="s">
        <v>158</v>
      </c>
      <c r="G9" s="238"/>
    </row>
    <row r="11" customFormat="false" ht="12.75" hidden="false" customHeight="false" outlineLevel="0" collapsed="false">
      <c r="A11" s="195" t="s">
        <v>159</v>
      </c>
      <c r="B11" s="196" t="s">
        <v>160</v>
      </c>
    </row>
    <row r="12" customFormat="false" ht="25.5" hidden="false" customHeight="true" outlineLevel="0" collapsed="false">
      <c r="A12" s="197" t="s">
        <v>161</v>
      </c>
      <c r="B12" s="197" t="s">
        <v>162</v>
      </c>
      <c r="C12" s="198" t="s">
        <v>193</v>
      </c>
      <c r="D12" s="197"/>
      <c r="E12" s="197"/>
      <c r="F12" s="202" t="s">
        <v>165</v>
      </c>
      <c r="G12" s="200" t="s">
        <v>166</v>
      </c>
      <c r="H12" s="200"/>
      <c r="I12" s="239" t="s">
        <v>7</v>
      </c>
      <c r="J12" s="201"/>
    </row>
    <row r="13" customFormat="false" ht="5.25" hidden="false" customHeight="true" outlineLevel="0" collapsed="false">
      <c r="A13" s="210"/>
      <c r="B13" s="210"/>
      <c r="C13" s="210"/>
      <c r="D13" s="210"/>
      <c r="E13" s="210"/>
      <c r="F13" s="210"/>
      <c r="G13" s="210"/>
      <c r="H13" s="210"/>
      <c r="I13" s="210"/>
      <c r="J13" s="211"/>
      <c r="K13" s="191"/>
      <c r="L13" s="189"/>
    </row>
    <row r="14" customFormat="false" ht="12.75" hidden="false" customHeight="true" outlineLevel="0" collapsed="false">
      <c r="A14" s="203" t="n">
        <v>1</v>
      </c>
      <c r="B14" s="240" t="s">
        <v>200</v>
      </c>
      <c r="C14" s="241" t="n">
        <v>1</v>
      </c>
      <c r="D14" s="242"/>
      <c r="E14" s="242"/>
      <c r="F14" s="252" t="n">
        <v>44714</v>
      </c>
      <c r="G14" s="244" t="s">
        <v>201</v>
      </c>
      <c r="H14" s="244"/>
      <c r="I14" s="253" t="n">
        <v>915840</v>
      </c>
      <c r="J14" s="211"/>
      <c r="K14" s="191"/>
      <c r="L14" s="189"/>
    </row>
    <row r="15" customFormat="false" ht="12.75" hidden="false" customHeight="true" outlineLevel="0" collapsed="false">
      <c r="A15" s="203"/>
      <c r="B15" s="240"/>
      <c r="C15" s="241"/>
      <c r="D15" s="254"/>
      <c r="E15" s="254"/>
      <c r="F15" s="252"/>
      <c r="G15" s="244"/>
      <c r="H15" s="244"/>
      <c r="I15" s="253"/>
      <c r="J15" s="211"/>
      <c r="K15" s="191"/>
      <c r="L15" s="189"/>
    </row>
    <row r="16" customFormat="false" ht="12.75" hidden="false" customHeight="true" outlineLevel="0" collapsed="false">
      <c r="A16" s="203"/>
      <c r="B16" s="240"/>
      <c r="C16" s="241"/>
      <c r="D16" s="242"/>
      <c r="E16" s="242"/>
      <c r="F16" s="252"/>
      <c r="G16" s="244"/>
      <c r="H16" s="244"/>
      <c r="I16" s="253"/>
      <c r="J16" s="211"/>
      <c r="K16" s="191"/>
      <c r="L16" s="189"/>
    </row>
    <row r="17" customFormat="false" ht="5.25" hidden="false" customHeight="true" outlineLevel="0" collapsed="false">
      <c r="A17" s="210"/>
      <c r="B17" s="210"/>
      <c r="C17" s="210"/>
      <c r="D17" s="210"/>
      <c r="E17" s="210"/>
      <c r="F17" s="210"/>
      <c r="G17" s="210"/>
      <c r="H17" s="210"/>
      <c r="I17" s="210"/>
      <c r="J17" s="211"/>
      <c r="K17" s="212"/>
      <c r="L17" s="189"/>
    </row>
    <row r="18" customFormat="false" ht="17.25" hidden="false" customHeight="true" outlineLevel="0" collapsed="false">
      <c r="A18" s="200" t="s">
        <v>170</v>
      </c>
      <c r="B18" s="200"/>
      <c r="C18" s="200"/>
      <c r="D18" s="200"/>
      <c r="E18" s="200"/>
      <c r="F18" s="200"/>
      <c r="G18" s="200"/>
      <c r="H18" s="200"/>
      <c r="I18" s="213" t="n">
        <f aca="false">I14</f>
        <v>915840</v>
      </c>
      <c r="J18" s="214"/>
      <c r="L18" s="189"/>
    </row>
    <row r="19" customFormat="false" ht="12.75" hidden="false" customHeight="false" outlineLevel="0" collapsed="false">
      <c r="D19" s="184"/>
      <c r="E19" s="184"/>
      <c r="I19" s="215"/>
      <c r="J19" s="216"/>
      <c r="K19" s="217"/>
    </row>
    <row r="20" customFormat="false" ht="12.75" hidden="false" customHeight="false" outlineLevel="0" collapsed="false">
      <c r="A20" s="195" t="s">
        <v>171</v>
      </c>
      <c r="B20" s="196" t="s">
        <v>172</v>
      </c>
      <c r="C20" s="218"/>
      <c r="D20" s="216"/>
      <c r="E20" s="216"/>
      <c r="I20" s="215"/>
      <c r="J20" s="216"/>
    </row>
    <row r="21" customFormat="false" ht="12.75" hidden="false" customHeight="true" outlineLevel="0" collapsed="false">
      <c r="A21" s="219" t="s">
        <v>94</v>
      </c>
      <c r="B21" s="219"/>
      <c r="C21" s="220" t="s">
        <v>69</v>
      </c>
      <c r="D21" s="219"/>
      <c r="E21" s="219"/>
      <c r="F21" s="221" t="s">
        <v>196</v>
      </c>
      <c r="G21" s="221"/>
      <c r="H21" s="223"/>
      <c r="I21" s="215"/>
      <c r="J21" s="216"/>
    </row>
    <row r="22" customFormat="false" ht="12.75" hidden="false" customHeight="true" outlineLevel="0" collapsed="false">
      <c r="A22" s="224" t="s">
        <v>197</v>
      </c>
      <c r="B22" s="225"/>
      <c r="C22" s="226" t="s">
        <v>69</v>
      </c>
      <c r="D22" s="221"/>
      <c r="E22" s="221"/>
      <c r="F22" s="221" t="s">
        <v>91</v>
      </c>
      <c r="G22" s="221"/>
      <c r="H22" s="223"/>
      <c r="I22" s="215"/>
      <c r="J22" s="216"/>
    </row>
    <row r="23" customFormat="false" ht="12.75" hidden="false" customHeight="false" outlineLevel="0" collapsed="false">
      <c r="C23" s="218"/>
      <c r="D23" s="216"/>
      <c r="E23" s="216"/>
      <c r="I23" s="215"/>
      <c r="J23" s="216"/>
    </row>
    <row r="24" customFormat="false" ht="12.75" hidden="false" customHeight="false" outlineLevel="0" collapsed="false">
      <c r="I24" s="215"/>
      <c r="J24" s="216"/>
    </row>
    <row r="25" customFormat="false" ht="12.75" hidden="false" customHeight="false" outlineLevel="0" collapsed="false">
      <c r="A25" s="227" t="s">
        <v>176</v>
      </c>
      <c r="B25" s="195"/>
      <c r="I25" s="215"/>
      <c r="J25" s="216"/>
    </row>
    <row r="26" customFormat="false" ht="12.75" hidden="false" customHeight="false" outlineLevel="0" collapsed="false">
      <c r="A26" s="228" t="s">
        <v>177</v>
      </c>
      <c r="B26" s="195"/>
      <c r="I26" s="215"/>
      <c r="J26" s="216"/>
    </row>
    <row r="27" customFormat="false" ht="12.75" hidden="false" customHeight="false" outlineLevel="0" collapsed="false">
      <c r="I27" s="215"/>
      <c r="J27" s="216"/>
    </row>
    <row r="28" customFormat="false" ht="12.75" hidden="false" customHeight="false" outlineLevel="0" collapsed="false">
      <c r="I28" s="215"/>
      <c r="J28" s="216"/>
    </row>
    <row r="29" customFormat="false" ht="12.75" hidden="false" customHeight="false" outlineLevel="0" collapsed="false">
      <c r="I29" s="215"/>
      <c r="J29" s="216"/>
    </row>
    <row r="30" customFormat="false" ht="12.75" hidden="false" customHeight="false" outlineLevel="0" collapsed="false">
      <c r="I30" s="215"/>
      <c r="J30" s="216"/>
    </row>
    <row r="31" customFormat="false" ht="12.75" hidden="false" customHeight="false" outlineLevel="0" collapsed="false">
      <c r="A31" s="229" t="s">
        <v>129</v>
      </c>
      <c r="I31" s="215"/>
      <c r="J31" s="216"/>
    </row>
    <row r="32" customFormat="false" ht="12.75" hidden="false" customHeight="false" outlineLevel="0" collapsed="false">
      <c r="A32" s="230" t="s">
        <v>178</v>
      </c>
      <c r="F32" s="231"/>
      <c r="I32" s="215"/>
      <c r="J32" s="216"/>
    </row>
    <row r="33" customFormat="false" ht="12.75" hidden="false" customHeight="false" outlineLevel="0" collapsed="false">
      <c r="F33" s="232"/>
      <c r="I33" s="215"/>
      <c r="J33" s="216"/>
    </row>
  </sheetData>
  <mergeCells count="17">
    <mergeCell ref="F5:G5"/>
    <mergeCell ref="F7:G7"/>
    <mergeCell ref="F8:G8"/>
    <mergeCell ref="F9:G9"/>
    <mergeCell ref="G12:H12"/>
    <mergeCell ref="A13:I13"/>
    <mergeCell ref="A14:A16"/>
    <mergeCell ref="B14:B16"/>
    <mergeCell ref="C14:C16"/>
    <mergeCell ref="F14:F16"/>
    <mergeCell ref="G14:H16"/>
    <mergeCell ref="I14:I16"/>
    <mergeCell ref="A17:I17"/>
    <mergeCell ref="A18:H18"/>
    <mergeCell ref="A21:B21"/>
    <mergeCell ref="F21:G21"/>
    <mergeCell ref="F22:G22"/>
  </mergeCells>
  <printOptions headings="false" gridLines="false" gridLinesSet="true" horizontalCentered="true" verticalCentered="false"/>
  <pageMargins left="0.2" right="0.2" top="0.75" bottom="0.75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104"/>
  <sheetViews>
    <sheetView showFormulas="false" showGridLines="true" showRowColHeaders="true" showZeros="true" rightToLeft="false" tabSelected="false" showOutlineSymbols="true" defaultGridColor="true" view="pageBreakPreview" topLeftCell="A39" colorId="64" zoomScale="100" zoomScaleNormal="100" zoomScalePageLayoutView="100" workbookViewId="0">
      <selection pane="topLeft" activeCell="J78" activeCellId="0" sqref="J78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84" width="4.28"/>
    <col collapsed="false" customWidth="true" hidden="false" outlineLevel="0" max="2" min="2" style="185" width="23.28"/>
    <col collapsed="false" customWidth="true" hidden="false" outlineLevel="0" max="3" min="3" style="186" width="4.99"/>
    <col collapsed="false" customWidth="true" hidden="true" outlineLevel="0" max="5" min="4" style="185" width="10.99"/>
    <col collapsed="false" customWidth="true" hidden="false" outlineLevel="0" max="6" min="6" style="187" width="17.7"/>
    <col collapsed="false" customWidth="true" hidden="false" outlineLevel="0" max="7" min="7" style="237" width="25.7"/>
    <col collapsed="false" customWidth="true" hidden="false" outlineLevel="0" max="8" min="8" style="185" width="18.99"/>
    <col collapsed="false" customWidth="true" hidden="false" outlineLevel="0" max="9" min="9" style="188" width="17.42"/>
    <col collapsed="false" customWidth="true" hidden="false" outlineLevel="0" max="10" min="10" style="185" width="13.85"/>
    <col collapsed="false" customWidth="true" hidden="false" outlineLevel="0" max="11" min="11" style="185" width="12.56"/>
    <col collapsed="false" customWidth="true" hidden="false" outlineLevel="0" max="12" min="12" style="185" width="12.85"/>
    <col collapsed="false" customWidth="true" hidden="false" outlineLevel="0" max="13" min="13" style="189" width="12.7"/>
    <col collapsed="false" customWidth="false" hidden="false" outlineLevel="0" max="257" min="14" style="185" width="9.14"/>
  </cols>
  <sheetData>
    <row r="4" customFormat="false" ht="9" hidden="false" customHeight="true" outlineLevel="0" collapsed="false"/>
    <row r="5" customFormat="false" ht="12.75" hidden="false" customHeight="false" outlineLevel="0" collapsed="false">
      <c r="A5" s="255" t="s">
        <v>143</v>
      </c>
      <c r="B5" s="255"/>
      <c r="C5" s="256" t="s">
        <v>202</v>
      </c>
      <c r="D5" s="256"/>
      <c r="H5" s="185" t="s">
        <v>145</v>
      </c>
      <c r="I5" s="188" t="s">
        <v>146</v>
      </c>
      <c r="J5" s="193"/>
      <c r="K5" s="184"/>
      <c r="M5" s="191"/>
      <c r="N5" s="191"/>
    </row>
    <row r="6" customFormat="false" ht="12.75" hidden="false" customHeight="false" outlineLevel="0" collapsed="false">
      <c r="A6" s="255" t="s">
        <v>147</v>
      </c>
      <c r="B6" s="255"/>
      <c r="C6" s="194" t="s">
        <v>203</v>
      </c>
      <c r="D6" s="194"/>
      <c r="E6" s="194"/>
      <c r="F6" s="194"/>
      <c r="G6" s="194"/>
      <c r="H6" s="185" t="s">
        <v>148</v>
      </c>
      <c r="I6" s="188" t="s">
        <v>149</v>
      </c>
      <c r="J6" s="193"/>
      <c r="K6" s="184"/>
      <c r="M6" s="191"/>
      <c r="N6" s="191"/>
    </row>
    <row r="7" customFormat="false" ht="12.75" hidden="false" customHeight="false" outlineLevel="0" collapsed="false">
      <c r="A7" s="255" t="s">
        <v>150</v>
      </c>
      <c r="B7" s="255"/>
      <c r="C7" s="256" t="s">
        <v>204</v>
      </c>
      <c r="D7" s="256"/>
      <c r="H7" s="185" t="s">
        <v>151</v>
      </c>
      <c r="I7" s="188" t="s">
        <v>152</v>
      </c>
      <c r="J7" s="191"/>
      <c r="K7" s="184"/>
      <c r="M7" s="191"/>
      <c r="N7" s="191"/>
    </row>
    <row r="8" customFormat="false" ht="12.75" hidden="false" customHeight="false" outlineLevel="0" collapsed="false">
      <c r="A8" s="255" t="s">
        <v>153</v>
      </c>
      <c r="B8" s="255"/>
      <c r="C8" s="256" t="s">
        <v>205</v>
      </c>
      <c r="D8" s="256"/>
      <c r="H8" s="185" t="s">
        <v>155</v>
      </c>
      <c r="I8" s="188" t="s">
        <v>156</v>
      </c>
      <c r="J8" s="193"/>
      <c r="K8" s="184"/>
      <c r="M8" s="191"/>
      <c r="N8" s="191"/>
    </row>
    <row r="9" customFormat="false" ht="12.75" hidden="false" customHeight="false" outlineLevel="0" collapsed="false">
      <c r="A9" s="255" t="s">
        <v>157</v>
      </c>
      <c r="B9" s="255"/>
      <c r="C9" s="256" t="s">
        <v>206</v>
      </c>
      <c r="D9" s="256"/>
    </row>
    <row r="10" customFormat="false" ht="6" hidden="false" customHeight="true" outlineLevel="0" collapsed="false"/>
    <row r="11" customFormat="false" ht="12.75" hidden="false" customHeight="false" outlineLevel="0" collapsed="false">
      <c r="A11" s="195" t="s">
        <v>159</v>
      </c>
      <c r="B11" s="196" t="s">
        <v>160</v>
      </c>
    </row>
    <row r="12" customFormat="false" ht="25.5" hidden="false" customHeight="true" outlineLevel="0" collapsed="false">
      <c r="A12" s="197" t="s">
        <v>161</v>
      </c>
      <c r="B12" s="197" t="s">
        <v>162</v>
      </c>
      <c r="C12" s="198" t="s">
        <v>193</v>
      </c>
      <c r="D12" s="197"/>
      <c r="E12" s="197"/>
      <c r="F12" s="202" t="s">
        <v>165</v>
      </c>
      <c r="G12" s="200" t="s">
        <v>166</v>
      </c>
      <c r="H12" s="200"/>
      <c r="I12" s="239" t="s">
        <v>7</v>
      </c>
      <c r="J12" s="201"/>
    </row>
    <row r="13" customFormat="false" ht="12.75" hidden="false" customHeight="false" outlineLevel="0" collapsed="false">
      <c r="A13" s="203" t="n">
        <v>1</v>
      </c>
      <c r="B13" s="203" t="s">
        <v>207</v>
      </c>
      <c r="C13" s="257" t="n">
        <v>1</v>
      </c>
      <c r="D13" s="258"/>
      <c r="E13" s="258"/>
      <c r="F13" s="259" t="n">
        <v>44692</v>
      </c>
      <c r="G13" s="260" t="s">
        <v>208</v>
      </c>
      <c r="H13" s="261"/>
      <c r="I13" s="262" t="n">
        <v>40000</v>
      </c>
      <c r="J13" s="189"/>
      <c r="K13" s="209"/>
    </row>
    <row r="14" customFormat="false" ht="12.75" hidden="false" customHeight="false" outlineLevel="0" collapsed="false">
      <c r="A14" s="203"/>
      <c r="B14" s="263" t="s">
        <v>209</v>
      </c>
      <c r="C14" s="257" t="n">
        <v>2</v>
      </c>
      <c r="D14" s="258"/>
      <c r="E14" s="258"/>
      <c r="F14" s="259" t="n">
        <v>44697</v>
      </c>
      <c r="G14" s="260" t="s">
        <v>210</v>
      </c>
      <c r="H14" s="261"/>
      <c r="I14" s="262" t="n">
        <v>96000</v>
      </c>
      <c r="J14" s="189"/>
      <c r="K14" s="209"/>
    </row>
    <row r="15" customFormat="false" ht="12.75" hidden="false" customHeight="true" outlineLevel="0" collapsed="false">
      <c r="A15" s="203"/>
      <c r="B15" s="263" t="s">
        <v>211</v>
      </c>
      <c r="C15" s="257" t="n">
        <v>3</v>
      </c>
      <c r="D15" s="242"/>
      <c r="E15" s="242"/>
      <c r="F15" s="259" t="n">
        <v>44698</v>
      </c>
      <c r="G15" s="260" t="s">
        <v>212</v>
      </c>
      <c r="H15" s="261"/>
      <c r="I15" s="262" t="n">
        <v>78300</v>
      </c>
      <c r="J15" s="189"/>
      <c r="K15" s="209"/>
    </row>
    <row r="16" customFormat="false" ht="12.75" hidden="false" customHeight="true" outlineLevel="0" collapsed="false">
      <c r="A16" s="203"/>
      <c r="B16" s="264"/>
      <c r="C16" s="257" t="n">
        <v>4</v>
      </c>
      <c r="D16" s="242"/>
      <c r="E16" s="242"/>
      <c r="F16" s="259" t="n">
        <v>44699</v>
      </c>
      <c r="G16" s="260" t="s">
        <v>213</v>
      </c>
      <c r="H16" s="261"/>
      <c r="I16" s="262" t="n">
        <v>70000</v>
      </c>
      <c r="J16" s="189"/>
      <c r="K16" s="209"/>
    </row>
    <row r="17" customFormat="false" ht="12.75" hidden="false" customHeight="false" outlineLevel="0" collapsed="false">
      <c r="A17" s="203"/>
      <c r="B17" s="264"/>
      <c r="C17" s="257" t="n">
        <v>5</v>
      </c>
      <c r="D17" s="242"/>
      <c r="E17" s="242"/>
      <c r="F17" s="259" t="n">
        <v>44699</v>
      </c>
      <c r="G17" s="265" t="s">
        <v>214</v>
      </c>
      <c r="H17" s="261"/>
      <c r="I17" s="262" t="n">
        <v>10000</v>
      </c>
      <c r="J17" s="189"/>
      <c r="K17" s="209"/>
    </row>
    <row r="18" customFormat="false" ht="12.75" hidden="false" customHeight="false" outlineLevel="0" collapsed="false">
      <c r="A18" s="203"/>
      <c r="B18" s="264"/>
      <c r="C18" s="257" t="n">
        <v>6</v>
      </c>
      <c r="D18" s="242"/>
      <c r="E18" s="242"/>
      <c r="F18" s="259" t="n">
        <v>44702</v>
      </c>
      <c r="G18" s="265" t="s">
        <v>215</v>
      </c>
      <c r="H18" s="261"/>
      <c r="I18" s="262" t="n">
        <v>150000</v>
      </c>
      <c r="J18" s="189"/>
      <c r="K18" s="209"/>
    </row>
    <row r="19" customFormat="false" ht="12.75" hidden="false" customHeight="false" outlineLevel="0" collapsed="false">
      <c r="A19" s="203"/>
      <c r="B19" s="264"/>
      <c r="C19" s="257" t="n">
        <v>7</v>
      </c>
      <c r="D19" s="242"/>
      <c r="E19" s="242"/>
      <c r="F19" s="259" t="n">
        <v>44704</v>
      </c>
      <c r="G19" s="265" t="s">
        <v>216</v>
      </c>
      <c r="H19" s="261"/>
      <c r="I19" s="262" t="n">
        <v>14000</v>
      </c>
      <c r="J19" s="189"/>
      <c r="K19" s="209"/>
    </row>
    <row r="20" customFormat="false" ht="12.75" hidden="false" customHeight="false" outlineLevel="0" collapsed="false">
      <c r="A20" s="203"/>
      <c r="B20" s="264"/>
      <c r="C20" s="257" t="n">
        <v>8</v>
      </c>
      <c r="D20" s="242"/>
      <c r="E20" s="242"/>
      <c r="F20" s="259" t="n">
        <v>44709</v>
      </c>
      <c r="G20" s="265" t="s">
        <v>217</v>
      </c>
      <c r="H20" s="261"/>
      <c r="I20" s="262" t="n">
        <v>150000</v>
      </c>
      <c r="J20" s="189"/>
      <c r="K20" s="209"/>
    </row>
    <row r="21" customFormat="false" ht="12.75" hidden="false" customHeight="false" outlineLevel="0" collapsed="false">
      <c r="A21" s="203"/>
      <c r="B21" s="264"/>
      <c r="C21" s="257" t="n">
        <v>9</v>
      </c>
      <c r="D21" s="242"/>
      <c r="E21" s="242"/>
      <c r="F21" s="259" t="n">
        <v>44710</v>
      </c>
      <c r="G21" s="260" t="s">
        <v>218</v>
      </c>
      <c r="H21" s="261"/>
      <c r="I21" s="262" t="n">
        <v>50000</v>
      </c>
      <c r="J21" s="189"/>
      <c r="K21" s="209"/>
    </row>
    <row r="22" customFormat="false" ht="12.75" hidden="false" customHeight="true" outlineLevel="0" collapsed="false">
      <c r="A22" s="203"/>
      <c r="B22" s="264"/>
      <c r="C22" s="257" t="n">
        <v>10</v>
      </c>
      <c r="D22" s="242"/>
      <c r="E22" s="242"/>
      <c r="F22" s="259" t="n">
        <v>44711</v>
      </c>
      <c r="G22" s="260" t="s">
        <v>219</v>
      </c>
      <c r="H22" s="261"/>
      <c r="I22" s="262" t="n">
        <v>55000</v>
      </c>
      <c r="J22" s="189"/>
      <c r="K22" s="209"/>
    </row>
    <row r="23" customFormat="false" ht="12.75" hidden="false" customHeight="true" outlineLevel="0" collapsed="false">
      <c r="A23" s="203"/>
      <c r="B23" s="264"/>
      <c r="C23" s="257" t="n">
        <v>11</v>
      </c>
      <c r="D23" s="242"/>
      <c r="E23" s="242"/>
      <c r="F23" s="259" t="n">
        <v>44712</v>
      </c>
      <c r="G23" s="260" t="s">
        <v>220</v>
      </c>
      <c r="H23" s="261"/>
      <c r="I23" s="262" t="n">
        <v>180000</v>
      </c>
      <c r="J23" s="189"/>
      <c r="K23" s="209"/>
    </row>
    <row r="24" customFormat="false" ht="12.75" hidden="true" customHeight="true" outlineLevel="0" collapsed="false">
      <c r="A24" s="203"/>
      <c r="B24" s="264"/>
      <c r="C24" s="257"/>
      <c r="D24" s="242"/>
      <c r="E24" s="242"/>
      <c r="F24" s="266"/>
      <c r="G24" s="265"/>
      <c r="H24" s="261"/>
      <c r="I24" s="267"/>
      <c r="J24" s="189"/>
      <c r="K24" s="209"/>
    </row>
    <row r="25" customFormat="false" ht="12.75" hidden="false" customHeight="true" outlineLevel="0" collapsed="false">
      <c r="A25" s="203"/>
      <c r="B25" s="264"/>
      <c r="C25" s="257"/>
      <c r="D25" s="242"/>
      <c r="E25" s="242"/>
      <c r="F25" s="266"/>
      <c r="G25" s="265"/>
      <c r="H25" s="261"/>
      <c r="I25" s="267"/>
      <c r="J25" s="189"/>
      <c r="K25" s="209"/>
    </row>
    <row r="26" customFormat="false" ht="12.75" hidden="true" customHeight="false" outlineLevel="0" collapsed="false">
      <c r="A26" s="203"/>
      <c r="B26" s="264"/>
      <c r="C26" s="257"/>
      <c r="D26" s="242"/>
      <c r="E26" s="242"/>
      <c r="F26" s="266"/>
      <c r="G26" s="265"/>
      <c r="H26" s="261"/>
      <c r="I26" s="267"/>
      <c r="J26" s="189"/>
      <c r="K26" s="209"/>
    </row>
    <row r="27" customFormat="false" ht="12.75" hidden="true" customHeight="false" outlineLevel="0" collapsed="false">
      <c r="A27" s="203"/>
      <c r="B27" s="264"/>
      <c r="C27" s="257"/>
      <c r="D27" s="242"/>
      <c r="E27" s="242"/>
      <c r="F27" s="266"/>
      <c r="G27" s="265"/>
      <c r="H27" s="261"/>
      <c r="I27" s="267"/>
      <c r="J27" s="189"/>
      <c r="K27" s="209"/>
    </row>
    <row r="28" customFormat="false" ht="12.75" hidden="true" customHeight="false" outlineLevel="0" collapsed="false">
      <c r="A28" s="203"/>
      <c r="B28" s="264"/>
      <c r="C28" s="257"/>
      <c r="D28" s="242"/>
      <c r="E28" s="242"/>
      <c r="F28" s="266"/>
      <c r="G28" s="265"/>
      <c r="H28" s="261"/>
      <c r="I28" s="267"/>
      <c r="J28" s="189"/>
      <c r="K28" s="209"/>
    </row>
    <row r="29" customFormat="false" ht="12.75" hidden="true" customHeight="false" outlineLevel="0" collapsed="false">
      <c r="A29" s="203"/>
      <c r="B29" s="264"/>
      <c r="C29" s="257"/>
      <c r="D29" s="191"/>
      <c r="E29" s="191"/>
      <c r="F29" s="268"/>
      <c r="G29" s="269"/>
      <c r="H29" s="261"/>
      <c r="I29" s="267"/>
      <c r="J29" s="189"/>
      <c r="K29" s="209"/>
    </row>
    <row r="30" customFormat="false" ht="12.75" hidden="true" customHeight="false" outlineLevel="0" collapsed="false">
      <c r="A30" s="203"/>
      <c r="B30" s="264"/>
      <c r="C30" s="257"/>
      <c r="D30" s="270"/>
      <c r="E30" s="270"/>
      <c r="F30" s="268"/>
      <c r="G30" s="269"/>
      <c r="H30" s="261"/>
      <c r="I30" s="267"/>
      <c r="J30" s="189"/>
      <c r="K30" s="209"/>
    </row>
    <row r="31" customFormat="false" ht="12.75" hidden="true" customHeight="false" outlineLevel="0" collapsed="false">
      <c r="A31" s="203"/>
      <c r="B31" s="264"/>
      <c r="C31" s="257"/>
      <c r="D31" s="270"/>
      <c r="E31" s="270"/>
      <c r="F31" s="266"/>
      <c r="G31" s="265"/>
      <c r="H31" s="261"/>
      <c r="I31" s="267"/>
      <c r="J31" s="189"/>
      <c r="K31" s="209"/>
    </row>
    <row r="32" customFormat="false" ht="12.75" hidden="true" customHeight="false" outlineLevel="0" collapsed="false">
      <c r="A32" s="203"/>
      <c r="B32" s="264"/>
      <c r="C32" s="257"/>
      <c r="D32" s="270"/>
      <c r="E32" s="270"/>
      <c r="F32" s="268"/>
      <c r="G32" s="269"/>
      <c r="H32" s="261"/>
      <c r="I32" s="271"/>
      <c r="J32" s="189"/>
      <c r="K32" s="209"/>
    </row>
    <row r="33" customFormat="false" ht="12.75" hidden="true" customHeight="false" outlineLevel="0" collapsed="false">
      <c r="A33" s="203"/>
      <c r="B33" s="264"/>
      <c r="C33" s="257"/>
      <c r="D33" s="270"/>
      <c r="E33" s="270"/>
      <c r="F33" s="268"/>
      <c r="G33" s="269"/>
      <c r="H33" s="261"/>
      <c r="I33" s="271"/>
      <c r="J33" s="189"/>
      <c r="K33" s="209"/>
    </row>
    <row r="34" customFormat="false" ht="12.75" hidden="true" customHeight="true" outlineLevel="0" collapsed="false">
      <c r="A34" s="203"/>
      <c r="B34" s="264"/>
      <c r="C34" s="257"/>
      <c r="D34" s="270"/>
      <c r="E34" s="270"/>
      <c r="F34" s="272"/>
      <c r="G34" s="273"/>
      <c r="H34" s="273"/>
      <c r="I34" s="274"/>
      <c r="J34" s="189"/>
      <c r="K34" s="209"/>
    </row>
    <row r="35" customFormat="false" ht="12.75" hidden="true" customHeight="true" outlineLevel="0" collapsed="false">
      <c r="A35" s="203"/>
      <c r="B35" s="275"/>
      <c r="C35" s="257"/>
      <c r="D35" s="270"/>
      <c r="E35" s="270"/>
      <c r="F35" s="272"/>
      <c r="G35" s="273"/>
      <c r="H35" s="273"/>
      <c r="I35" s="274"/>
      <c r="J35" s="189"/>
      <c r="K35" s="209"/>
    </row>
    <row r="36" customFormat="false" ht="12.75" hidden="false" customHeight="true" outlineLevel="0" collapsed="false">
      <c r="A36" s="197" t="s">
        <v>221</v>
      </c>
      <c r="B36" s="197"/>
      <c r="C36" s="197"/>
      <c r="D36" s="197"/>
      <c r="E36" s="197"/>
      <c r="F36" s="197"/>
      <c r="G36" s="197"/>
      <c r="H36" s="197"/>
      <c r="I36" s="276" t="n">
        <f aca="false">SUM(I13:I35)</f>
        <v>893300</v>
      </c>
      <c r="J36" s="189"/>
      <c r="K36" s="209"/>
    </row>
    <row r="37" customFormat="false" ht="5.25" hidden="false" customHeight="true" outlineLevel="0" collapsed="false">
      <c r="A37" s="210"/>
      <c r="B37" s="210"/>
      <c r="C37" s="210"/>
      <c r="D37" s="210"/>
      <c r="E37" s="210"/>
      <c r="F37" s="210"/>
      <c r="G37" s="210"/>
      <c r="H37" s="210"/>
      <c r="I37" s="210"/>
      <c r="J37" s="189"/>
      <c r="K37" s="209"/>
    </row>
    <row r="38" customFormat="false" ht="12.75" hidden="false" customHeight="false" outlineLevel="0" collapsed="false">
      <c r="A38" s="277" t="n">
        <v>2</v>
      </c>
      <c r="B38" s="203" t="s">
        <v>222</v>
      </c>
      <c r="C38" s="242" t="n">
        <v>12</v>
      </c>
      <c r="D38" s="278"/>
      <c r="E38" s="279"/>
      <c r="F38" s="259" t="n">
        <v>44691</v>
      </c>
      <c r="G38" s="260" t="s">
        <v>223</v>
      </c>
      <c r="H38" s="261"/>
      <c r="I38" s="262" t="n">
        <v>22500</v>
      </c>
      <c r="J38" s="189"/>
      <c r="K38" s="209"/>
    </row>
    <row r="39" customFormat="false" ht="12.75" hidden="false" customHeight="true" outlineLevel="0" collapsed="false">
      <c r="A39" s="277"/>
      <c r="B39" s="263" t="s">
        <v>224</v>
      </c>
      <c r="C39" s="242" t="n">
        <v>13</v>
      </c>
      <c r="D39" s="280"/>
      <c r="E39" s="281"/>
      <c r="F39" s="259" t="n">
        <v>44698</v>
      </c>
      <c r="G39" s="260" t="s">
        <v>225</v>
      </c>
      <c r="H39" s="261"/>
      <c r="I39" s="262" t="n">
        <v>190000</v>
      </c>
      <c r="J39" s="189"/>
      <c r="K39" s="209"/>
    </row>
    <row r="40" customFormat="false" ht="12.75" hidden="false" customHeight="true" outlineLevel="0" collapsed="false">
      <c r="A40" s="277"/>
      <c r="B40" s="263" t="s">
        <v>226</v>
      </c>
      <c r="C40" s="242" t="n">
        <v>14</v>
      </c>
      <c r="D40" s="280"/>
      <c r="E40" s="281"/>
      <c r="F40" s="259" t="n">
        <v>44700</v>
      </c>
      <c r="G40" s="260" t="s">
        <v>227</v>
      </c>
      <c r="H40" s="261"/>
      <c r="I40" s="262" t="n">
        <v>205000</v>
      </c>
      <c r="J40" s="189"/>
      <c r="K40" s="209"/>
    </row>
    <row r="41" customFormat="false" ht="12.75" hidden="false" customHeight="true" outlineLevel="0" collapsed="false">
      <c r="A41" s="277"/>
      <c r="B41" s="264"/>
      <c r="C41" s="242" t="n">
        <v>15</v>
      </c>
      <c r="D41" s="280"/>
      <c r="E41" s="281"/>
      <c r="F41" s="259" t="n">
        <v>44702</v>
      </c>
      <c r="G41" s="260" t="s">
        <v>228</v>
      </c>
      <c r="H41" s="261"/>
      <c r="I41" s="262" t="n">
        <v>123000</v>
      </c>
      <c r="J41" s="189"/>
    </row>
    <row r="42" customFormat="false" ht="12.75" hidden="false" customHeight="true" outlineLevel="0" collapsed="false">
      <c r="A42" s="277"/>
      <c r="B42" s="264"/>
      <c r="C42" s="242" t="n">
        <v>16</v>
      </c>
      <c r="D42" s="282"/>
      <c r="E42" s="282"/>
      <c r="F42" s="259" t="n">
        <v>44702</v>
      </c>
      <c r="G42" s="265" t="s">
        <v>229</v>
      </c>
      <c r="H42" s="283"/>
      <c r="I42" s="262" t="n">
        <v>165000</v>
      </c>
      <c r="J42" s="189"/>
    </row>
    <row r="43" customFormat="false" ht="12.75" hidden="true" customHeight="true" outlineLevel="0" collapsed="false">
      <c r="A43" s="277"/>
      <c r="B43" s="263"/>
      <c r="C43" s="242"/>
      <c r="D43" s="282"/>
      <c r="E43" s="282"/>
      <c r="F43" s="266"/>
      <c r="G43" s="265"/>
      <c r="H43" s="283"/>
      <c r="I43" s="262"/>
      <c r="J43" s="189"/>
    </row>
    <row r="44" customFormat="false" ht="12.75" hidden="true" customHeight="true" outlineLevel="0" collapsed="false">
      <c r="A44" s="277"/>
      <c r="B44" s="264"/>
      <c r="C44" s="242"/>
      <c r="D44" s="282"/>
      <c r="E44" s="282"/>
      <c r="F44" s="266"/>
      <c r="G44" s="265"/>
      <c r="H44" s="283"/>
      <c r="I44" s="262"/>
      <c r="J44" s="189"/>
      <c r="K44" s="284"/>
      <c r="L44" s="285"/>
    </row>
    <row r="45" customFormat="false" ht="12.75" hidden="true" customHeight="true" outlineLevel="0" collapsed="false">
      <c r="A45" s="277"/>
      <c r="B45" s="264"/>
      <c r="C45" s="242"/>
      <c r="D45" s="282"/>
      <c r="E45" s="282"/>
      <c r="F45" s="266"/>
      <c r="G45" s="265"/>
      <c r="H45" s="283"/>
      <c r="I45" s="262"/>
      <c r="J45" s="189"/>
    </row>
    <row r="46" customFormat="false" ht="12.75" hidden="true" customHeight="true" outlineLevel="0" collapsed="false">
      <c r="A46" s="277"/>
      <c r="B46" s="264"/>
      <c r="C46" s="258"/>
      <c r="D46" s="282"/>
      <c r="E46" s="282"/>
      <c r="F46" s="286"/>
      <c r="G46" s="287"/>
      <c r="H46" s="283"/>
      <c r="I46" s="262"/>
      <c r="J46" s="189"/>
    </row>
    <row r="47" customFormat="false" ht="12.75" hidden="true" customHeight="true" outlineLevel="0" collapsed="false">
      <c r="A47" s="277"/>
      <c r="B47" s="264"/>
      <c r="C47" s="242"/>
      <c r="D47" s="288"/>
      <c r="E47" s="288"/>
      <c r="F47" s="286"/>
      <c r="G47" s="287"/>
      <c r="H47" s="283"/>
      <c r="I47" s="262"/>
      <c r="J47" s="189"/>
      <c r="K47" s="209"/>
    </row>
    <row r="48" customFormat="false" ht="12.75" hidden="false" customHeight="true" outlineLevel="0" collapsed="false">
      <c r="A48" s="277"/>
      <c r="B48" s="264"/>
      <c r="C48" s="242" t="n">
        <v>17</v>
      </c>
      <c r="D48" s="288"/>
      <c r="E48" s="288"/>
      <c r="F48" s="286" t="n">
        <v>44711</v>
      </c>
      <c r="G48" s="287" t="s">
        <v>230</v>
      </c>
      <c r="H48" s="283"/>
      <c r="I48" s="262" t="n">
        <v>40720</v>
      </c>
      <c r="J48" s="189"/>
      <c r="K48" s="209"/>
    </row>
    <row r="49" customFormat="false" ht="12.75" hidden="false" customHeight="true" outlineLevel="0" collapsed="false">
      <c r="A49" s="277"/>
      <c r="B49" s="275"/>
      <c r="C49" s="242"/>
      <c r="D49" s="242"/>
      <c r="E49" s="242"/>
      <c r="F49" s="286"/>
      <c r="G49" s="287"/>
      <c r="H49" s="283"/>
      <c r="I49" s="289"/>
      <c r="J49" s="189"/>
      <c r="K49" s="209"/>
    </row>
    <row r="50" customFormat="false" ht="12.75" hidden="false" customHeight="true" outlineLevel="0" collapsed="false">
      <c r="A50" s="197" t="s">
        <v>221</v>
      </c>
      <c r="B50" s="197"/>
      <c r="C50" s="197"/>
      <c r="D50" s="197"/>
      <c r="E50" s="197"/>
      <c r="F50" s="197"/>
      <c r="G50" s="197"/>
      <c r="H50" s="197"/>
      <c r="I50" s="276" t="n">
        <f aca="false">SUM(I38:I49)</f>
        <v>746220</v>
      </c>
      <c r="J50" s="189"/>
      <c r="K50" s="209"/>
    </row>
    <row r="51" customFormat="false" ht="6" hidden="false" customHeight="true" outlineLevel="0" collapsed="false">
      <c r="A51" s="210" t="s">
        <v>86</v>
      </c>
      <c r="B51" s="210"/>
      <c r="C51" s="210"/>
      <c r="D51" s="210"/>
      <c r="E51" s="210"/>
      <c r="F51" s="210"/>
      <c r="G51" s="210"/>
      <c r="H51" s="210"/>
      <c r="I51" s="210"/>
      <c r="J51" s="189"/>
      <c r="K51" s="209"/>
    </row>
    <row r="52" customFormat="false" ht="12.75" hidden="false" customHeight="true" outlineLevel="0" collapsed="false">
      <c r="A52" s="203" t="n">
        <v>3</v>
      </c>
      <c r="B52" s="203" t="s">
        <v>231</v>
      </c>
      <c r="C52" s="242" t="n">
        <v>18</v>
      </c>
      <c r="D52" s="242"/>
      <c r="E52" s="242"/>
      <c r="F52" s="259" t="n">
        <v>44704</v>
      </c>
      <c r="G52" s="290" t="s">
        <v>232</v>
      </c>
      <c r="H52" s="283"/>
      <c r="I52" s="291" t="n">
        <v>35000</v>
      </c>
      <c r="J52" s="189"/>
      <c r="K52" s="209"/>
    </row>
    <row r="53" customFormat="false" ht="12.75" hidden="false" customHeight="true" outlineLevel="0" collapsed="false">
      <c r="A53" s="203"/>
      <c r="B53" s="263" t="s">
        <v>233</v>
      </c>
      <c r="C53" s="242"/>
      <c r="D53" s="242"/>
      <c r="E53" s="242"/>
      <c r="F53" s="292"/>
      <c r="G53" s="293"/>
      <c r="H53" s="283"/>
      <c r="I53" s="291"/>
      <c r="J53" s="189"/>
      <c r="K53" s="209"/>
    </row>
    <row r="54" customFormat="false" ht="12.75" hidden="false" customHeight="true" outlineLevel="0" collapsed="false">
      <c r="A54" s="203"/>
      <c r="B54" s="263" t="s">
        <v>234</v>
      </c>
      <c r="C54" s="242"/>
      <c r="D54" s="242"/>
      <c r="E54" s="242"/>
      <c r="F54" s="292"/>
      <c r="G54" s="294"/>
      <c r="H54" s="295"/>
      <c r="I54" s="291"/>
      <c r="J54" s="189"/>
      <c r="K54" s="209"/>
    </row>
    <row r="55" customFormat="false" ht="12.75" hidden="false" customHeight="true" outlineLevel="0" collapsed="false">
      <c r="A55" s="203"/>
      <c r="B55" s="263" t="s">
        <v>235</v>
      </c>
      <c r="C55" s="242"/>
      <c r="D55" s="242"/>
      <c r="E55" s="242"/>
      <c r="F55" s="292"/>
      <c r="G55" s="293"/>
      <c r="H55" s="283"/>
      <c r="I55" s="291"/>
      <c r="J55" s="189"/>
      <c r="K55" s="209"/>
    </row>
    <row r="56" customFormat="false" ht="12.75" hidden="false" customHeight="true" outlineLevel="0" collapsed="false">
      <c r="A56" s="197" t="s">
        <v>221</v>
      </c>
      <c r="B56" s="197"/>
      <c r="C56" s="197"/>
      <c r="D56" s="197"/>
      <c r="E56" s="197"/>
      <c r="F56" s="197"/>
      <c r="G56" s="197"/>
      <c r="H56" s="197"/>
      <c r="I56" s="276" t="n">
        <f aca="false">SUM(I52:I55)</f>
        <v>35000</v>
      </c>
      <c r="J56" s="189"/>
      <c r="K56" s="209"/>
    </row>
    <row r="57" customFormat="false" ht="5.25" hidden="false" customHeight="true" outlineLevel="0" collapsed="false">
      <c r="A57" s="210"/>
      <c r="B57" s="210"/>
      <c r="C57" s="210"/>
      <c r="D57" s="210"/>
      <c r="E57" s="210"/>
      <c r="F57" s="210"/>
      <c r="G57" s="210"/>
      <c r="H57" s="210"/>
      <c r="I57" s="210"/>
      <c r="J57" s="189"/>
      <c r="K57" s="209"/>
    </row>
    <row r="58" customFormat="false" ht="12.75" hidden="false" customHeight="true" outlineLevel="0" collapsed="false">
      <c r="A58" s="203" t="n">
        <v>4</v>
      </c>
      <c r="B58" s="203" t="s">
        <v>231</v>
      </c>
      <c r="C58" s="258" t="n">
        <v>19</v>
      </c>
      <c r="D58" s="242"/>
      <c r="E58" s="242"/>
      <c r="F58" s="259" t="n">
        <v>44691</v>
      </c>
      <c r="G58" s="260" t="s">
        <v>236</v>
      </c>
      <c r="H58" s="261"/>
      <c r="I58" s="262" t="n">
        <v>15000</v>
      </c>
      <c r="J58" s="189"/>
      <c r="K58" s="209"/>
    </row>
    <row r="59" customFormat="false" ht="12.75" hidden="false" customHeight="true" outlineLevel="0" collapsed="false">
      <c r="A59" s="203"/>
      <c r="B59" s="263" t="s">
        <v>237</v>
      </c>
      <c r="C59" s="258" t="n">
        <v>20</v>
      </c>
      <c r="D59" s="242"/>
      <c r="E59" s="242"/>
      <c r="F59" s="259" t="n">
        <v>44692</v>
      </c>
      <c r="G59" s="260" t="s">
        <v>238</v>
      </c>
      <c r="H59" s="261"/>
      <c r="I59" s="262" t="n">
        <v>100000</v>
      </c>
      <c r="J59" s="189"/>
      <c r="K59" s="209"/>
    </row>
    <row r="60" customFormat="false" ht="12.75" hidden="false" customHeight="true" outlineLevel="0" collapsed="false">
      <c r="A60" s="203"/>
      <c r="B60" s="296"/>
      <c r="C60" s="258" t="n">
        <v>21</v>
      </c>
      <c r="D60" s="242"/>
      <c r="E60" s="242"/>
      <c r="F60" s="259" t="n">
        <v>44711</v>
      </c>
      <c r="G60" s="265" t="s">
        <v>239</v>
      </c>
      <c r="H60" s="261"/>
      <c r="I60" s="262" t="n">
        <v>75000</v>
      </c>
      <c r="J60" s="189"/>
      <c r="K60" s="209"/>
    </row>
    <row r="61" customFormat="false" ht="12.75" hidden="false" customHeight="true" outlineLevel="0" collapsed="false">
      <c r="A61" s="203"/>
      <c r="B61" s="297"/>
      <c r="C61" s="258"/>
      <c r="D61" s="258"/>
      <c r="E61" s="258"/>
      <c r="F61" s="298"/>
      <c r="G61" s="299"/>
      <c r="H61" s="299"/>
      <c r="I61" s="300"/>
      <c r="J61" s="189"/>
      <c r="K61" s="209"/>
    </row>
    <row r="62" customFormat="false" ht="12.75" hidden="false" customHeight="true" outlineLevel="0" collapsed="false">
      <c r="A62" s="197" t="s">
        <v>221</v>
      </c>
      <c r="B62" s="197"/>
      <c r="C62" s="197"/>
      <c r="D62" s="197"/>
      <c r="E62" s="197"/>
      <c r="F62" s="197"/>
      <c r="G62" s="197"/>
      <c r="H62" s="197"/>
      <c r="I62" s="276" t="n">
        <f aca="false">SUM(I58:I61)</f>
        <v>190000</v>
      </c>
      <c r="J62" s="189"/>
      <c r="K62" s="209"/>
    </row>
    <row r="63" customFormat="false" ht="5.25" hidden="false" customHeight="true" outlineLevel="0" collapsed="false">
      <c r="A63" s="210"/>
      <c r="B63" s="210"/>
      <c r="C63" s="210"/>
      <c r="D63" s="210"/>
      <c r="E63" s="210"/>
      <c r="F63" s="210"/>
      <c r="G63" s="210"/>
      <c r="H63" s="210"/>
      <c r="I63" s="210"/>
      <c r="J63" s="211"/>
    </row>
    <row r="64" customFormat="false" ht="12.75" hidden="false" customHeight="true" outlineLevel="0" collapsed="false">
      <c r="A64" s="277" t="n">
        <v>5</v>
      </c>
      <c r="B64" s="301" t="s">
        <v>240</v>
      </c>
      <c r="C64" s="302" t="n">
        <v>22</v>
      </c>
      <c r="D64" s="203"/>
      <c r="E64" s="203"/>
      <c r="F64" s="268" t="n">
        <v>44699</v>
      </c>
      <c r="G64" s="303" t="s">
        <v>241</v>
      </c>
      <c r="H64" s="304"/>
      <c r="I64" s="305" t="n">
        <v>100000</v>
      </c>
      <c r="J64" s="211"/>
    </row>
    <row r="65" customFormat="false" ht="12.75" hidden="false" customHeight="true" outlineLevel="0" collapsed="false">
      <c r="A65" s="277"/>
      <c r="B65" s="306" t="s">
        <v>242</v>
      </c>
      <c r="C65" s="258"/>
      <c r="D65" s="242"/>
      <c r="E65" s="242"/>
      <c r="F65" s="266"/>
      <c r="G65" s="299"/>
      <c r="H65" s="299"/>
      <c r="I65" s="305"/>
      <c r="J65" s="211"/>
      <c r="K65" s="191"/>
      <c r="L65" s="189"/>
    </row>
    <row r="66" customFormat="false" ht="12.75" hidden="false" customHeight="true" outlineLevel="0" collapsed="false">
      <c r="A66" s="277"/>
      <c r="B66" s="306" t="s">
        <v>243</v>
      </c>
      <c r="C66" s="258"/>
      <c r="D66" s="247"/>
      <c r="E66" s="247"/>
      <c r="F66" s="298"/>
      <c r="G66" s="299"/>
      <c r="H66" s="299"/>
      <c r="I66" s="305"/>
      <c r="J66" s="211"/>
    </row>
    <row r="67" customFormat="false" ht="12.75" hidden="true" customHeight="true" outlineLevel="0" collapsed="false">
      <c r="A67" s="277"/>
      <c r="B67" s="306"/>
      <c r="C67" s="258"/>
      <c r="D67" s="247"/>
      <c r="E67" s="247"/>
      <c r="F67" s="243"/>
      <c r="G67" s="307"/>
      <c r="H67" s="307"/>
      <c r="I67" s="291"/>
      <c r="J67" s="211"/>
      <c r="L67" s="187"/>
    </row>
    <row r="68" customFormat="false" ht="12.75" hidden="true" customHeight="true" outlineLevel="0" collapsed="false">
      <c r="A68" s="277"/>
      <c r="B68" s="297"/>
      <c r="C68" s="302"/>
      <c r="D68" s="247"/>
      <c r="E68" s="247"/>
      <c r="F68" s="243"/>
      <c r="G68" s="307"/>
      <c r="H68" s="307"/>
      <c r="I68" s="291"/>
      <c r="J68" s="211"/>
    </row>
    <row r="69" customFormat="false" ht="12.75" hidden="true" customHeight="true" outlineLevel="0" collapsed="false">
      <c r="A69" s="277"/>
      <c r="B69" s="308"/>
      <c r="C69" s="258"/>
      <c r="D69" s="309"/>
      <c r="E69" s="309"/>
      <c r="F69" s="243"/>
      <c r="G69" s="307"/>
      <c r="H69" s="307"/>
      <c r="I69" s="291"/>
      <c r="J69" s="211"/>
      <c r="K69" s="191"/>
      <c r="L69" s="189"/>
    </row>
    <row r="70" customFormat="false" ht="12.75" hidden="false" customHeight="true" outlineLevel="0" collapsed="false">
      <c r="A70" s="197" t="s">
        <v>221</v>
      </c>
      <c r="B70" s="197"/>
      <c r="C70" s="197"/>
      <c r="D70" s="197"/>
      <c r="E70" s="197"/>
      <c r="F70" s="197"/>
      <c r="G70" s="197"/>
      <c r="H70" s="197"/>
      <c r="I70" s="276" t="n">
        <f aca="false">SUM(I64:I69)</f>
        <v>100000</v>
      </c>
      <c r="J70" s="211"/>
      <c r="K70" s="191"/>
      <c r="L70" s="189"/>
    </row>
    <row r="71" customFormat="false" ht="5.25" hidden="false" customHeight="true" outlineLevel="0" collapsed="false">
      <c r="A71" s="210"/>
      <c r="B71" s="210"/>
      <c r="C71" s="210"/>
      <c r="D71" s="210"/>
      <c r="E71" s="210"/>
      <c r="F71" s="210"/>
      <c r="G71" s="210"/>
      <c r="H71" s="210"/>
      <c r="I71" s="210"/>
      <c r="J71" s="211"/>
      <c r="K71" s="191"/>
      <c r="L71" s="189"/>
    </row>
    <row r="72" customFormat="false" ht="12.75" hidden="false" customHeight="true" outlineLevel="0" collapsed="false">
      <c r="A72" s="203" t="n">
        <v>6</v>
      </c>
      <c r="B72" s="301" t="s">
        <v>244</v>
      </c>
      <c r="C72" s="241" t="n">
        <v>23</v>
      </c>
      <c r="D72" s="242"/>
      <c r="E72" s="242"/>
      <c r="F72" s="259" t="n">
        <v>44706</v>
      </c>
      <c r="G72" s="244" t="s">
        <v>245</v>
      </c>
      <c r="H72" s="244"/>
      <c r="I72" s="262" t="n">
        <v>113000</v>
      </c>
      <c r="J72" s="211"/>
      <c r="K72" s="191"/>
      <c r="L72" s="189"/>
    </row>
    <row r="73" customFormat="false" ht="12.75" hidden="false" customHeight="true" outlineLevel="0" collapsed="false">
      <c r="A73" s="203"/>
      <c r="B73" s="263" t="s">
        <v>246</v>
      </c>
      <c r="C73" s="310"/>
      <c r="D73" s="254"/>
      <c r="E73" s="254"/>
      <c r="F73" s="311"/>
      <c r="G73" s="312"/>
      <c r="H73" s="312"/>
      <c r="I73" s="313"/>
      <c r="J73" s="211"/>
      <c r="K73" s="191"/>
      <c r="L73" s="189"/>
    </row>
    <row r="74" customFormat="false" ht="12.75" hidden="true" customHeight="true" outlineLevel="0" collapsed="false">
      <c r="A74" s="203"/>
      <c r="B74" s="263"/>
      <c r="C74" s="314"/>
      <c r="D74" s="242"/>
      <c r="E74" s="242"/>
      <c r="F74" s="248"/>
      <c r="G74" s="315"/>
      <c r="H74" s="315"/>
      <c r="I74" s="316"/>
      <c r="J74" s="211"/>
      <c r="K74" s="191"/>
      <c r="L74" s="189"/>
    </row>
    <row r="75" customFormat="false" ht="12.75" hidden="false" customHeight="true" outlineLevel="0" collapsed="false">
      <c r="A75" s="197" t="s">
        <v>221</v>
      </c>
      <c r="B75" s="197"/>
      <c r="C75" s="197"/>
      <c r="D75" s="197"/>
      <c r="E75" s="197"/>
      <c r="F75" s="197"/>
      <c r="G75" s="197"/>
      <c r="H75" s="197"/>
      <c r="I75" s="276" t="n">
        <f aca="false">SUM(I72:I74)</f>
        <v>113000</v>
      </c>
      <c r="J75" s="211"/>
      <c r="K75" s="191"/>
      <c r="L75" s="189"/>
    </row>
    <row r="76" customFormat="false" ht="5.25" hidden="false" customHeight="true" outlineLevel="0" collapsed="false">
      <c r="A76" s="210"/>
      <c r="B76" s="210"/>
      <c r="C76" s="210"/>
      <c r="D76" s="210"/>
      <c r="E76" s="210"/>
      <c r="F76" s="210"/>
      <c r="G76" s="210"/>
      <c r="H76" s="210"/>
      <c r="I76" s="210"/>
      <c r="J76" s="211"/>
      <c r="K76" s="191"/>
      <c r="L76" s="189"/>
    </row>
    <row r="77" customFormat="false" ht="12.75" hidden="false" customHeight="true" outlineLevel="0" collapsed="false">
      <c r="A77" s="277" t="n">
        <v>7</v>
      </c>
      <c r="B77" s="203" t="s">
        <v>247</v>
      </c>
      <c r="C77" s="317" t="n">
        <v>24</v>
      </c>
      <c r="D77" s="242"/>
      <c r="E77" s="242"/>
      <c r="F77" s="286" t="s">
        <v>191</v>
      </c>
      <c r="G77" s="280" t="s">
        <v>248</v>
      </c>
      <c r="H77" s="280"/>
      <c r="I77" s="318" t="n">
        <v>385450</v>
      </c>
      <c r="J77" s="211"/>
      <c r="K77" s="191"/>
      <c r="L77" s="189"/>
    </row>
    <row r="78" customFormat="false" ht="12.75" hidden="false" customHeight="true" outlineLevel="0" collapsed="false">
      <c r="A78" s="277"/>
      <c r="B78" s="308" t="s">
        <v>249</v>
      </c>
      <c r="C78" s="319"/>
      <c r="D78" s="275"/>
      <c r="E78" s="275"/>
      <c r="F78" s="320"/>
      <c r="G78" s="254"/>
      <c r="H78" s="254"/>
      <c r="I78" s="321"/>
      <c r="J78" s="211"/>
      <c r="K78" s="191"/>
      <c r="L78" s="189"/>
    </row>
    <row r="79" customFormat="false" ht="12.75" hidden="true" customHeight="true" outlineLevel="0" collapsed="false">
      <c r="A79" s="277"/>
      <c r="B79" s="277"/>
      <c r="C79" s="322"/>
      <c r="D79" s="242"/>
      <c r="E79" s="242"/>
      <c r="F79" s="323"/>
      <c r="G79" s="247"/>
      <c r="H79" s="247"/>
      <c r="I79" s="324"/>
      <c r="J79" s="211"/>
      <c r="K79" s="191"/>
      <c r="L79" s="189"/>
    </row>
    <row r="80" customFormat="false" ht="12.75" hidden="false" customHeight="true" outlineLevel="0" collapsed="false">
      <c r="A80" s="197" t="s">
        <v>221</v>
      </c>
      <c r="B80" s="197"/>
      <c r="C80" s="197"/>
      <c r="D80" s="197"/>
      <c r="E80" s="197"/>
      <c r="F80" s="197"/>
      <c r="G80" s="197"/>
      <c r="H80" s="197"/>
      <c r="I80" s="276" t="n">
        <f aca="false">SUM(I77:I79)</f>
        <v>385450</v>
      </c>
      <c r="J80" s="211"/>
      <c r="K80" s="191"/>
      <c r="L80" s="189"/>
    </row>
    <row r="81" customFormat="false" ht="5.25" hidden="false" customHeight="true" outlineLevel="0" collapsed="false">
      <c r="A81" s="210"/>
      <c r="B81" s="210"/>
      <c r="C81" s="210"/>
      <c r="D81" s="210"/>
      <c r="E81" s="210"/>
      <c r="F81" s="210"/>
      <c r="G81" s="210"/>
      <c r="H81" s="210"/>
      <c r="I81" s="210"/>
      <c r="J81" s="211"/>
      <c r="K81" s="191"/>
      <c r="L81" s="189"/>
    </row>
    <row r="82" customFormat="false" ht="12.75" hidden="false" customHeight="true" outlineLevel="0" collapsed="false">
      <c r="A82" s="203" t="n">
        <v>8</v>
      </c>
      <c r="B82" s="301" t="s">
        <v>250</v>
      </c>
      <c r="C82" s="241" t="n">
        <v>25</v>
      </c>
      <c r="D82" s="242"/>
      <c r="E82" s="242"/>
      <c r="F82" s="205" t="n">
        <v>44688</v>
      </c>
      <c r="G82" s="244" t="s">
        <v>251</v>
      </c>
      <c r="H82" s="244"/>
      <c r="I82" s="291" t="n">
        <v>150000</v>
      </c>
      <c r="J82" s="211"/>
      <c r="K82" s="191"/>
      <c r="L82" s="189"/>
    </row>
    <row r="83" customFormat="false" ht="12.75" hidden="false" customHeight="true" outlineLevel="0" collapsed="false">
      <c r="A83" s="203"/>
      <c r="B83" s="263" t="s">
        <v>252</v>
      </c>
      <c r="C83" s="241" t="n">
        <v>26</v>
      </c>
      <c r="D83" s="254"/>
      <c r="E83" s="254"/>
      <c r="F83" s="205" t="n">
        <v>44690</v>
      </c>
      <c r="G83" s="244" t="s">
        <v>253</v>
      </c>
      <c r="H83" s="244"/>
      <c r="I83" s="291" t="n">
        <v>50000</v>
      </c>
      <c r="J83" s="211"/>
      <c r="K83" s="191"/>
      <c r="L83" s="189"/>
    </row>
    <row r="84" customFormat="false" ht="12.75" hidden="false" customHeight="true" outlineLevel="0" collapsed="false">
      <c r="A84" s="203"/>
      <c r="B84" s="263" t="s">
        <v>254</v>
      </c>
      <c r="C84" s="241"/>
      <c r="D84" s="254"/>
      <c r="E84" s="254"/>
      <c r="F84" s="205"/>
      <c r="G84" s="244"/>
      <c r="H84" s="244"/>
      <c r="I84" s="291"/>
      <c r="J84" s="211"/>
      <c r="K84" s="191"/>
      <c r="L84" s="189"/>
    </row>
    <row r="85" customFormat="false" ht="12.75" hidden="true" customHeight="true" outlineLevel="0" collapsed="false">
      <c r="A85" s="203"/>
      <c r="B85" s="325"/>
      <c r="C85" s="241"/>
      <c r="D85" s="254"/>
      <c r="E85" s="254"/>
      <c r="F85" s="243"/>
      <c r="G85" s="244"/>
      <c r="H85" s="244"/>
      <c r="I85" s="291"/>
      <c r="J85" s="211"/>
      <c r="K85" s="191"/>
      <c r="L85" s="189"/>
    </row>
    <row r="86" customFormat="false" ht="12.75" hidden="true" customHeight="true" outlineLevel="0" collapsed="false">
      <c r="A86" s="203"/>
      <c r="B86" s="325"/>
      <c r="C86" s="241"/>
      <c r="D86" s="242"/>
      <c r="E86" s="242"/>
      <c r="F86" s="326"/>
      <c r="G86" s="244"/>
      <c r="H86" s="244"/>
      <c r="I86" s="316"/>
      <c r="J86" s="211"/>
      <c r="K86" s="191"/>
      <c r="L86" s="189"/>
    </row>
    <row r="87" customFormat="false" ht="12.75" hidden="false" customHeight="true" outlineLevel="0" collapsed="false">
      <c r="A87" s="197" t="s">
        <v>221</v>
      </c>
      <c r="B87" s="197"/>
      <c r="C87" s="197"/>
      <c r="D87" s="197"/>
      <c r="E87" s="197"/>
      <c r="F87" s="197"/>
      <c r="G87" s="197"/>
      <c r="H87" s="197"/>
      <c r="I87" s="276" t="n">
        <f aca="false">SUM(I82:I86)</f>
        <v>200000</v>
      </c>
      <c r="J87" s="211"/>
      <c r="K87" s="212"/>
      <c r="L87" s="189"/>
    </row>
    <row r="88" customFormat="false" ht="5.25" hidden="false" customHeight="true" outlineLevel="0" collapsed="false">
      <c r="A88" s="210"/>
      <c r="B88" s="210"/>
      <c r="C88" s="210"/>
      <c r="D88" s="210"/>
      <c r="E88" s="210"/>
      <c r="F88" s="210"/>
      <c r="G88" s="210"/>
      <c r="H88" s="210"/>
      <c r="I88" s="210"/>
      <c r="J88" s="211"/>
      <c r="K88" s="212"/>
      <c r="L88" s="189"/>
    </row>
    <row r="89" customFormat="false" ht="17.25" hidden="false" customHeight="true" outlineLevel="0" collapsed="false">
      <c r="A89" s="200" t="s">
        <v>170</v>
      </c>
      <c r="B89" s="200"/>
      <c r="C89" s="200"/>
      <c r="D89" s="200"/>
      <c r="E89" s="200"/>
      <c r="F89" s="200"/>
      <c r="G89" s="200"/>
      <c r="H89" s="200"/>
      <c r="I89" s="213" t="n">
        <f aca="false">I36+I50+I56+I62+I70++I75+I80+I87</f>
        <v>2662970</v>
      </c>
      <c r="J89" s="214"/>
      <c r="L89" s="189"/>
    </row>
    <row r="90" customFormat="false" ht="6.75" hidden="false" customHeight="true" outlineLevel="0" collapsed="false">
      <c r="D90" s="184"/>
      <c r="E90" s="184"/>
      <c r="I90" s="215"/>
      <c r="J90" s="216"/>
      <c r="K90" s="217"/>
    </row>
    <row r="91" customFormat="false" ht="12.75" hidden="false" customHeight="false" outlineLevel="0" collapsed="false">
      <c r="A91" s="195" t="s">
        <v>171</v>
      </c>
      <c r="B91" s="196" t="s">
        <v>172</v>
      </c>
      <c r="C91" s="218"/>
      <c r="D91" s="216"/>
      <c r="E91" s="216"/>
      <c r="I91" s="215"/>
      <c r="J91" s="216"/>
    </row>
    <row r="92" customFormat="false" ht="12.75" hidden="false" customHeight="true" outlineLevel="0" collapsed="false">
      <c r="A92" s="219" t="s">
        <v>94</v>
      </c>
      <c r="B92" s="219"/>
      <c r="C92" s="220" t="s">
        <v>69</v>
      </c>
      <c r="D92" s="219"/>
      <c r="E92" s="219"/>
      <c r="F92" s="221" t="s">
        <v>196</v>
      </c>
      <c r="G92" s="221"/>
      <c r="H92" s="223"/>
      <c r="I92" s="215"/>
      <c r="J92" s="216"/>
      <c r="L92" s="327"/>
    </row>
    <row r="93" customFormat="false" ht="12.75" hidden="false" customHeight="true" outlineLevel="0" collapsed="false">
      <c r="A93" s="224" t="s">
        <v>197</v>
      </c>
      <c r="B93" s="225"/>
      <c r="C93" s="226" t="s">
        <v>69</v>
      </c>
      <c r="D93" s="221"/>
      <c r="E93" s="221"/>
      <c r="F93" s="221" t="s">
        <v>91</v>
      </c>
      <c r="G93" s="221"/>
      <c r="H93" s="223"/>
      <c r="I93" s="215"/>
      <c r="J93" s="216"/>
    </row>
    <row r="94" customFormat="false" ht="6" hidden="false" customHeight="true" outlineLevel="0" collapsed="false">
      <c r="C94" s="218"/>
      <c r="D94" s="216"/>
      <c r="E94" s="216"/>
      <c r="I94" s="215"/>
      <c r="J94" s="216"/>
      <c r="L94" s="328"/>
    </row>
    <row r="95" customFormat="false" ht="12.75" hidden="true" customHeight="false" outlineLevel="0" collapsed="false">
      <c r="I95" s="215"/>
      <c r="J95" s="216"/>
    </row>
    <row r="96" customFormat="false" ht="12.75" hidden="false" customHeight="false" outlineLevel="0" collapsed="false">
      <c r="A96" s="227" t="s">
        <v>176</v>
      </c>
      <c r="B96" s="195"/>
      <c r="I96" s="215"/>
      <c r="J96" s="216"/>
    </row>
    <row r="97" customFormat="false" ht="12.75" hidden="false" customHeight="false" outlineLevel="0" collapsed="false">
      <c r="A97" s="228" t="s">
        <v>154</v>
      </c>
      <c r="B97" s="195"/>
      <c r="I97" s="215"/>
      <c r="J97" s="216"/>
    </row>
    <row r="98" customFormat="false" ht="12.75" hidden="false" customHeight="false" outlineLevel="0" collapsed="false">
      <c r="I98" s="215"/>
      <c r="J98" s="216"/>
    </row>
    <row r="99" customFormat="false" ht="12.75" hidden="false" customHeight="false" outlineLevel="0" collapsed="false">
      <c r="I99" s="215"/>
      <c r="J99" s="216"/>
    </row>
    <row r="100" customFormat="false" ht="12.75" hidden="false" customHeight="false" outlineLevel="0" collapsed="false">
      <c r="I100" s="215"/>
      <c r="J100" s="216"/>
    </row>
    <row r="101" customFormat="false" ht="12.75" hidden="false" customHeight="false" outlineLevel="0" collapsed="false">
      <c r="I101" s="215"/>
      <c r="J101" s="216"/>
    </row>
    <row r="102" customFormat="false" ht="12.75" hidden="false" customHeight="false" outlineLevel="0" collapsed="false">
      <c r="A102" s="229" t="s">
        <v>129</v>
      </c>
      <c r="I102" s="215"/>
      <c r="J102" s="216"/>
    </row>
    <row r="103" customFormat="false" ht="12.75" hidden="false" customHeight="false" outlineLevel="0" collapsed="false">
      <c r="A103" s="230" t="s">
        <v>178</v>
      </c>
      <c r="F103" s="231"/>
      <c r="I103" s="215"/>
      <c r="J103" s="216"/>
    </row>
    <row r="104" customFormat="false" ht="12.75" hidden="false" customHeight="false" outlineLevel="0" collapsed="false">
      <c r="F104" s="232"/>
      <c r="I104" s="215"/>
      <c r="J104" s="216"/>
    </row>
  </sheetData>
  <mergeCells count="55">
    <mergeCell ref="A5:B5"/>
    <mergeCell ref="A6:B6"/>
    <mergeCell ref="C6:G6"/>
    <mergeCell ref="A7:B7"/>
    <mergeCell ref="A8:B8"/>
    <mergeCell ref="A9:B9"/>
    <mergeCell ref="G12:H12"/>
    <mergeCell ref="A13:A35"/>
    <mergeCell ref="G34:H34"/>
    <mergeCell ref="G35:H35"/>
    <mergeCell ref="A36:H36"/>
    <mergeCell ref="A37:I37"/>
    <mergeCell ref="A38:A49"/>
    <mergeCell ref="A50:H50"/>
    <mergeCell ref="A51:I51"/>
    <mergeCell ref="A52:A55"/>
    <mergeCell ref="A56:H56"/>
    <mergeCell ref="A57:I57"/>
    <mergeCell ref="A58:A61"/>
    <mergeCell ref="G61:H61"/>
    <mergeCell ref="A62:H62"/>
    <mergeCell ref="A63:I63"/>
    <mergeCell ref="A64:A69"/>
    <mergeCell ref="G65:H65"/>
    <mergeCell ref="G66:H66"/>
    <mergeCell ref="G67:H67"/>
    <mergeCell ref="G68:H68"/>
    <mergeCell ref="G69:H69"/>
    <mergeCell ref="A70:H70"/>
    <mergeCell ref="A71:I71"/>
    <mergeCell ref="A72:A74"/>
    <mergeCell ref="G72:H72"/>
    <mergeCell ref="G73:H73"/>
    <mergeCell ref="G74:H74"/>
    <mergeCell ref="A75:H75"/>
    <mergeCell ref="A76:I76"/>
    <mergeCell ref="A77:A79"/>
    <mergeCell ref="G77:H77"/>
    <mergeCell ref="B78:B79"/>
    <mergeCell ref="G78:H78"/>
    <mergeCell ref="G79:H79"/>
    <mergeCell ref="A80:H80"/>
    <mergeCell ref="A81:I81"/>
    <mergeCell ref="A82:A86"/>
    <mergeCell ref="G82:H82"/>
    <mergeCell ref="G83:H83"/>
    <mergeCell ref="G84:H84"/>
    <mergeCell ref="G85:H85"/>
    <mergeCell ref="G86:H86"/>
    <mergeCell ref="A87:H87"/>
    <mergeCell ref="A88:I88"/>
    <mergeCell ref="A89:H89"/>
    <mergeCell ref="A92:B92"/>
    <mergeCell ref="F92:G92"/>
    <mergeCell ref="F93:G93"/>
  </mergeCells>
  <printOptions headings="false" gridLines="false" gridLinesSet="true" horizontalCentered="true" verticalCentered="false"/>
  <pageMargins left="0" right="0" top="0.5" bottom="0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3" activeCellId="0" sqref="A3:B10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12.99"/>
    <col collapsed="false" customWidth="true" hidden="false" outlineLevel="0" max="2" min="2" style="0" width="74.13"/>
  </cols>
  <sheetData>
    <row r="3" customFormat="false" ht="12.75" hidden="false" customHeight="false" outlineLevel="0" collapsed="false">
      <c r="A3" s="329"/>
      <c r="B3" s="330" t="s">
        <v>255</v>
      </c>
    </row>
    <row r="4" customFormat="false" ht="12.75" hidden="false" customHeight="false" outlineLevel="0" collapsed="false">
      <c r="A4" s="331"/>
      <c r="B4" s="332" t="s">
        <v>256</v>
      </c>
    </row>
    <row r="5" customFormat="false" ht="12.75" hidden="false" customHeight="false" outlineLevel="0" collapsed="false">
      <c r="A5" s="333"/>
      <c r="B5" s="334" t="s">
        <v>257</v>
      </c>
    </row>
    <row r="8" customFormat="false" ht="12.75" hidden="false" customHeight="false" outlineLevel="0" collapsed="false">
      <c r="A8" s="329"/>
      <c r="B8" s="330" t="s">
        <v>255</v>
      </c>
    </row>
    <row r="9" customFormat="false" ht="12.75" hidden="false" customHeight="false" outlineLevel="0" collapsed="false">
      <c r="A9" s="331"/>
      <c r="B9" s="332" t="s">
        <v>258</v>
      </c>
    </row>
    <row r="10" customFormat="false" ht="12.75" hidden="false" customHeight="false" outlineLevel="0" collapsed="false">
      <c r="A10" s="333"/>
      <c r="B10" s="334" t="s">
        <v>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99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335" width="7.28"/>
    <col collapsed="false" customWidth="true" hidden="false" outlineLevel="0" max="2" min="2" style="0" width="16.99"/>
    <col collapsed="false" customWidth="true" hidden="false" outlineLevel="0" max="3" min="3" style="0" width="50.13"/>
    <col collapsed="false" customWidth="true" hidden="false" outlineLevel="0" max="4" min="4" style="0" width="12.28"/>
    <col collapsed="false" customWidth="true" hidden="false" outlineLevel="0" max="5" min="5" style="0" width="31.14"/>
    <col collapsed="false" customWidth="true" hidden="false" outlineLevel="0" max="6" min="6" style="0" width="76.28"/>
  </cols>
  <sheetData>
    <row r="1" customFormat="false" ht="29.25" hidden="false" customHeight="true" outlineLevel="0" collapsed="false">
      <c r="A1" s="336" t="s">
        <v>260</v>
      </c>
      <c r="B1" s="337" t="s">
        <v>261</v>
      </c>
      <c r="C1" s="338" t="s">
        <v>262</v>
      </c>
      <c r="D1" s="339" t="s">
        <v>7</v>
      </c>
      <c r="E1" s="339" t="s">
        <v>263</v>
      </c>
      <c r="F1" s="339" t="s">
        <v>264</v>
      </c>
    </row>
    <row r="2" customFormat="false" ht="12.75" hidden="false" customHeight="false" outlineLevel="0" collapsed="false">
      <c r="A2" s="340" t="n">
        <v>1</v>
      </c>
      <c r="B2" s="235" t="s">
        <v>265</v>
      </c>
      <c r="C2" s="341" t="s">
        <v>266</v>
      </c>
      <c r="D2" s="342" t="n">
        <f aca="false">Nota!I80</f>
        <v>385450</v>
      </c>
      <c r="E2" s="236" t="s">
        <v>248</v>
      </c>
      <c r="F2" s="343" t="s">
        <v>267</v>
      </c>
    </row>
    <row r="3" customFormat="false" ht="12.75" hidden="false" customHeight="false" outlineLevel="0" collapsed="false">
      <c r="A3" s="340" t="n">
        <v>2</v>
      </c>
      <c r="B3" s="235" t="s">
        <v>268</v>
      </c>
      <c r="C3" s="236" t="s">
        <v>269</v>
      </c>
      <c r="D3" s="342" t="n">
        <f aca="false">'Nota Listrik Kantor'!I18</f>
        <v>915840</v>
      </c>
      <c r="E3" s="236" t="s">
        <v>270</v>
      </c>
      <c r="F3" s="343" t="s">
        <v>271</v>
      </c>
    </row>
    <row r="4" customFormat="false" ht="12.75" hidden="false" customHeight="false" outlineLevel="0" collapsed="false">
      <c r="A4" s="340" t="s">
        <v>60</v>
      </c>
      <c r="B4" s="235" t="s">
        <v>244</v>
      </c>
      <c r="C4" s="236" t="s">
        <v>272</v>
      </c>
      <c r="D4" s="342" t="n">
        <f aca="false">Nota!I75</f>
        <v>113000</v>
      </c>
      <c r="E4" s="236" t="s">
        <v>245</v>
      </c>
      <c r="F4" s="343"/>
    </row>
    <row r="5" customFormat="false" ht="12.75" hidden="false" customHeight="false" outlineLevel="0" collapsed="false">
      <c r="A5" s="340" t="s">
        <v>273</v>
      </c>
      <c r="B5" s="235" t="s">
        <v>274</v>
      </c>
      <c r="C5" s="236" t="s">
        <v>275</v>
      </c>
      <c r="D5" s="342"/>
      <c r="E5" s="236"/>
      <c r="F5" s="343"/>
    </row>
    <row r="6" customFormat="false" ht="15" hidden="false" customHeight="false" outlineLevel="0" collapsed="false">
      <c r="A6" s="344" t="n">
        <v>3</v>
      </c>
      <c r="B6" s="235" t="s">
        <v>276</v>
      </c>
      <c r="C6" s="341" t="s">
        <v>277</v>
      </c>
      <c r="D6" s="342"/>
      <c r="E6" s="236"/>
      <c r="F6" s="343" t="s">
        <v>278</v>
      </c>
    </row>
    <row r="7" customFormat="false" ht="12.75" hidden="false" customHeight="false" outlineLevel="0" collapsed="false">
      <c r="A7" s="340" t="n">
        <v>4</v>
      </c>
      <c r="B7" s="235" t="s">
        <v>279</v>
      </c>
      <c r="C7" s="236" t="s">
        <v>280</v>
      </c>
      <c r="D7" s="342"/>
      <c r="E7" s="341"/>
      <c r="F7" s="345" t="s">
        <v>281</v>
      </c>
    </row>
    <row r="8" customFormat="false" ht="12.75" hidden="false" customHeight="false" outlineLevel="0" collapsed="false">
      <c r="A8" s="340" t="n">
        <v>5</v>
      </c>
      <c r="B8" s="235" t="s">
        <v>282</v>
      </c>
      <c r="C8" s="341" t="s">
        <v>283</v>
      </c>
      <c r="D8" s="342"/>
      <c r="E8" s="341"/>
      <c r="F8" s="345" t="s">
        <v>284</v>
      </c>
    </row>
    <row r="9" customFormat="false" ht="12.75" hidden="false" customHeight="false" outlineLevel="0" collapsed="false">
      <c r="A9" s="340" t="n">
        <v>6</v>
      </c>
      <c r="B9" s="235" t="s">
        <v>207</v>
      </c>
      <c r="C9" s="236" t="s">
        <v>285</v>
      </c>
      <c r="D9" s="342" t="n">
        <f aca="false">Nota!I36</f>
        <v>893300</v>
      </c>
      <c r="E9" s="346" t="s">
        <v>286</v>
      </c>
      <c r="F9" s="345" t="s">
        <v>287</v>
      </c>
    </row>
    <row r="10" customFormat="false" ht="12.75" hidden="false" customHeight="false" outlineLevel="0" collapsed="false">
      <c r="A10" s="340" t="s">
        <v>288</v>
      </c>
      <c r="B10" s="235" t="s">
        <v>207</v>
      </c>
      <c r="C10" s="236" t="s">
        <v>285</v>
      </c>
      <c r="D10" s="342" t="n">
        <v>850000</v>
      </c>
      <c r="E10" s="346" t="s">
        <v>195</v>
      </c>
      <c r="F10" s="345" t="s">
        <v>287</v>
      </c>
    </row>
    <row r="11" customFormat="false" ht="12.75" hidden="false" customHeight="false" outlineLevel="0" collapsed="false">
      <c r="A11" s="340" t="n">
        <v>7</v>
      </c>
      <c r="B11" s="235" t="s">
        <v>222</v>
      </c>
      <c r="C11" s="341" t="s">
        <v>289</v>
      </c>
      <c r="D11" s="342" t="n">
        <f aca="false">Nota!I50</f>
        <v>746220</v>
      </c>
      <c r="E11" s="236" t="s">
        <v>290</v>
      </c>
      <c r="F11" s="345" t="s">
        <v>291</v>
      </c>
    </row>
    <row r="12" customFormat="false" ht="12.75" hidden="false" customHeight="false" outlineLevel="0" collapsed="false">
      <c r="A12" s="347" t="n">
        <v>8</v>
      </c>
      <c r="B12" s="235" t="s">
        <v>292</v>
      </c>
      <c r="C12" s="236" t="s">
        <v>293</v>
      </c>
      <c r="D12" s="342"/>
      <c r="E12" s="341"/>
      <c r="F12" s="345" t="s">
        <v>294</v>
      </c>
    </row>
    <row r="13" customFormat="false" ht="12.75" hidden="false" customHeight="false" outlineLevel="0" collapsed="false">
      <c r="A13" s="344" t="n">
        <v>9</v>
      </c>
      <c r="B13" s="235" t="s">
        <v>295</v>
      </c>
      <c r="C13" s="341" t="s">
        <v>296</v>
      </c>
      <c r="D13" s="342"/>
      <c r="E13" s="341"/>
      <c r="F13" s="345" t="s">
        <v>297</v>
      </c>
    </row>
    <row r="14" customFormat="false" ht="12.75" hidden="false" customHeight="false" outlineLevel="0" collapsed="false">
      <c r="A14" s="340" t="n">
        <v>10</v>
      </c>
      <c r="B14" s="235" t="s">
        <v>231</v>
      </c>
      <c r="C14" s="236" t="s">
        <v>298</v>
      </c>
      <c r="D14" s="342" t="n">
        <v>35000</v>
      </c>
      <c r="E14" s="236" t="s">
        <v>299</v>
      </c>
      <c r="F14" s="345" t="s">
        <v>300</v>
      </c>
    </row>
    <row r="15" customFormat="false" ht="12.75" hidden="false" customHeight="false" outlineLevel="0" collapsed="false">
      <c r="A15" s="344" t="n">
        <v>11</v>
      </c>
      <c r="B15" s="235" t="s">
        <v>301</v>
      </c>
      <c r="C15" s="236" t="s">
        <v>302</v>
      </c>
      <c r="D15" s="342"/>
      <c r="E15" s="341"/>
      <c r="F15" s="345" t="s">
        <v>303</v>
      </c>
    </row>
    <row r="16" customFormat="false" ht="12.75" hidden="false" customHeight="false" outlineLevel="0" collapsed="false">
      <c r="A16" s="340" t="n">
        <v>12</v>
      </c>
      <c r="B16" s="235" t="s">
        <v>240</v>
      </c>
      <c r="C16" s="236" t="s">
        <v>304</v>
      </c>
      <c r="D16" s="342" t="n">
        <f aca="false">Nota!I70</f>
        <v>100000</v>
      </c>
      <c r="E16" s="236" t="s">
        <v>305</v>
      </c>
      <c r="F16" s="345" t="s">
        <v>306</v>
      </c>
    </row>
    <row r="17" customFormat="false" ht="12.75" hidden="false" customHeight="false" outlineLevel="0" collapsed="false">
      <c r="A17" s="344" t="n">
        <v>13</v>
      </c>
      <c r="B17" s="235" t="s">
        <v>307</v>
      </c>
      <c r="C17" s="236" t="s">
        <v>308</v>
      </c>
      <c r="D17" s="342"/>
      <c r="E17" s="341"/>
      <c r="F17" s="345" t="s">
        <v>309</v>
      </c>
    </row>
    <row r="18" customFormat="false" ht="12.75" hidden="false" customHeight="false" outlineLevel="0" collapsed="false">
      <c r="A18" s="344" t="n">
        <v>14</v>
      </c>
      <c r="B18" s="235" t="s">
        <v>310</v>
      </c>
      <c r="C18" s="341" t="s">
        <v>311</v>
      </c>
      <c r="D18" s="342"/>
      <c r="E18" s="341"/>
      <c r="F18" s="345" t="s">
        <v>312</v>
      </c>
    </row>
    <row r="19" customFormat="false" ht="12.75" hidden="false" customHeight="false" outlineLevel="0" collapsed="false">
      <c r="A19" s="344" t="n">
        <v>15</v>
      </c>
      <c r="B19" s="235" t="s">
        <v>313</v>
      </c>
      <c r="C19" s="236" t="s">
        <v>314</v>
      </c>
      <c r="D19" s="342"/>
      <c r="E19" s="341"/>
      <c r="F19" s="345" t="s">
        <v>315</v>
      </c>
    </row>
    <row r="20" customFormat="false" ht="12.75" hidden="false" customHeight="false" outlineLevel="0" collapsed="false">
      <c r="A20" s="344" t="n">
        <v>16</v>
      </c>
      <c r="B20" s="235" t="s">
        <v>316</v>
      </c>
      <c r="C20" s="236" t="s">
        <v>317</v>
      </c>
      <c r="D20" s="342"/>
      <c r="E20" s="341"/>
      <c r="F20" s="345" t="s">
        <v>318</v>
      </c>
    </row>
    <row r="21" customFormat="false" ht="12.75" hidden="false" customHeight="false" outlineLevel="0" collapsed="false">
      <c r="A21" s="344" t="n">
        <v>17</v>
      </c>
      <c r="B21" s="235" t="s">
        <v>319</v>
      </c>
      <c r="C21" s="341" t="s">
        <v>320</v>
      </c>
      <c r="D21" s="342"/>
      <c r="E21" s="236" t="s">
        <v>321</v>
      </c>
      <c r="F21" s="345" t="s">
        <v>322</v>
      </c>
    </row>
    <row r="22" customFormat="false" ht="12.75" hidden="false" customHeight="false" outlineLevel="0" collapsed="false">
      <c r="A22" s="344" t="n">
        <v>18</v>
      </c>
      <c r="B22" s="235" t="s">
        <v>323</v>
      </c>
      <c r="C22" s="341" t="s">
        <v>324</v>
      </c>
      <c r="D22" s="342"/>
      <c r="E22" s="341"/>
      <c r="F22" s="345" t="s">
        <v>325</v>
      </c>
    </row>
    <row r="23" customFormat="false" ht="12.75" hidden="false" customHeight="false" outlineLevel="0" collapsed="false">
      <c r="A23" s="348" t="n">
        <v>19</v>
      </c>
      <c r="B23" s="235" t="s">
        <v>326</v>
      </c>
      <c r="C23" s="341" t="s">
        <v>327</v>
      </c>
      <c r="D23" s="342"/>
      <c r="E23" s="341"/>
      <c r="F23" s="345" t="s">
        <v>328</v>
      </c>
    </row>
    <row r="24" customFormat="false" ht="12.75" hidden="false" customHeight="false" outlineLevel="0" collapsed="false">
      <c r="A24" s="344" t="n">
        <v>20</v>
      </c>
      <c r="B24" s="235" t="s">
        <v>329</v>
      </c>
      <c r="C24" s="341" t="s">
        <v>330</v>
      </c>
      <c r="D24" s="342"/>
      <c r="E24" s="341"/>
      <c r="F24" s="345" t="s">
        <v>331</v>
      </c>
    </row>
    <row r="25" customFormat="false" ht="12.75" hidden="false" customHeight="false" outlineLevel="0" collapsed="false">
      <c r="A25" s="344" t="n">
        <v>21</v>
      </c>
      <c r="B25" s="235" t="s">
        <v>332</v>
      </c>
      <c r="C25" s="341" t="s">
        <v>333</v>
      </c>
      <c r="D25" s="342"/>
      <c r="E25" s="341"/>
      <c r="F25" s="345" t="s">
        <v>334</v>
      </c>
    </row>
    <row r="26" customFormat="false" ht="12.75" hidden="false" customHeight="false" outlineLevel="0" collapsed="false">
      <c r="A26" s="349" t="n">
        <v>22</v>
      </c>
      <c r="B26" s="235" t="s">
        <v>250</v>
      </c>
      <c r="C26" s="236" t="s">
        <v>335</v>
      </c>
      <c r="D26" s="342" t="n">
        <f aca="false">Nota!I87</f>
        <v>200000</v>
      </c>
      <c r="E26" s="236" t="s">
        <v>336</v>
      </c>
      <c r="F26" s="345" t="s">
        <v>337</v>
      </c>
    </row>
    <row r="27" customFormat="false" ht="12.75" hidden="false" customHeight="false" outlineLevel="0" collapsed="false">
      <c r="A27" s="340" t="n">
        <v>23</v>
      </c>
      <c r="B27" s="235" t="s">
        <v>338</v>
      </c>
      <c r="C27" s="236" t="s">
        <v>339</v>
      </c>
      <c r="D27" s="342" t="n">
        <f aca="false">Nota!I62</f>
        <v>190000</v>
      </c>
      <c r="E27" s="236" t="s">
        <v>340</v>
      </c>
      <c r="F27" s="345" t="s">
        <v>341</v>
      </c>
    </row>
    <row r="28" customFormat="false" ht="12.75" hidden="false" customHeight="false" outlineLevel="0" collapsed="false">
      <c r="A28" s="344" t="n">
        <v>24</v>
      </c>
      <c r="B28" s="235" t="s">
        <v>342</v>
      </c>
      <c r="C28" s="236" t="s">
        <v>343</v>
      </c>
      <c r="D28" s="342" t="n">
        <v>400000</v>
      </c>
      <c r="E28" s="341" t="s">
        <v>344</v>
      </c>
      <c r="F28" s="345" t="s">
        <v>345</v>
      </c>
    </row>
    <row r="29" customFormat="false" ht="12.75" hidden="false" customHeight="false" outlineLevel="0" collapsed="false">
      <c r="A29" s="349" t="n">
        <v>25</v>
      </c>
      <c r="B29" s="235" t="s">
        <v>346</v>
      </c>
      <c r="C29" s="341" t="s">
        <v>347</v>
      </c>
      <c r="D29" s="342" t="n">
        <v>200000</v>
      </c>
      <c r="E29" s="236" t="s">
        <v>348</v>
      </c>
      <c r="F29" s="345" t="s">
        <v>349</v>
      </c>
    </row>
    <row r="30" customFormat="false" ht="12.75" hidden="false" customHeight="false" outlineLevel="0" collapsed="false">
      <c r="A30" s="349" t="n">
        <v>26</v>
      </c>
      <c r="B30" s="235" t="s">
        <v>350</v>
      </c>
      <c r="C30" s="341" t="s">
        <v>351</v>
      </c>
      <c r="D30" s="342" t="n">
        <v>500000</v>
      </c>
      <c r="E30" s="236" t="s">
        <v>352</v>
      </c>
      <c r="F30" s="345" t="s">
        <v>353</v>
      </c>
    </row>
    <row r="31" customFormat="false" ht="15" hidden="false" customHeight="false" outlineLevel="0" collapsed="false">
      <c r="A31" s="344" t="n">
        <v>27</v>
      </c>
      <c r="B31" s="235" t="s">
        <v>354</v>
      </c>
      <c r="C31" s="236" t="s">
        <v>355</v>
      </c>
      <c r="D31" s="342"/>
      <c r="E31" s="341"/>
      <c r="F31" s="350" t="s">
        <v>356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99"/>
    <pageSetUpPr fitToPage="false"/>
  </sheetPr>
  <dimension ref="B1:Q41"/>
  <sheetViews>
    <sheetView showFormulas="false" showGridLines="true" showRowColHeaders="true" showZeros="true" rightToLeft="false" tabSelected="false" showOutlineSymbols="true" defaultGridColor="true" view="pageBreakPreview" topLeftCell="A10" colorId="64" zoomScale="100" zoomScaleNormal="100" zoomScalePageLayoutView="100" workbookViewId="0">
      <selection pane="topLeft" activeCell="K11" activeCellId="0" sqref="K11"/>
    </sheetView>
  </sheetViews>
  <sheetFormatPr defaultColWidth="11.5625" defaultRowHeight="15.75" customHeight="true" zeroHeight="false" outlineLevelRow="0" outlineLevelCol="0"/>
  <cols>
    <col collapsed="false" customWidth="true" hidden="false" outlineLevel="0" max="1" min="1" style="47" width="4.56"/>
    <col collapsed="false" customWidth="true" hidden="false" outlineLevel="0" max="2" min="2" style="47" width="4.28"/>
    <col collapsed="false" customWidth="true" hidden="false" outlineLevel="0" max="3" min="3" style="47" width="35.85"/>
    <col collapsed="false" customWidth="true" hidden="false" outlineLevel="0" max="4" min="4" style="47" width="2.7"/>
    <col collapsed="false" customWidth="true" hidden="false" outlineLevel="0" max="5" min="5" style="47" width="17.28"/>
    <col collapsed="false" customWidth="true" hidden="false" outlineLevel="0" max="7" min="6" style="47" width="14.7"/>
    <col collapsed="false" customWidth="true" hidden="false" outlineLevel="0" max="8" min="8" style="47" width="19.28"/>
    <col collapsed="false" customWidth="true" hidden="false" outlineLevel="0" max="9" min="9" style="47" width="19.14"/>
    <col collapsed="false" customWidth="true" hidden="true" outlineLevel="0" max="10" min="10" style="47" width="31.28"/>
    <col collapsed="false" customWidth="true" hidden="false" outlineLevel="0" max="11" min="11" style="47" width="19.7"/>
    <col collapsed="false" customWidth="true" hidden="false" outlineLevel="0" max="12" min="12" style="47" width="14.28"/>
    <col collapsed="false" customWidth="true" hidden="false" outlineLevel="0" max="13" min="13" style="47" width="18.7"/>
    <col collapsed="false" customWidth="false" hidden="false" outlineLevel="0" max="257" min="14" style="47" width="11.56"/>
  </cols>
  <sheetData>
    <row r="1" customFormat="false" ht="21.75" hidden="false" customHeight="true" outlineLevel="0" collapsed="false">
      <c r="B1" s="351" t="s">
        <v>60</v>
      </c>
      <c r="C1" s="352" t="s">
        <v>357</v>
      </c>
    </row>
    <row r="2" customFormat="false" ht="12.75" hidden="false" customHeight="true" outlineLevel="0" collapsed="false">
      <c r="C2" s="54" t="s">
        <v>261</v>
      </c>
      <c r="D2" s="55" t="s">
        <v>69</v>
      </c>
      <c r="E2" s="134" t="e">
        <f aca="false">VLOOKUP(B1,'Data Buku Besar'!A1:F31,2)</f>
        <v>#N/A</v>
      </c>
      <c r="F2" s="134"/>
      <c r="G2" s="134"/>
      <c r="H2" s="134"/>
      <c r="J2" s="135" t="s">
        <v>92</v>
      </c>
      <c r="K2" s="135" t="s">
        <v>93</v>
      </c>
      <c r="M2" s="136"/>
    </row>
    <row r="3" customFormat="false" ht="12.75" hidden="false" customHeight="true" outlineLevel="0" collapsed="false">
      <c r="C3" s="59" t="s">
        <v>262</v>
      </c>
      <c r="D3" s="60" t="s">
        <v>69</v>
      </c>
      <c r="E3" s="137" t="e">
        <f aca="false">VLOOKUP(B1,'Data Buku Besar'!A1:F31,3)</f>
        <v>#N/A</v>
      </c>
      <c r="F3" s="137"/>
      <c r="G3" s="137"/>
      <c r="H3" s="137"/>
      <c r="J3" s="135" t="s">
        <v>96</v>
      </c>
      <c r="K3" s="135" t="s">
        <v>97</v>
      </c>
      <c r="M3" s="353" t="s">
        <v>98</v>
      </c>
    </row>
    <row r="4" customFormat="false" ht="12.75" hidden="false" customHeight="true" outlineLevel="0" collapsed="false">
      <c r="C4" s="59" t="s">
        <v>7</v>
      </c>
      <c r="D4" s="60" t="s">
        <v>69</v>
      </c>
      <c r="E4" s="354" t="e">
        <f aca="false">VLOOKUP(B1,'Data Buku Besar'!A1:F31,4)</f>
        <v>#N/A</v>
      </c>
      <c r="F4" s="354"/>
      <c r="G4" s="354"/>
      <c r="H4" s="354"/>
      <c r="J4" s="135" t="s">
        <v>101</v>
      </c>
      <c r="K4" s="135" t="s">
        <v>102</v>
      </c>
      <c r="M4" s="87" t="s">
        <v>103</v>
      </c>
    </row>
    <row r="5" customFormat="false" ht="12.75" hidden="false" customHeight="true" outlineLevel="0" collapsed="false">
      <c r="C5" s="66" t="s">
        <v>263</v>
      </c>
      <c r="D5" s="67" t="s">
        <v>69</v>
      </c>
      <c r="E5" s="355" t="e">
        <f aca="false">VLOOKUP(B1,'Data Buku Besar'!A1:F31,5)</f>
        <v>#N/A</v>
      </c>
      <c r="F5" s="355"/>
      <c r="G5" s="355"/>
      <c r="H5" s="355"/>
      <c r="J5" s="135" t="s">
        <v>106</v>
      </c>
      <c r="K5" s="135"/>
      <c r="M5" s="87" t="s">
        <v>107</v>
      </c>
    </row>
    <row r="6" customFormat="false" ht="15" hidden="false" customHeight="true" outlineLevel="0" collapsed="false">
      <c r="M6" s="87"/>
      <c r="Q6" s="69"/>
    </row>
    <row r="7" customFormat="false" ht="6.75" hidden="false" customHeight="true" outlineLevel="0" collapsed="false">
      <c r="H7" s="69"/>
      <c r="I7" s="69"/>
      <c r="M7" s="87"/>
    </row>
    <row r="8" customFormat="false" ht="18" hidden="false" customHeight="true" outlineLevel="0" collapsed="false">
      <c r="B8" s="70"/>
      <c r="C8" s="147" t="s">
        <v>358</v>
      </c>
      <c r="D8" s="72"/>
      <c r="E8" s="73" t="s">
        <v>86</v>
      </c>
      <c r="F8" s="73"/>
      <c r="G8" s="356" t="n">
        <f aca="true">NOW()</f>
        <v>46314.6141969547</v>
      </c>
      <c r="H8" s="356"/>
      <c r="I8" s="75"/>
      <c r="J8" s="75"/>
    </row>
    <row r="9" customFormat="false" ht="35.25" hidden="false" customHeight="true" outlineLevel="0" collapsed="false">
      <c r="B9" s="76"/>
      <c r="C9" s="72"/>
      <c r="D9" s="72"/>
      <c r="E9" s="72"/>
      <c r="F9" s="72"/>
      <c r="G9" s="72"/>
      <c r="H9" s="72"/>
    </row>
    <row r="10" customFormat="false" ht="23.25" hidden="false" customHeight="true" outlineLevel="0" collapsed="false">
      <c r="B10" s="72"/>
      <c r="C10" s="72"/>
      <c r="D10" s="72"/>
      <c r="E10" s="149"/>
      <c r="F10" s="149"/>
      <c r="G10" s="149"/>
      <c r="H10" s="357" t="e">
        <f aca="false">E2</f>
        <v>#N/A</v>
      </c>
      <c r="I10" s="78"/>
      <c r="J10" s="78"/>
    </row>
    <row r="11" customFormat="false" ht="26.25" hidden="false" customHeight="true" outlineLevel="0" collapsed="false">
      <c r="B11" s="72"/>
      <c r="C11" s="79"/>
      <c r="D11" s="79"/>
      <c r="E11" s="358" t="e">
        <f aca="false">E3&amp;" - 11277 "</f>
        <v>#N/A</v>
      </c>
      <c r="F11" s="358"/>
      <c r="G11" s="358"/>
      <c r="H11" s="358"/>
      <c r="I11" s="78"/>
      <c r="J11" s="78"/>
    </row>
    <row r="12" customFormat="false" ht="22.5" hidden="false" customHeight="true" outlineLevel="0" collapsed="false">
      <c r="B12" s="72"/>
      <c r="C12" s="79"/>
      <c r="D12" s="79"/>
      <c r="E12" s="81" t="e">
        <f aca="false">E3</f>
        <v>#N/A</v>
      </c>
      <c r="F12" s="81"/>
      <c r="G12" s="81"/>
      <c r="H12" s="81"/>
      <c r="I12" s="82"/>
    </row>
    <row r="13" customFormat="false" ht="19.5" hidden="false" customHeight="true" outlineLevel="0" collapsed="false">
      <c r="B13" s="72"/>
      <c r="C13" s="79"/>
      <c r="D13" s="79"/>
      <c r="E13" s="81"/>
      <c r="F13" s="81"/>
      <c r="G13" s="81"/>
      <c r="H13" s="81"/>
      <c r="I13" s="82"/>
    </row>
    <row r="14" customFormat="false" ht="17.25" hidden="false" customHeight="true" outlineLevel="0" collapsed="false">
      <c r="B14" s="359" t="s">
        <v>359</v>
      </c>
      <c r="C14" s="84"/>
      <c r="D14" s="360"/>
      <c r="E14" s="361"/>
      <c r="F14" s="81"/>
      <c r="G14" s="362"/>
      <c r="H14" s="363" t="e">
        <f aca="false">E4</f>
        <v>#N/A</v>
      </c>
      <c r="I14" s="86"/>
      <c r="J14" s="87"/>
    </row>
    <row r="15" customFormat="false" ht="14.25" hidden="false" customHeight="true" outlineLevel="0" collapsed="false">
      <c r="B15" s="364" t="e">
        <f aca="false">E5</f>
        <v>#N/A</v>
      </c>
      <c r="C15" s="364"/>
      <c r="D15" s="364"/>
      <c r="E15" s="364"/>
      <c r="F15" s="364"/>
      <c r="G15" s="365"/>
      <c r="H15" s="363"/>
      <c r="I15" s="91"/>
      <c r="J15" s="92"/>
    </row>
    <row r="16" customFormat="false" ht="18" hidden="false" customHeight="true" outlineLevel="0" collapsed="false">
      <c r="B16" s="364"/>
      <c r="C16" s="364"/>
      <c r="D16" s="364"/>
      <c r="E16" s="364"/>
      <c r="F16" s="364"/>
      <c r="G16" s="365"/>
      <c r="H16" s="366"/>
      <c r="I16" s="91"/>
      <c r="J16" s="96"/>
    </row>
    <row r="17" customFormat="false" ht="17.25" hidden="false" customHeight="true" outlineLevel="0" collapsed="false">
      <c r="B17" s="97"/>
      <c r="C17" s="98"/>
      <c r="D17" s="99"/>
      <c r="E17" s="99"/>
      <c r="F17" s="99"/>
      <c r="G17" s="99"/>
      <c r="H17" s="100"/>
      <c r="I17" s="91"/>
      <c r="J17" s="87"/>
    </row>
    <row r="18" customFormat="false" ht="19.5" hidden="false" customHeight="true" outlineLevel="0" collapsed="false">
      <c r="B18" s="154"/>
      <c r="C18" s="155"/>
      <c r="D18" s="103"/>
      <c r="E18" s="104"/>
      <c r="F18" s="104"/>
      <c r="G18" s="104"/>
      <c r="H18" s="105" t="str">
        <f aca="false">IF(D22&lt;0,"&amp;sen","")</f>
        <v/>
      </c>
      <c r="I18" s="106"/>
      <c r="J18" s="107"/>
    </row>
    <row r="19" customFormat="false" ht="16.5" hidden="false" customHeight="true" outlineLevel="0" collapsed="false">
      <c r="B19" s="108"/>
      <c r="C19" s="90"/>
      <c r="D19" s="90"/>
      <c r="E19" s="94" t="s">
        <v>86</v>
      </c>
      <c r="F19" s="94"/>
      <c r="G19" s="94"/>
      <c r="H19" s="109"/>
      <c r="I19" s="110"/>
      <c r="J19" s="111"/>
    </row>
    <row r="20" customFormat="false" ht="16.5" hidden="false" customHeight="true" outlineLevel="0" collapsed="false">
      <c r="B20" s="108"/>
      <c r="C20" s="90"/>
      <c r="D20" s="90"/>
      <c r="E20" s="94"/>
      <c r="F20" s="94"/>
      <c r="G20" s="94"/>
      <c r="H20" s="109"/>
      <c r="I20" s="110"/>
      <c r="J20" s="111"/>
    </row>
    <row r="21" customFormat="false" ht="13.5" hidden="false" customHeight="true" outlineLevel="0" collapsed="false">
      <c r="B21" s="108"/>
      <c r="C21" s="90"/>
      <c r="D21" s="90"/>
      <c r="E21" s="94"/>
      <c r="F21" s="94"/>
      <c r="G21" s="94"/>
      <c r="H21" s="367" t="e">
        <f aca="false">H14</f>
        <v>#N/A</v>
      </c>
      <c r="I21" s="110"/>
      <c r="J21" s="111"/>
    </row>
    <row r="22" customFormat="false" ht="15.75" hidden="false" customHeight="true" outlineLevel="0" collapsed="false">
      <c r="B22" s="368" t="e">
        <f aca="false">'Rumus '!A537</f>
        <v>#N/A</v>
      </c>
      <c r="C22" s="369"/>
      <c r="D22" s="369"/>
      <c r="E22" s="369"/>
      <c r="F22" s="369"/>
      <c r="G22" s="113"/>
      <c r="H22" s="367"/>
      <c r="I22" s="115"/>
      <c r="J22" s="116"/>
    </row>
    <row r="23" customFormat="false" ht="12" hidden="false" customHeight="true" outlineLevel="0" collapsed="false">
      <c r="B23" s="117"/>
      <c r="C23" s="369"/>
      <c r="D23" s="369"/>
      <c r="E23" s="369"/>
      <c r="F23" s="369"/>
      <c r="G23" s="370"/>
      <c r="H23" s="370"/>
      <c r="I23" s="119"/>
      <c r="J23" s="120"/>
    </row>
    <row r="24" customFormat="false" ht="19.5" hidden="false" customHeight="true" outlineLevel="0" collapsed="false">
      <c r="B24" s="117"/>
      <c r="C24" s="370"/>
      <c r="D24" s="370"/>
      <c r="E24" s="370"/>
      <c r="F24" s="370"/>
      <c r="G24" s="370"/>
      <c r="H24" s="370"/>
      <c r="I24" s="121"/>
      <c r="J24" s="122"/>
      <c r="K24" s="122"/>
    </row>
    <row r="25" customFormat="false" ht="18.75" hidden="false" customHeight="true" outlineLevel="0" collapsed="false">
      <c r="B25" s="371"/>
      <c r="C25" s="372" t="s">
        <v>360</v>
      </c>
      <c r="D25" s="370"/>
      <c r="E25" s="370"/>
      <c r="F25" s="370"/>
      <c r="G25" s="370"/>
      <c r="H25" s="370"/>
      <c r="I25" s="121"/>
      <c r="J25" s="122"/>
      <c r="K25" s="122"/>
    </row>
    <row r="26" customFormat="false" ht="13.5" hidden="false" customHeight="true" outlineLevel="0" collapsed="false">
      <c r="B26" s="373"/>
      <c r="C26" s="372"/>
      <c r="D26" s="79"/>
      <c r="E26" s="79"/>
      <c r="F26" s="79"/>
      <c r="G26" s="79"/>
      <c r="H26" s="79" t="s">
        <v>88</v>
      </c>
      <c r="I26" s="123"/>
    </row>
    <row r="27" customFormat="false" ht="15.75" hidden="false" customHeight="true" outlineLevel="0" collapsed="false">
      <c r="B27" s="154"/>
      <c r="C27" s="154" t="s">
        <v>361</v>
      </c>
      <c r="D27" s="374"/>
      <c r="E27" s="374"/>
      <c r="F27" s="375"/>
      <c r="G27" s="375"/>
      <c r="H27" s="126"/>
      <c r="I27" s="123"/>
    </row>
    <row r="28" customFormat="false" ht="17.25" hidden="false" customHeight="true" outlineLevel="0" collapsed="false">
      <c r="B28" s="72"/>
      <c r="C28" s="159"/>
      <c r="D28" s="127"/>
      <c r="E28" s="127"/>
      <c r="F28" s="376"/>
      <c r="G28" s="376" t="s">
        <v>362</v>
      </c>
      <c r="H28" s="160"/>
    </row>
    <row r="31" customFormat="false" ht="15.75" hidden="false" customHeight="false" outlineLevel="0" collapsed="false">
      <c r="B31" s="129"/>
      <c r="I31" s="130"/>
    </row>
    <row r="32" customFormat="false" ht="15.75" hidden="false" customHeight="false" outlineLevel="0" collapsed="false">
      <c r="E32" s="131"/>
      <c r="F32" s="131"/>
      <c r="G32" s="131"/>
      <c r="I32" s="130"/>
    </row>
    <row r="33" customFormat="false" ht="15.75" hidden="false" customHeight="false" outlineLevel="0" collapsed="false">
      <c r="E33" s="131"/>
      <c r="F33" s="131"/>
      <c r="G33" s="131"/>
      <c r="I33" s="132"/>
    </row>
    <row r="34" customFormat="false" ht="15.75" hidden="false" customHeight="false" outlineLevel="0" collapsed="false">
      <c r="E34" s="131"/>
      <c r="F34" s="131"/>
      <c r="G34" s="131"/>
      <c r="I34" s="133"/>
    </row>
    <row r="35" customFormat="false" ht="15.75" hidden="false" customHeight="false" outlineLevel="0" collapsed="false">
      <c r="E35" s="131"/>
      <c r="F35" s="131"/>
      <c r="G35" s="131"/>
      <c r="I35" s="133"/>
    </row>
    <row r="36" customFormat="false" ht="15.75" hidden="false" customHeight="false" outlineLevel="0" collapsed="false">
      <c r="E36" s="131"/>
      <c r="F36" s="131"/>
      <c r="G36" s="131"/>
      <c r="I36" s="133"/>
    </row>
    <row r="37" customFormat="false" ht="15.75" hidden="false" customHeight="true" outlineLevel="0" collapsed="false">
      <c r="E37" s="131"/>
      <c r="F37" s="131"/>
      <c r="G37" s="131"/>
      <c r="I37" s="133"/>
    </row>
    <row r="38" customFormat="false" ht="15.75" hidden="false" customHeight="false" outlineLevel="0" collapsed="false">
      <c r="E38" s="131"/>
      <c r="F38" s="131"/>
      <c r="G38" s="131"/>
      <c r="I38" s="133"/>
    </row>
    <row r="39" customFormat="false" ht="15.75" hidden="false" customHeight="false" outlineLevel="0" collapsed="false">
      <c r="E39" s="131"/>
      <c r="F39" s="131"/>
      <c r="G39" s="131"/>
      <c r="I39" s="133"/>
    </row>
    <row r="40" customFormat="false" ht="15.75" hidden="false" customHeight="false" outlineLevel="0" collapsed="false">
      <c r="E40" s="131"/>
      <c r="F40" s="131"/>
      <c r="G40" s="131"/>
    </row>
    <row r="41" customFormat="false" ht="15.75" hidden="false" customHeight="false" outlineLevel="0" collapsed="false">
      <c r="E41" s="131"/>
      <c r="F41" s="131"/>
      <c r="G41" s="131"/>
    </row>
  </sheetData>
  <mergeCells count="12">
    <mergeCell ref="E2:H2"/>
    <mergeCell ref="E3:H3"/>
    <mergeCell ref="E4:H4"/>
    <mergeCell ref="E5:H5"/>
    <mergeCell ref="G8:H8"/>
    <mergeCell ref="E11:H11"/>
    <mergeCell ref="H14:H15"/>
    <mergeCell ref="B15:F16"/>
    <mergeCell ref="D17:E17"/>
    <mergeCell ref="H21:H22"/>
    <mergeCell ref="C25:C26"/>
    <mergeCell ref="D28:E28"/>
  </mergeCells>
  <printOptions headings="false" gridLines="false" gridLinesSet="true" horizontalCentered="false" verticalCentered="false"/>
  <pageMargins left="0.2" right="0.2" top="0.85" bottom="0.984027777777778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79.42"/>
  </cols>
  <sheetData>
    <row r="1" customFormat="false" ht="12.75" hidden="false" customHeight="false" outlineLevel="0" collapsed="false">
      <c r="A1" s="377"/>
    </row>
    <row r="2" customFormat="false" ht="15.75" hidden="false" customHeight="false" outlineLevel="0" collapsed="false">
      <c r="A2" s="378" t="s">
        <v>363</v>
      </c>
      <c r="B2" s="379"/>
    </row>
    <row r="3" customFormat="false" ht="15.75" hidden="false" customHeight="false" outlineLevel="0" collapsed="false">
      <c r="A3" s="380"/>
      <c r="B3" s="381"/>
    </row>
    <row r="4" customFormat="false" ht="15.75" hidden="false" customHeight="false" outlineLevel="0" collapsed="false">
      <c r="A4" s="378" t="s">
        <v>364</v>
      </c>
      <c r="B4" s="381"/>
    </row>
    <row r="5" customFormat="false" ht="15.75" hidden="false" customHeight="false" outlineLevel="0" collapsed="false">
      <c r="A5" s="380"/>
      <c r="B5" s="381"/>
    </row>
    <row r="6" customFormat="false" ht="15.75" hidden="false" customHeight="false" outlineLevel="0" collapsed="false">
      <c r="A6" s="378" t="s">
        <v>365</v>
      </c>
      <c r="B6" s="379"/>
    </row>
    <row r="7" customFormat="false" ht="15.75" hidden="false" customHeight="false" outlineLevel="0" collapsed="false">
      <c r="A7" s="380"/>
      <c r="B7" s="381"/>
    </row>
    <row r="8" customFormat="false" ht="15.75" hidden="false" customHeight="false" outlineLevel="0" collapsed="false">
      <c r="A8" s="378" t="s">
        <v>366</v>
      </c>
      <c r="B8" s="379"/>
    </row>
    <row r="9" customFormat="false" ht="15.75" hidden="false" customHeight="false" outlineLevel="0" collapsed="false">
      <c r="A9" s="380"/>
      <c r="B9" s="381"/>
    </row>
    <row r="10" customFormat="false" ht="15.75" hidden="false" customHeight="false" outlineLevel="0" collapsed="false">
      <c r="A10" s="378" t="s">
        <v>367</v>
      </c>
      <c r="B10" s="379"/>
    </row>
    <row r="11" customFormat="false" ht="15.75" hidden="false" customHeight="false" outlineLevel="0" collapsed="false">
      <c r="A11" s="380"/>
      <c r="B11" s="381"/>
    </row>
    <row r="12" customFormat="false" ht="15.75" hidden="false" customHeight="false" outlineLevel="0" collapsed="false">
      <c r="A12" s="378" t="s">
        <v>368</v>
      </c>
      <c r="B12" s="379"/>
    </row>
    <row r="13" customFormat="false" ht="15.75" hidden="false" customHeight="false" outlineLevel="0" collapsed="false">
      <c r="A13" s="378"/>
      <c r="B13" s="379"/>
    </row>
    <row r="14" customFormat="false" ht="15.75" hidden="false" customHeight="false" outlineLevel="0" collapsed="false">
      <c r="A14" s="378" t="s">
        <v>369</v>
      </c>
      <c r="B14" s="379"/>
    </row>
    <row r="15" customFormat="false" ht="15.75" hidden="false" customHeight="false" outlineLevel="0" collapsed="false">
      <c r="A15" s="380"/>
      <c r="B15" s="381"/>
    </row>
    <row r="16" customFormat="false" ht="15.75" hidden="false" customHeight="false" outlineLevel="0" collapsed="false">
      <c r="A16" s="378" t="s">
        <v>370</v>
      </c>
      <c r="B16" s="381"/>
    </row>
    <row r="17" customFormat="false" ht="15.75" hidden="false" customHeight="false" outlineLevel="0" collapsed="false">
      <c r="A17" s="382"/>
      <c r="B17" s="381"/>
    </row>
    <row r="18" customFormat="false" ht="15.75" hidden="false" customHeight="false" outlineLevel="0" collapsed="false">
      <c r="A18" s="378" t="s">
        <v>371</v>
      </c>
      <c r="B18" s="379"/>
    </row>
    <row r="19" customFormat="false" ht="12.75" hidden="false" customHeight="false" outlineLevel="0" collapsed="false">
      <c r="A19" s="381"/>
      <c r="B19" s="381"/>
    </row>
  </sheetData>
  <printOptions headings="false" gridLines="false" gridLinesSet="true" horizontalCentered="false" verticalCentered="false"/>
  <pageMargins left="0.7" right="0.7" top="0.2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25" activeCellId="0" sqref="D25:E25"/>
    </sheetView>
  </sheetViews>
  <sheetFormatPr defaultColWidth="11.5625" defaultRowHeight="15.75" customHeight="true" zeroHeight="false" outlineLevelRow="0" outlineLevelCol="0"/>
  <cols>
    <col collapsed="false" customWidth="true" hidden="false" outlineLevel="0" max="1" min="1" style="47" width="4.56"/>
    <col collapsed="false" customWidth="true" hidden="false" outlineLevel="0" max="2" min="2" style="47" width="3.7"/>
    <col collapsed="false" customWidth="true" hidden="false" outlineLevel="0" max="3" min="3" style="47" width="32.56"/>
    <col collapsed="false" customWidth="true" hidden="false" outlineLevel="0" max="4" min="4" style="47" width="2.7"/>
    <col collapsed="false" customWidth="true" hidden="false" outlineLevel="0" max="5" min="5" style="47" width="18.85"/>
    <col collapsed="false" customWidth="true" hidden="false" outlineLevel="0" max="6" min="6" style="47" width="26.99"/>
    <col collapsed="false" customWidth="true" hidden="false" outlineLevel="0" max="7" min="7" style="47" width="27.28"/>
    <col collapsed="false" customWidth="true" hidden="false" outlineLevel="0" max="8" min="8" style="47" width="13.41"/>
    <col collapsed="false" customWidth="true" hidden="false" outlineLevel="0" max="9" min="9" style="47" width="6.85"/>
    <col collapsed="false" customWidth="true" hidden="false" outlineLevel="0" max="10" min="10" style="47" width="3.56"/>
    <col collapsed="false" customWidth="true" hidden="false" outlineLevel="0" max="11" min="11" style="47" width="15.56"/>
    <col collapsed="false" customWidth="false" hidden="false" outlineLevel="0" max="257" min="12" style="47" width="11.56"/>
  </cols>
  <sheetData>
    <row r="1" customFormat="false" ht="15" hidden="false" customHeight="true" outlineLevel="0" collapsed="false">
      <c r="O1" s="69" t="s">
        <v>84</v>
      </c>
    </row>
    <row r="2" customFormat="false" ht="6.75" hidden="false" customHeight="true" outlineLevel="0" collapsed="false">
      <c r="F2" s="69"/>
      <c r="G2" s="69"/>
    </row>
    <row r="3" customFormat="false" ht="18" hidden="false" customHeight="true" outlineLevel="0" collapsed="false">
      <c r="B3" s="70"/>
      <c r="C3" s="383" t="s">
        <v>372</v>
      </c>
      <c r="D3" s="384" t="n">
        <f aca="true">NOW()</f>
        <v>46314.6141971068</v>
      </c>
      <c r="E3" s="384"/>
      <c r="F3" s="74"/>
      <c r="G3" s="75"/>
      <c r="H3" s="75"/>
    </row>
    <row r="4" customFormat="false" ht="27.75" hidden="false" customHeight="true" outlineLevel="0" collapsed="false">
      <c r="B4" s="76"/>
      <c r="C4" s="72"/>
      <c r="D4" s="72"/>
      <c r="E4" s="72"/>
      <c r="F4" s="72"/>
    </row>
    <row r="5" customFormat="false" ht="23.25" hidden="false" customHeight="true" outlineLevel="0" collapsed="false">
      <c r="B5" s="72"/>
      <c r="C5" s="385" t="s">
        <v>373</v>
      </c>
      <c r="D5" s="72"/>
      <c r="E5" s="77" t="s">
        <v>374</v>
      </c>
      <c r="F5" s="77"/>
      <c r="G5" s="78"/>
      <c r="H5" s="78"/>
    </row>
    <row r="6" customFormat="false" ht="19.5" hidden="false" customHeight="true" outlineLevel="0" collapsed="false">
      <c r="B6" s="72"/>
      <c r="C6" s="385"/>
      <c r="D6" s="79"/>
      <c r="E6" s="80" t="s">
        <v>375</v>
      </c>
      <c r="F6" s="80"/>
      <c r="G6" s="78"/>
      <c r="H6" s="78"/>
    </row>
    <row r="7" customFormat="false" ht="22.5" hidden="false" customHeight="true" outlineLevel="0" collapsed="false">
      <c r="B7" s="72"/>
      <c r="C7" s="79"/>
      <c r="D7" s="79"/>
      <c r="E7" s="81" t="e">
        <f aca="false">#REF!</f>
        <v>#REF!</v>
      </c>
      <c r="F7" s="81"/>
      <c r="G7" s="82"/>
    </row>
    <row r="8" customFormat="false" ht="39" hidden="false" customHeight="true" outlineLevel="0" collapsed="false">
      <c r="B8" s="83"/>
      <c r="C8" s="386" t="s">
        <v>376</v>
      </c>
      <c r="D8" s="85" t="n">
        <v>811000</v>
      </c>
      <c r="E8" s="85"/>
      <c r="F8" s="79" t="s">
        <v>86</v>
      </c>
      <c r="G8" s="86"/>
      <c r="H8" s="87"/>
    </row>
    <row r="9" customFormat="false" ht="14.25" hidden="false" customHeight="true" outlineLevel="0" collapsed="false">
      <c r="B9" s="83"/>
      <c r="C9" s="387" t="s">
        <v>377</v>
      </c>
      <c r="D9" s="89"/>
      <c r="E9" s="89"/>
      <c r="F9" s="90" t="s">
        <v>86</v>
      </c>
      <c r="G9" s="91"/>
      <c r="H9" s="92"/>
    </row>
    <row r="10" customFormat="false" ht="18" hidden="false" customHeight="true" outlineLevel="0" collapsed="false">
      <c r="B10" s="93"/>
      <c r="C10" s="388"/>
      <c r="D10" s="72"/>
      <c r="E10" s="94"/>
      <c r="F10" s="95"/>
      <c r="G10" s="91"/>
      <c r="H10" s="96"/>
    </row>
    <row r="11" customFormat="false" ht="17.25" hidden="false" customHeight="true" outlineLevel="0" collapsed="false">
      <c r="B11" s="97"/>
      <c r="C11" s="103" t="s">
        <v>378</v>
      </c>
      <c r="D11" s="389"/>
      <c r="E11" s="389"/>
      <c r="F11" s="100"/>
      <c r="G11" s="91"/>
      <c r="H11" s="87"/>
    </row>
    <row r="12" customFormat="false" ht="19.5" hidden="false" customHeight="true" outlineLevel="0" collapsed="false">
      <c r="B12" s="101"/>
      <c r="C12" s="390"/>
      <c r="D12" s="103"/>
      <c r="E12" s="104"/>
      <c r="F12" s="105"/>
      <c r="G12" s="106"/>
      <c r="H12" s="107"/>
    </row>
    <row r="13" customFormat="false" ht="15" hidden="false" customHeight="true" outlineLevel="0" collapsed="false">
      <c r="B13" s="108"/>
      <c r="C13" s="90"/>
      <c r="D13" s="90"/>
      <c r="E13" s="94" t="s">
        <v>86</v>
      </c>
      <c r="F13" s="109"/>
      <c r="G13" s="110"/>
      <c r="H13" s="111"/>
    </row>
    <row r="14" customFormat="false" ht="26.25" hidden="false" customHeight="true" outlineLevel="0" collapsed="false">
      <c r="B14" s="112" t="s">
        <v>86</v>
      </c>
      <c r="C14" s="391" t="s">
        <v>379</v>
      </c>
      <c r="D14" s="113" t="n">
        <f aca="false">D8</f>
        <v>811000</v>
      </c>
      <c r="E14" s="113"/>
      <c r="F14" s="114"/>
      <c r="G14" s="115"/>
      <c r="H14" s="116"/>
    </row>
    <row r="15" customFormat="false" ht="6" hidden="false" customHeight="true" outlineLevel="0" collapsed="false">
      <c r="B15" s="117"/>
      <c r="C15" s="392" t="e">
        <f aca="false">'Rumus '!A172</f>
        <v>#N/A</v>
      </c>
      <c r="D15" s="392"/>
      <c r="E15" s="392"/>
      <c r="F15" s="392"/>
      <c r="G15" s="119"/>
      <c r="H15" s="120"/>
    </row>
    <row r="16" customFormat="false" ht="15" hidden="false" customHeight="true" outlineLevel="0" collapsed="false">
      <c r="B16" s="117"/>
      <c r="C16" s="392"/>
      <c r="D16" s="392"/>
      <c r="E16" s="392"/>
      <c r="F16" s="392"/>
      <c r="G16" s="121"/>
      <c r="H16" s="122"/>
      <c r="I16" s="122"/>
    </row>
    <row r="17" customFormat="false" ht="6" hidden="false" customHeight="true" outlineLevel="0" collapsed="false">
      <c r="B17" s="117"/>
      <c r="C17" s="392"/>
      <c r="D17" s="392"/>
      <c r="E17" s="392"/>
      <c r="F17" s="392"/>
      <c r="G17" s="121"/>
      <c r="H17" s="122"/>
      <c r="I17" s="122"/>
    </row>
    <row r="18" customFormat="false" ht="2.25" hidden="false" customHeight="true" outlineLevel="0" collapsed="false">
      <c r="B18" s="72"/>
      <c r="C18" s="79"/>
      <c r="D18" s="79"/>
      <c r="E18" s="79"/>
      <c r="F18" s="79" t="s">
        <v>88</v>
      </c>
      <c r="G18" s="123"/>
    </row>
    <row r="19" customFormat="false" ht="15.75" hidden="false" customHeight="false" outlineLevel="0" collapsed="false">
      <c r="B19" s="72"/>
      <c r="C19" s="393"/>
      <c r="D19" s="374" t="s">
        <v>380</v>
      </c>
      <c r="E19" s="374"/>
      <c r="F19" s="126"/>
      <c r="G19" s="123"/>
    </row>
    <row r="20" customFormat="false" ht="15.75" hidden="false" customHeight="false" outlineLevel="0" collapsed="false">
      <c r="B20" s="72"/>
      <c r="C20" s="393"/>
      <c r="D20" s="127" t="s">
        <v>95</v>
      </c>
      <c r="E20" s="127"/>
      <c r="F20" s="160" t="s">
        <v>381</v>
      </c>
    </row>
    <row r="23" customFormat="false" ht="15.75" hidden="false" customHeight="false" outlineLevel="0" collapsed="false">
      <c r="B23" s="129"/>
      <c r="G23" s="130"/>
    </row>
    <row r="24" customFormat="false" ht="15.75" hidden="false" customHeight="false" outlineLevel="0" collapsed="false">
      <c r="E24" s="131"/>
      <c r="G24" s="130"/>
    </row>
    <row r="25" customFormat="false" ht="18" hidden="false" customHeight="true" outlineLevel="0" collapsed="false">
      <c r="B25" s="70"/>
      <c r="C25" s="383"/>
      <c r="D25" s="384"/>
      <c r="E25" s="384"/>
      <c r="F25" s="74"/>
      <c r="G25" s="75"/>
      <c r="H25" s="75"/>
    </row>
    <row r="26" customFormat="false" ht="27.75" hidden="false" customHeight="true" outlineLevel="0" collapsed="false">
      <c r="B26" s="76"/>
      <c r="C26" s="72"/>
      <c r="D26" s="72"/>
      <c r="E26" s="72"/>
      <c r="F26" s="72"/>
    </row>
    <row r="27" customFormat="false" ht="23.25" hidden="false" customHeight="true" outlineLevel="0" collapsed="false">
      <c r="B27" s="394" t="s">
        <v>382</v>
      </c>
      <c r="C27" s="394"/>
      <c r="D27" s="394"/>
      <c r="E27" s="394"/>
      <c r="F27" s="394"/>
      <c r="G27" s="78"/>
      <c r="H27" s="78"/>
    </row>
    <row r="28" customFormat="false" ht="19.5" hidden="false" customHeight="true" outlineLevel="0" collapsed="false">
      <c r="B28" s="72"/>
      <c r="C28" s="79"/>
      <c r="D28" s="79"/>
      <c r="E28" s="80"/>
      <c r="F28" s="80"/>
      <c r="G28" s="78"/>
      <c r="H28" s="78"/>
    </row>
    <row r="29" customFormat="false" ht="22.5" hidden="false" customHeight="true" outlineLevel="0" collapsed="false">
      <c r="B29" s="72"/>
      <c r="C29" s="79"/>
      <c r="D29" s="79"/>
      <c r="E29" s="81"/>
      <c r="F29" s="81"/>
      <c r="G29" s="82"/>
    </row>
    <row r="30" customFormat="false" ht="12.75" hidden="false" customHeight="true" outlineLevel="0" collapsed="false">
      <c r="B30" s="83"/>
      <c r="C30" s="386"/>
      <c r="D30" s="360"/>
      <c r="E30" s="395"/>
      <c r="F30" s="79" t="s">
        <v>86</v>
      </c>
      <c r="G30" s="86"/>
      <c r="H30" s="87"/>
    </row>
    <row r="31" customFormat="false" ht="14.25" hidden="false" customHeight="true" outlineLevel="0" collapsed="false">
      <c r="B31" s="83"/>
      <c r="C31" s="387"/>
      <c r="D31" s="89"/>
      <c r="E31" s="89"/>
      <c r="F31" s="90" t="s">
        <v>86</v>
      </c>
      <c r="G31" s="91"/>
      <c r="H31" s="92"/>
    </row>
    <row r="32" customFormat="false" ht="18" hidden="false" customHeight="true" outlineLevel="0" collapsed="false">
      <c r="B32" s="93"/>
      <c r="C32" s="388"/>
      <c r="D32" s="72"/>
      <c r="E32" s="94"/>
      <c r="F32" s="95"/>
      <c r="G32" s="91"/>
      <c r="H32" s="96"/>
    </row>
    <row r="33" customFormat="false" ht="17.25" hidden="false" customHeight="true" outlineLevel="0" collapsed="false">
      <c r="B33" s="97"/>
      <c r="C33" s="103"/>
      <c r="D33" s="389"/>
      <c r="E33" s="389"/>
      <c r="F33" s="100"/>
      <c r="G33" s="91"/>
      <c r="H33" s="87"/>
    </row>
    <row r="34" customFormat="false" ht="19.5" hidden="false" customHeight="true" outlineLevel="0" collapsed="false">
      <c r="B34" s="101"/>
      <c r="C34" s="102"/>
      <c r="D34" s="103"/>
      <c r="E34" s="104"/>
      <c r="F34" s="105"/>
      <c r="G34" s="106"/>
      <c r="H34" s="107"/>
    </row>
    <row r="35" customFormat="false" ht="15" hidden="false" customHeight="true" outlineLevel="0" collapsed="false">
      <c r="B35" s="108"/>
      <c r="C35" s="90"/>
      <c r="D35" s="90"/>
      <c r="E35" s="94"/>
      <c r="F35" s="109"/>
      <c r="G35" s="110"/>
      <c r="H35" s="111"/>
    </row>
    <row r="36" customFormat="false" ht="26.25" hidden="false" customHeight="true" outlineLevel="0" collapsed="false">
      <c r="B36" s="112" t="s">
        <v>86</v>
      </c>
      <c r="C36" s="90"/>
      <c r="D36" s="113"/>
      <c r="E36" s="113"/>
      <c r="F36" s="114"/>
      <c r="G36" s="115"/>
      <c r="H36" s="116"/>
    </row>
    <row r="37" customFormat="false" ht="6" hidden="false" customHeight="true" outlineLevel="0" collapsed="false">
      <c r="B37" s="117"/>
      <c r="C37" s="392" t="e">
        <f aca="false">fredi(D36)&amp;" rupiah"</f>
        <v>#VALUE!</v>
      </c>
      <c r="D37" s="392"/>
      <c r="E37" s="392"/>
      <c r="F37" s="392"/>
      <c r="G37" s="119"/>
      <c r="H37" s="120"/>
    </row>
    <row r="38" customFormat="false" ht="15" hidden="false" customHeight="true" outlineLevel="0" collapsed="false">
      <c r="B38" s="117"/>
      <c r="C38" s="392"/>
      <c r="D38" s="392"/>
      <c r="E38" s="392"/>
      <c r="F38" s="392"/>
      <c r="G38" s="121"/>
      <c r="H38" s="122"/>
      <c r="I38" s="122"/>
    </row>
    <row r="39" customFormat="false" ht="6" hidden="false" customHeight="true" outlineLevel="0" collapsed="false">
      <c r="B39" s="117"/>
      <c r="C39" s="392"/>
      <c r="D39" s="392"/>
      <c r="E39" s="392"/>
      <c r="F39" s="392"/>
      <c r="G39" s="121"/>
      <c r="H39" s="122"/>
      <c r="I39" s="122"/>
    </row>
    <row r="40" customFormat="false" ht="2.25" hidden="false" customHeight="true" outlineLevel="0" collapsed="false">
      <c r="B40" s="72"/>
      <c r="C40" s="79"/>
      <c r="D40" s="79"/>
      <c r="E40" s="79"/>
      <c r="F40" s="79" t="s">
        <v>88</v>
      </c>
      <c r="G40" s="123"/>
    </row>
    <row r="41" customFormat="false" ht="15.75" hidden="false" customHeight="false" outlineLevel="0" collapsed="false">
      <c r="B41" s="72"/>
      <c r="C41" s="393"/>
      <c r="D41" s="125" t="s">
        <v>71</v>
      </c>
      <c r="E41" s="125"/>
      <c r="F41" s="126"/>
      <c r="G41" s="123"/>
    </row>
    <row r="42" customFormat="false" ht="15.75" hidden="false" customHeight="false" outlineLevel="0" collapsed="false">
      <c r="B42" s="72"/>
      <c r="C42" s="393"/>
      <c r="D42" s="127" t="s">
        <v>383</v>
      </c>
      <c r="E42" s="127"/>
      <c r="F42" s="160" t="s">
        <v>384</v>
      </c>
    </row>
  </sheetData>
  <mergeCells count="17">
    <mergeCell ref="D3:E3"/>
    <mergeCell ref="C5:C6"/>
    <mergeCell ref="E5:F5"/>
    <mergeCell ref="E6:F6"/>
    <mergeCell ref="D8:E8"/>
    <mergeCell ref="D9:E9"/>
    <mergeCell ref="D14:E14"/>
    <mergeCell ref="C15:F17"/>
    <mergeCell ref="D20:E20"/>
    <mergeCell ref="D25:E25"/>
    <mergeCell ref="B27:F27"/>
    <mergeCell ref="E28:F28"/>
    <mergeCell ref="D31:E31"/>
    <mergeCell ref="D36:E36"/>
    <mergeCell ref="C37:F39"/>
    <mergeCell ref="D41:E41"/>
    <mergeCell ref="D42:E42"/>
  </mergeCells>
  <printOptions headings="false" gridLines="false" gridLinesSet="true" horizontalCentered="false" verticalCentered="false"/>
  <pageMargins left="0.75" right="0.75" top="0.97986111111111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11" activeCellId="0" sqref="J1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5.28"/>
    <col collapsed="false" customWidth="true" hidden="false" outlineLevel="0" max="2" min="2" style="0" width="1.41"/>
    <col collapsed="false" customWidth="true" hidden="false" outlineLevel="0" max="3" min="3" style="0" width="21.84"/>
    <col collapsed="false" customWidth="true" hidden="false" outlineLevel="0" max="4" min="4" style="0" width="1.99"/>
    <col collapsed="false" customWidth="true" hidden="false" outlineLevel="0" max="5" min="5" style="0" width="4.41"/>
    <col collapsed="false" customWidth="true" hidden="false" outlineLevel="0" max="6" min="6" style="0" width="27.56"/>
    <col collapsed="false" customWidth="true" hidden="false" outlineLevel="0" max="7" min="7" style="0" width="1.13"/>
  </cols>
  <sheetData>
    <row r="1" customFormat="false" ht="18" hidden="false" customHeight="false" outlineLevel="0" collapsed="false">
      <c r="A1" s="48" t="n">
        <v>37</v>
      </c>
      <c r="B1" s="396"/>
      <c r="C1" s="397" t="s">
        <v>66</v>
      </c>
    </row>
    <row r="2" customFormat="false" ht="7.5" hidden="false" customHeight="true" outlineLevel="0" collapsed="false">
      <c r="A2" s="396"/>
      <c r="B2" s="398"/>
      <c r="C2" s="399" t="s">
        <v>385</v>
      </c>
      <c r="D2" s="399"/>
      <c r="E2" s="399"/>
      <c r="F2" s="399"/>
      <c r="G2" s="400"/>
    </row>
    <row r="3" customFormat="false" ht="18" hidden="false" customHeight="true" outlineLevel="0" collapsed="false">
      <c r="B3" s="401"/>
      <c r="C3" s="399"/>
      <c r="D3" s="399"/>
      <c r="E3" s="399"/>
      <c r="F3" s="399"/>
      <c r="G3" s="402"/>
    </row>
    <row r="4" customFormat="false" ht="25.5" hidden="false" customHeight="true" outlineLevel="0" collapsed="false">
      <c r="B4" s="401"/>
      <c r="C4" s="403" t="s">
        <v>386</v>
      </c>
      <c r="D4" s="404" t="s">
        <v>69</v>
      </c>
      <c r="E4" s="405" t="n">
        <f aca="false">VLOOKUP(A1,Original!A1:AL101,4)</f>
        <v>0</v>
      </c>
      <c r="F4" s="405"/>
      <c r="G4" s="402"/>
    </row>
    <row r="5" customFormat="false" ht="25.5" hidden="false" customHeight="true" outlineLevel="0" collapsed="false">
      <c r="B5" s="401"/>
      <c r="C5" s="403" t="s">
        <v>68</v>
      </c>
      <c r="D5" s="404" t="s">
        <v>69</v>
      </c>
      <c r="E5" s="406" t="n">
        <f aca="false">VLOOKUP(A1,Original!A1:AL101,5)</f>
        <v>0</v>
      </c>
      <c r="F5" s="406"/>
      <c r="G5" s="402"/>
    </row>
    <row r="6" customFormat="false" ht="25.5" hidden="false" customHeight="true" outlineLevel="0" collapsed="false">
      <c r="B6" s="401"/>
      <c r="C6" s="403" t="s">
        <v>7</v>
      </c>
      <c r="D6" s="404" t="s">
        <v>69</v>
      </c>
      <c r="E6" s="407" t="s">
        <v>387</v>
      </c>
      <c r="F6" s="408" t="n">
        <v>8500</v>
      </c>
      <c r="G6" s="402"/>
    </row>
    <row r="7" customFormat="false" ht="25.5" hidden="false" customHeight="true" outlineLevel="0" collapsed="false">
      <c r="B7" s="401"/>
      <c r="C7" s="409" t="s">
        <v>388</v>
      </c>
      <c r="D7" s="223" t="s">
        <v>69</v>
      </c>
      <c r="E7" s="410"/>
      <c r="F7" s="410"/>
      <c r="G7" s="402"/>
    </row>
    <row r="8" customFormat="false" ht="25.5" hidden="false" customHeight="true" outlineLevel="0" collapsed="false">
      <c r="B8" s="401"/>
      <c r="C8" s="409" t="s">
        <v>389</v>
      </c>
      <c r="D8" s="223" t="s">
        <v>69</v>
      </c>
      <c r="E8" s="411"/>
      <c r="F8" s="411"/>
      <c r="G8" s="402"/>
    </row>
    <row r="9" customFormat="false" ht="7.5" hidden="false" customHeight="true" outlineLevel="0" collapsed="false">
      <c r="B9" s="412"/>
      <c r="C9" s="413"/>
      <c r="D9" s="413"/>
      <c r="E9" s="413"/>
      <c r="F9" s="413"/>
      <c r="G9" s="414"/>
    </row>
  </sheetData>
  <mergeCells count="5">
    <mergeCell ref="C2:F3"/>
    <mergeCell ref="E4:F4"/>
    <mergeCell ref="E5:F5"/>
    <mergeCell ref="E7:F7"/>
    <mergeCell ref="E8:F8"/>
  </mergeCells>
  <printOptions headings="false" gridLines="false" gridLinesSet="true" horizontalCentered="false" verticalCentered="false"/>
  <pageMargins left="0.2" right="0.170138888888889" top="0.490277777777778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6" activeCellId="0" sqref="C6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61" width="0.41"/>
    <col collapsed="false" customWidth="true" hidden="false" outlineLevel="0" max="2" min="2" style="162" width="21.13"/>
    <col collapsed="false" customWidth="false" hidden="false" outlineLevel="0" max="4" min="3" style="162" width="9.14"/>
    <col collapsed="false" customWidth="true" hidden="false" outlineLevel="0" max="5" min="5" style="162" width="14.56"/>
    <col collapsed="false" customWidth="true" hidden="false" outlineLevel="0" max="6" min="6" style="162" width="16.7"/>
    <col collapsed="false" customWidth="true" hidden="false" outlineLevel="0" max="7" min="7" style="162" width="17.28"/>
    <col collapsed="false" customWidth="false" hidden="false" outlineLevel="0" max="257" min="8" style="161" width="9.14"/>
  </cols>
  <sheetData>
    <row r="3" customFormat="false" ht="9" hidden="false" customHeight="true" outlineLevel="0" collapsed="false"/>
    <row r="4" customFormat="false" ht="75.75" hidden="false" customHeight="true" outlineLevel="0" collapsed="false">
      <c r="B4" s="163"/>
      <c r="C4" s="163"/>
      <c r="D4" s="163" t="s">
        <v>390</v>
      </c>
      <c r="E4" s="163"/>
      <c r="F4" s="163"/>
      <c r="G4" s="163"/>
    </row>
    <row r="5" customFormat="false" ht="6.75" hidden="false" customHeight="true" outlineLevel="0" collapsed="false">
      <c r="B5" s="163"/>
      <c r="C5" s="163"/>
      <c r="D5" s="163"/>
      <c r="E5" s="163"/>
      <c r="F5" s="163"/>
      <c r="G5" s="163"/>
    </row>
    <row r="6" customFormat="false" ht="34.5" hidden="false" customHeight="true" outlineLevel="0" collapsed="false">
      <c r="B6" s="163"/>
      <c r="C6" s="167" t="s">
        <v>129</v>
      </c>
      <c r="D6" s="163"/>
      <c r="E6" s="163"/>
      <c r="F6" s="163"/>
      <c r="G6" s="163"/>
    </row>
    <row r="7" customFormat="false" ht="27.75" hidden="false" customHeight="true" outlineLevel="0" collapsed="false">
      <c r="B7" s="163"/>
      <c r="C7" s="163" t="s">
        <v>391</v>
      </c>
      <c r="D7" s="163"/>
      <c r="E7" s="163"/>
      <c r="F7" s="163"/>
      <c r="G7" s="163"/>
    </row>
    <row r="8" customFormat="false" ht="23.25" hidden="false" customHeight="true" outlineLevel="0" collapsed="false">
      <c r="B8" s="163"/>
      <c r="C8" s="163" t="str">
        <f aca="false">"Penarikkan Tunai "&amp;'OVB All Suspend'!C11</f>
        <v>Penarikkan Tunai Tarik tunai Petty Cash + Tunj Pulsa</v>
      </c>
      <c r="D8" s="163"/>
      <c r="E8" s="163"/>
      <c r="F8" s="163"/>
      <c r="G8" s="163"/>
    </row>
    <row r="9" customFormat="false" ht="18" hidden="false" customHeight="true" outlineLevel="0" collapsed="false">
      <c r="B9" s="163"/>
      <c r="C9" s="163"/>
      <c r="D9" s="163"/>
      <c r="E9" s="163"/>
      <c r="F9" s="174"/>
      <c r="G9" s="163"/>
    </row>
    <row r="10" customFormat="false" ht="13.5" hidden="false" customHeight="true" outlineLevel="0" collapsed="false">
      <c r="B10" s="163"/>
      <c r="C10" s="163"/>
      <c r="D10" s="163"/>
      <c r="E10" s="163"/>
      <c r="F10" s="163"/>
      <c r="G10" s="163"/>
    </row>
    <row r="11" customFormat="false" ht="0.75" hidden="false" customHeight="true" outlineLevel="0" collapsed="false">
      <c r="B11" s="163"/>
      <c r="C11" s="163"/>
      <c r="D11" s="163" t="s">
        <v>86</v>
      </c>
      <c r="E11" s="163"/>
      <c r="F11" s="163"/>
      <c r="G11" s="163"/>
    </row>
    <row r="12" customFormat="false" ht="12.75" hidden="false" customHeight="true" outlineLevel="0" collapsed="false">
      <c r="B12" s="163"/>
      <c r="C12" s="163"/>
      <c r="D12" s="163"/>
      <c r="E12" s="163"/>
      <c r="F12" s="163"/>
      <c r="G12" s="415" t="n">
        <v>811000</v>
      </c>
    </row>
    <row r="13" customFormat="false" ht="15" hidden="true" customHeight="false" outlineLevel="0" collapsed="false">
      <c r="B13" s="163"/>
      <c r="C13" s="163"/>
      <c r="D13" s="163"/>
      <c r="E13" s="163"/>
      <c r="F13" s="163"/>
      <c r="G13" s="163"/>
    </row>
    <row r="14" customFormat="false" ht="48" hidden="false" customHeight="true" outlineLevel="0" collapsed="false">
      <c r="B14" s="416" t="e">
        <f aca="false">'Rumus '!A172</f>
        <v>#N/A</v>
      </c>
      <c r="C14" s="163"/>
      <c r="D14" s="163"/>
      <c r="E14" s="163"/>
      <c r="F14" s="163"/>
      <c r="G14" s="163"/>
    </row>
    <row r="15" customFormat="false" ht="15" hidden="false" customHeight="false" outlineLevel="0" collapsed="false">
      <c r="B15" s="163"/>
      <c r="C15" s="163"/>
      <c r="D15" s="163"/>
      <c r="E15" s="163"/>
      <c r="F15" s="163"/>
      <c r="G15" s="163"/>
    </row>
    <row r="16" customFormat="false" ht="26.25" hidden="false" customHeight="true" outlineLevel="0" collapsed="false">
      <c r="B16" s="163"/>
      <c r="C16" s="163"/>
      <c r="D16" s="163"/>
      <c r="E16" s="163"/>
      <c r="F16" s="417" t="s">
        <v>128</v>
      </c>
      <c r="G16" s="179" t="n">
        <f aca="true">NOW()</f>
        <v>46314.614197484</v>
      </c>
    </row>
  </sheetData>
  <printOptions headings="false" gridLines="false" gridLinesSet="true" horizontalCentered="false" verticalCentered="false"/>
  <pageMargins left="0.75" right="0.75" top="0.7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2" min="2" style="0" width="4.28"/>
    <col collapsed="false" customWidth="true" hidden="false" outlineLevel="0" max="3" min="3" style="0" width="52.85"/>
  </cols>
  <sheetData>
    <row r="2" customFormat="false" ht="20.25" hidden="false" customHeight="false" outlineLevel="0" collapsed="false">
      <c r="A2" s="418"/>
      <c r="B2" s="419"/>
      <c r="C2" s="420" t="s">
        <v>392</v>
      </c>
    </row>
    <row r="3" customFormat="false" ht="20.25" hidden="false" customHeight="false" outlineLevel="0" collapsed="false">
      <c r="A3" s="418"/>
      <c r="B3" s="419"/>
      <c r="C3" s="421" t="s">
        <v>177</v>
      </c>
    </row>
    <row r="4" customFormat="false" ht="20.25" hidden="false" customHeight="false" outlineLevel="0" collapsed="false">
      <c r="C4" s="422"/>
    </row>
    <row r="5" customFormat="false" ht="20.25" hidden="false" customHeight="false" outlineLevel="0" collapsed="false">
      <c r="A5" s="418"/>
      <c r="B5" s="419"/>
      <c r="C5" s="420" t="s">
        <v>393</v>
      </c>
    </row>
    <row r="6" customFormat="false" ht="20.25" hidden="false" customHeight="false" outlineLevel="0" collapsed="false">
      <c r="A6" s="418"/>
      <c r="B6" s="419"/>
      <c r="C6" s="421" t="s">
        <v>177</v>
      </c>
    </row>
    <row r="7" customFormat="false" ht="20.25" hidden="false" customHeight="false" outlineLevel="0" collapsed="false">
      <c r="C7" s="422"/>
    </row>
    <row r="8" customFormat="false" ht="20.25" hidden="false" customHeight="false" outlineLevel="0" collapsed="false">
      <c r="A8" s="418"/>
      <c r="B8" s="419"/>
      <c r="C8" s="420" t="s">
        <v>394</v>
      </c>
    </row>
    <row r="9" customFormat="false" ht="20.25" hidden="false" customHeight="false" outlineLevel="0" collapsed="false">
      <c r="A9" s="418"/>
      <c r="B9" s="419"/>
      <c r="C9" s="421" t="s">
        <v>177</v>
      </c>
    </row>
    <row r="10" customFormat="false" ht="20.25" hidden="false" customHeight="false" outlineLevel="0" collapsed="false">
      <c r="C10" s="422"/>
    </row>
    <row r="11" customFormat="false" ht="20.25" hidden="false" customHeight="false" outlineLevel="0" collapsed="false">
      <c r="A11" s="418"/>
      <c r="B11" s="419"/>
      <c r="C11" s="420" t="s">
        <v>395</v>
      </c>
    </row>
    <row r="12" customFormat="false" ht="20.25" hidden="false" customHeight="false" outlineLevel="0" collapsed="false">
      <c r="A12" s="418"/>
      <c r="B12" s="419"/>
      <c r="C12" s="421" t="s">
        <v>177</v>
      </c>
    </row>
    <row r="13" customFormat="false" ht="20.25" hidden="false" customHeight="false" outlineLevel="0" collapsed="false">
      <c r="C13" s="422"/>
    </row>
    <row r="14" customFormat="false" ht="20.25" hidden="false" customHeight="false" outlineLevel="0" collapsed="false">
      <c r="A14" s="418"/>
      <c r="B14" s="419"/>
      <c r="C14" s="420" t="s">
        <v>396</v>
      </c>
    </row>
    <row r="15" customFormat="false" ht="20.25" hidden="false" customHeight="false" outlineLevel="0" collapsed="false">
      <c r="A15" s="418"/>
      <c r="B15" s="419"/>
      <c r="C15" s="421" t="s">
        <v>177</v>
      </c>
    </row>
    <row r="16" customFormat="false" ht="20.25" hidden="false" customHeight="false" outlineLevel="0" collapsed="false">
      <c r="C16" s="422"/>
    </row>
    <row r="17" customFormat="false" ht="20.25" hidden="false" customHeight="false" outlineLevel="0" collapsed="false">
      <c r="A17" s="418"/>
      <c r="B17" s="419"/>
      <c r="C17" s="420" t="s">
        <v>397</v>
      </c>
    </row>
    <row r="18" customFormat="false" ht="20.25" hidden="false" customHeight="false" outlineLevel="0" collapsed="false">
      <c r="A18" s="418"/>
      <c r="B18" s="419"/>
      <c r="C18" s="421" t="s">
        <v>177</v>
      </c>
    </row>
    <row r="19" customFormat="false" ht="20.25" hidden="false" customHeight="false" outlineLevel="0" collapsed="false">
      <c r="C19" s="422"/>
    </row>
    <row r="20" customFormat="false" ht="20.25" hidden="false" customHeight="false" outlineLevel="0" collapsed="false">
      <c r="A20" s="418"/>
      <c r="B20" s="419"/>
      <c r="C20" s="420" t="s">
        <v>398</v>
      </c>
    </row>
    <row r="21" customFormat="false" ht="20.25" hidden="false" customHeight="false" outlineLevel="0" collapsed="false">
      <c r="A21" s="418"/>
      <c r="B21" s="419"/>
      <c r="C21" s="421" t="s">
        <v>177</v>
      </c>
    </row>
    <row r="23" customFormat="false" ht="20.25" hidden="false" customHeight="false" outlineLevel="0" collapsed="false">
      <c r="A23" s="418"/>
      <c r="B23" s="419"/>
      <c r="C23" s="420" t="s">
        <v>399</v>
      </c>
    </row>
    <row r="24" customFormat="false" ht="20.25" hidden="false" customHeight="false" outlineLevel="0" collapsed="false">
      <c r="A24" s="418"/>
      <c r="B24" s="419"/>
      <c r="C24" s="421" t="s">
        <v>177</v>
      </c>
    </row>
  </sheetData>
  <mergeCells count="16">
    <mergeCell ref="A2:A3"/>
    <mergeCell ref="B2:B3"/>
    <mergeCell ref="A5:A6"/>
    <mergeCell ref="B5:B6"/>
    <mergeCell ref="A8:A9"/>
    <mergeCell ref="B8:B9"/>
    <mergeCell ref="A11:A12"/>
    <mergeCell ref="B11:B12"/>
    <mergeCell ref="A14:A15"/>
    <mergeCell ref="B14:B15"/>
    <mergeCell ref="A17:A18"/>
    <mergeCell ref="B17:B18"/>
    <mergeCell ref="A20:A21"/>
    <mergeCell ref="B20:B21"/>
    <mergeCell ref="A23:A24"/>
    <mergeCell ref="B23:B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704"/>
  <sheetViews>
    <sheetView showFormulas="false" showGridLines="false" showRowColHeaders="true" showZeros="true" rightToLeft="false" tabSelected="false" showOutlineSymbols="true" defaultGridColor="true" view="normal" topLeftCell="A514" colorId="64" zoomScale="75" zoomScaleNormal="75" zoomScalePageLayoutView="100" workbookViewId="0">
      <selection pane="topLeft" activeCell="A537" activeCellId="0" sqref="A537"/>
    </sheetView>
  </sheetViews>
  <sheetFormatPr defaultColWidth="9.28125" defaultRowHeight="13.5" customHeight="true" zeroHeight="false" outlineLevelRow="0" outlineLevelCol="0"/>
  <cols>
    <col collapsed="false" customWidth="true" hidden="false" outlineLevel="0" max="1" min="1" style="423" width="31.7"/>
    <col collapsed="false" customWidth="true" hidden="false" outlineLevel="0" max="2" min="2" style="423" width="8.56"/>
    <col collapsed="false" customWidth="true" hidden="false" outlineLevel="0" max="4" min="3" style="423" width="4.7"/>
    <col collapsed="false" customWidth="true" hidden="false" outlineLevel="0" max="5" min="5" style="423" width="3.42"/>
    <col collapsed="false" customWidth="true" hidden="false" outlineLevel="0" max="6" min="6" style="423" width="4.7"/>
    <col collapsed="false" customWidth="true" hidden="false" outlineLevel="0" max="7" min="7" style="423" width="7.28"/>
    <col collapsed="false" customWidth="true" hidden="false" outlineLevel="0" max="8" min="8" style="423" width="4.7"/>
    <col collapsed="false" customWidth="true" hidden="false" outlineLevel="0" max="9" min="9" style="423" width="7.28"/>
    <col collapsed="false" customWidth="true" hidden="false" outlineLevel="0" max="10" min="10" style="423" width="5.99"/>
    <col collapsed="false" customWidth="true" hidden="false" outlineLevel="0" max="11" min="11" style="423" width="8.56"/>
    <col collapsed="false" customWidth="true" hidden="false" outlineLevel="0" max="12" min="12" style="423" width="5.99"/>
    <col collapsed="false" customWidth="true" hidden="false" outlineLevel="0" max="15" min="13" style="423" width="4.7"/>
    <col collapsed="false" customWidth="true" hidden="false" outlineLevel="0" max="16" min="16" style="423" width="2.13"/>
    <col collapsed="false" customWidth="true" hidden="false" outlineLevel="0" max="17" min="17" style="423" width="5.99"/>
    <col collapsed="false" customWidth="true" hidden="false" outlineLevel="0" max="18" min="18" style="423" width="8.56"/>
    <col collapsed="false" customWidth="true" hidden="false" outlineLevel="0" max="19" min="19" style="423" width="7.28"/>
    <col collapsed="false" customWidth="true" hidden="false" outlineLevel="0" max="20" min="20" style="423" width="5.99"/>
    <col collapsed="false" customWidth="false" hidden="false" outlineLevel="0" max="21" min="21" style="423" width="9.28"/>
    <col collapsed="false" customWidth="true" hidden="false" outlineLevel="0" max="22" min="22" style="423" width="9.85"/>
    <col collapsed="false" customWidth="true" hidden="false" outlineLevel="0" max="23" min="23" style="423" width="20.13"/>
    <col collapsed="false" customWidth="true" hidden="false" outlineLevel="0" max="24" min="24" style="423" width="5.99"/>
    <col collapsed="false" customWidth="false" hidden="false" outlineLevel="0" max="25" min="25" style="423" width="9.28"/>
    <col collapsed="false" customWidth="true" hidden="false" outlineLevel="0" max="26" min="26" style="423" width="7.28"/>
    <col collapsed="false" customWidth="true" hidden="false" outlineLevel="0" max="27" min="27" style="423" width="9.85"/>
    <col collapsed="false" customWidth="true" hidden="false" outlineLevel="0" max="28" min="28" style="423" width="23.99"/>
    <col collapsed="false" customWidth="true" hidden="false" outlineLevel="0" max="29" min="29" style="423" width="18.85"/>
    <col collapsed="false" customWidth="true" hidden="false" outlineLevel="0" max="30" min="30" style="423" width="14.99"/>
    <col collapsed="false" customWidth="true" hidden="false" outlineLevel="0" max="31" min="31" style="423" width="20.13"/>
    <col collapsed="false" customWidth="true" hidden="false" outlineLevel="0" max="32" min="32" style="423" width="13.7"/>
    <col collapsed="false" customWidth="true" hidden="false" outlineLevel="0" max="33" min="33" style="423" width="16.28"/>
    <col collapsed="false" customWidth="true" hidden="false" outlineLevel="0" max="34" min="34" style="423" width="14.99"/>
    <col collapsed="false" customWidth="true" hidden="false" outlineLevel="0" max="35" min="35" style="423" width="21.42"/>
    <col collapsed="false" customWidth="true" hidden="false" outlineLevel="0" max="37" min="36" style="423" width="14.99"/>
    <col collapsed="false" customWidth="true" hidden="false" outlineLevel="0" max="38" min="38" style="423" width="13.7"/>
    <col collapsed="false" customWidth="true" hidden="false" outlineLevel="0" max="40" min="39" style="423" width="14.99"/>
    <col collapsed="false" customWidth="true" hidden="false" outlineLevel="0" max="41" min="41" style="423" width="3.42"/>
    <col collapsed="false" customWidth="true" hidden="false" outlineLevel="0" max="43" min="42" style="423" width="14.99"/>
    <col collapsed="false" customWidth="true" hidden="false" outlineLevel="0" max="44" min="44" style="423" width="17.56"/>
    <col collapsed="false" customWidth="true" hidden="false" outlineLevel="0" max="45" min="45" style="423" width="13.7"/>
    <col collapsed="false" customWidth="true" hidden="false" outlineLevel="0" max="46" min="46" style="423" width="14.99"/>
    <col collapsed="false" customWidth="true" hidden="false" outlineLevel="0" max="47" min="47" style="423" width="9.85"/>
    <col collapsed="false" customWidth="true" hidden="false" outlineLevel="0" max="49" min="48" style="423" width="14.99"/>
    <col collapsed="false" customWidth="false" hidden="false" outlineLevel="0" max="50" min="50" style="423" width="9.28"/>
    <col collapsed="false" customWidth="true" hidden="false" outlineLevel="0" max="51" min="51" style="423" width="11.13"/>
    <col collapsed="false" customWidth="true" hidden="false" outlineLevel="0" max="52" min="52" style="423" width="14.99"/>
    <col collapsed="false" customWidth="true" hidden="false" outlineLevel="0" max="53" min="53" style="423" width="13.7"/>
    <col collapsed="false" customWidth="true" hidden="false" outlineLevel="0" max="54" min="54" style="423" width="18.85"/>
    <col collapsed="false" customWidth="true" hidden="false" outlineLevel="0" max="55" min="55" style="423" width="4.7"/>
    <col collapsed="false" customWidth="true" hidden="false" outlineLevel="0" max="56" min="56" style="423" width="5.99"/>
    <col collapsed="false" customWidth="true" hidden="false" outlineLevel="0" max="57" min="57" style="423" width="4.7"/>
    <col collapsed="false" customWidth="false" hidden="false" outlineLevel="0" max="58" min="58" style="423" width="9.28"/>
    <col collapsed="false" customWidth="true" hidden="false" outlineLevel="0" max="59" min="59" style="423" width="9.85"/>
    <col collapsed="false" customWidth="true" hidden="false" outlineLevel="0" max="60" min="60" style="423" width="5.99"/>
    <col collapsed="false" customWidth="true" hidden="false" outlineLevel="0" max="61" min="61" style="423" width="11.13"/>
    <col collapsed="false" customWidth="true" hidden="false" outlineLevel="0" max="62" min="62" style="423" width="9.85"/>
    <col collapsed="false" customWidth="true" hidden="false" outlineLevel="0" max="63" min="63" style="423" width="16.28"/>
    <col collapsed="false" customWidth="true" hidden="false" outlineLevel="0" max="64" min="64" style="423" width="13.7"/>
    <col collapsed="false" customWidth="true" hidden="false" outlineLevel="0" max="65" min="65" style="423" width="5.99"/>
    <col collapsed="false" customWidth="true" hidden="false" outlineLevel="0" max="66" min="66" style="423" width="17.56"/>
    <col collapsed="false" customWidth="true" hidden="false" outlineLevel="0" max="67" min="67" style="423" width="3.42"/>
    <col collapsed="false" customWidth="true" hidden="false" outlineLevel="0" max="68" min="68" style="423" width="4.7"/>
    <col collapsed="false" customWidth="false" hidden="false" outlineLevel="0" max="69" min="69" style="423" width="9.28"/>
    <col collapsed="false" customWidth="true" hidden="false" outlineLevel="0" max="70" min="70" style="423" width="8.56"/>
    <col collapsed="false" customWidth="true" hidden="false" outlineLevel="0" max="71" min="71" style="423" width="5.99"/>
    <col collapsed="false" customWidth="true" hidden="false" outlineLevel="0" max="72" min="72" style="423" width="9.85"/>
    <col collapsed="false" customWidth="true" hidden="false" outlineLevel="0" max="73" min="73" style="423" width="22.7"/>
    <col collapsed="false" customWidth="true" hidden="false" outlineLevel="0" max="74" min="74" style="423" width="5.99"/>
    <col collapsed="false" customWidth="true" hidden="false" outlineLevel="0" max="75" min="75" style="423" width="16.28"/>
    <col collapsed="false" customWidth="true" hidden="false" outlineLevel="0" max="76" min="76" style="423" width="3.42"/>
    <col collapsed="false" customWidth="true" hidden="false" outlineLevel="0" max="77" min="77" style="423" width="5.99"/>
    <col collapsed="false" customWidth="false" hidden="false" outlineLevel="0" max="78" min="78" style="423" width="9.28"/>
    <col collapsed="false" customWidth="true" hidden="false" outlineLevel="0" max="79" min="79" style="423" width="7.28"/>
    <col collapsed="false" customWidth="true" hidden="false" outlineLevel="0" max="80" min="80" style="423" width="5.99"/>
    <col collapsed="false" customWidth="true" hidden="false" outlineLevel="0" max="81" min="81" style="423" width="7.28"/>
    <col collapsed="false" customWidth="true" hidden="false" outlineLevel="0" max="82" min="82" style="423" width="23.99"/>
    <col collapsed="false" customWidth="true" hidden="false" outlineLevel="0" max="83" min="83" style="423" width="4.7"/>
    <col collapsed="false" customWidth="true" hidden="false" outlineLevel="0" max="84" min="84" style="423" width="16.28"/>
    <col collapsed="false" customWidth="true" hidden="false" outlineLevel="0" max="85" min="85" style="423" width="3.42"/>
    <col collapsed="false" customWidth="false" hidden="false" outlineLevel="0" max="257" min="86" style="423" width="9.28"/>
  </cols>
  <sheetData>
    <row r="1" customFormat="false" ht="15" hidden="false" customHeight="true" outlineLevel="0" collapsed="false">
      <c r="A1" s="424"/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Y1" s="425"/>
      <c r="Z1" s="426"/>
      <c r="AM1" s="427"/>
      <c r="BC1" s="428"/>
      <c r="BD1" s="429"/>
      <c r="BE1" s="430"/>
      <c r="BG1" s="430"/>
      <c r="BJ1" s="431"/>
      <c r="BK1" s="431"/>
      <c r="BL1" s="431"/>
      <c r="BM1" s="429"/>
      <c r="BN1" s="431"/>
      <c r="BO1" s="428"/>
    </row>
    <row r="2" customFormat="false" ht="15" hidden="false" customHeight="true" outlineLevel="0" collapsed="false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9"/>
      <c r="AM2" s="427"/>
      <c r="BC2" s="428"/>
      <c r="BE2" s="426"/>
      <c r="BG2" s="426"/>
      <c r="BM2" s="427"/>
      <c r="BO2" s="428"/>
    </row>
    <row r="3" customFormat="false" ht="23.25" hidden="false" customHeight="true" outlineLevel="0" collapsed="false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Y3" s="426"/>
      <c r="AB3" s="432"/>
      <c r="AG3" s="425"/>
      <c r="AH3" s="425"/>
      <c r="AI3" s="425"/>
      <c r="AJ3" s="425"/>
      <c r="AK3" s="425"/>
      <c r="AL3" s="425"/>
      <c r="AM3" s="425"/>
      <c r="AN3" s="425"/>
      <c r="AP3" s="433"/>
      <c r="AQ3" s="433"/>
      <c r="AR3" s="433"/>
      <c r="AS3" s="433"/>
      <c r="AT3" s="433"/>
      <c r="AU3" s="433"/>
      <c r="AV3" s="433"/>
      <c r="AW3" s="433"/>
      <c r="AX3" s="425"/>
      <c r="BC3" s="428"/>
      <c r="BE3" s="426"/>
      <c r="BG3" s="426"/>
      <c r="BO3" s="428"/>
    </row>
    <row r="4" customFormat="false" ht="15" hidden="false" customHeight="true" outlineLevel="0" collapsed="false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5"/>
      <c r="AB4" s="426"/>
      <c r="AC4" s="432"/>
      <c r="AG4" s="425"/>
      <c r="AH4" s="425"/>
      <c r="AI4" s="425"/>
      <c r="AJ4" s="425"/>
      <c r="AK4" s="425"/>
      <c r="AL4" s="425"/>
      <c r="AM4" s="425"/>
      <c r="AN4" s="425"/>
      <c r="AP4" s="425"/>
      <c r="AQ4" s="425"/>
      <c r="AR4" s="425"/>
      <c r="AS4" s="425"/>
      <c r="AT4" s="425"/>
      <c r="AU4" s="425"/>
      <c r="AV4" s="425"/>
      <c r="AW4" s="425"/>
      <c r="AX4" s="425"/>
      <c r="AZ4" s="426"/>
      <c r="BA4" s="425"/>
      <c r="BB4" s="425"/>
      <c r="BC4" s="428"/>
      <c r="BO4" s="428"/>
    </row>
    <row r="5" customFormat="false" ht="10.5" hidden="false" customHeight="true" outlineLevel="0" collapsed="false">
      <c r="A5" s="424"/>
      <c r="B5" s="424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34" t="s">
        <v>400</v>
      </c>
      <c r="S5" s="424"/>
      <c r="T5" s="424"/>
      <c r="U5" s="424"/>
      <c r="V5" s="435" t="n">
        <f aca="false">SUM(V7:V39)</f>
        <v>0</v>
      </c>
      <c r="W5" s="424"/>
      <c r="Y5" s="425"/>
      <c r="Z5" s="426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6"/>
      <c r="AM5" s="425"/>
      <c r="AN5" s="425"/>
      <c r="AO5" s="428"/>
      <c r="AP5" s="425"/>
      <c r="AQ5" s="425"/>
      <c r="AR5" s="425"/>
      <c r="AS5" s="425"/>
      <c r="AT5" s="425"/>
      <c r="AU5" s="425"/>
      <c r="AX5" s="425"/>
      <c r="BC5" s="428"/>
      <c r="BO5" s="428"/>
    </row>
    <row r="6" customFormat="false" ht="17.25" hidden="false" customHeight="true" outlineLevel="0" collapsed="false">
      <c r="A6" s="424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35" t="n">
        <v>0</v>
      </c>
      <c r="R6" s="424"/>
      <c r="S6" s="435" t="n">
        <v>0</v>
      </c>
      <c r="T6" s="424"/>
      <c r="U6" s="424"/>
      <c r="V6" s="436" t="n">
        <f aca="false">AY6</f>
        <v>0</v>
      </c>
      <c r="W6" s="424"/>
      <c r="X6" s="429"/>
      <c r="Z6" s="426"/>
      <c r="AA6" s="426"/>
      <c r="AB6" s="426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U6" s="427"/>
      <c r="AV6" s="427"/>
      <c r="AW6" s="427"/>
      <c r="AX6" s="433"/>
      <c r="AY6" s="427"/>
      <c r="BC6" s="428"/>
      <c r="BE6" s="431"/>
      <c r="BO6" s="428"/>
    </row>
    <row r="7" customFormat="false" ht="15" hidden="false" customHeight="true" outlineLevel="0" collapsed="false">
      <c r="A7" s="424"/>
      <c r="B7" s="424"/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35" t="n">
        <v>1</v>
      </c>
      <c r="R7" s="434" t="s">
        <v>401</v>
      </c>
      <c r="S7" s="434" t="s">
        <v>402</v>
      </c>
      <c r="T7" s="434" t="s">
        <v>403</v>
      </c>
      <c r="U7" s="434" t="s">
        <v>404</v>
      </c>
      <c r="V7" s="436" t="n">
        <f aca="false">AY7</f>
        <v>0</v>
      </c>
      <c r="W7" s="424"/>
      <c r="X7" s="429"/>
      <c r="Y7" s="426"/>
      <c r="Z7" s="429"/>
      <c r="AA7" s="426"/>
      <c r="AB7" s="426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8"/>
      <c r="AP7" s="427"/>
      <c r="AQ7" s="427"/>
      <c r="AR7" s="427"/>
      <c r="AS7" s="427"/>
      <c r="AT7" s="427"/>
      <c r="AU7" s="427"/>
      <c r="AV7" s="427"/>
      <c r="AW7" s="427"/>
      <c r="AX7" s="433"/>
      <c r="AY7" s="427"/>
      <c r="BC7" s="428"/>
      <c r="BE7" s="426"/>
      <c r="BO7" s="428"/>
    </row>
    <row r="8" customFormat="false" ht="15" hidden="false" customHeight="true" outlineLevel="0" collapsed="false">
      <c r="A8" s="424"/>
      <c r="B8" s="424"/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35" t="n">
        <v>2</v>
      </c>
      <c r="R8" s="434" t="s">
        <v>405</v>
      </c>
      <c r="S8" s="434" t="s">
        <v>406</v>
      </c>
      <c r="T8" s="434" t="s">
        <v>407</v>
      </c>
      <c r="U8" s="434" t="s">
        <v>408</v>
      </c>
      <c r="V8" s="436" t="n">
        <f aca="false">AY8</f>
        <v>0</v>
      </c>
      <c r="W8" s="424"/>
      <c r="X8" s="429"/>
      <c r="Y8" s="426"/>
      <c r="Z8" s="429"/>
      <c r="AA8" s="426"/>
      <c r="AB8" s="426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8"/>
      <c r="AP8" s="427"/>
      <c r="AQ8" s="427"/>
      <c r="AR8" s="427"/>
      <c r="AS8" s="427"/>
      <c r="AT8" s="427"/>
      <c r="AU8" s="427"/>
      <c r="AV8" s="427"/>
      <c r="AW8" s="427"/>
      <c r="AX8" s="433"/>
      <c r="AY8" s="427"/>
      <c r="BC8" s="428"/>
      <c r="BE8" s="426"/>
      <c r="BO8" s="428"/>
    </row>
    <row r="9" customFormat="false" ht="15" hidden="false" customHeight="true" outlineLevel="0" collapsed="false">
      <c r="A9" s="424"/>
      <c r="B9" s="424"/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35" t="n">
        <v>3</v>
      </c>
      <c r="R9" s="434" t="s">
        <v>409</v>
      </c>
      <c r="S9" s="434" t="s">
        <v>410</v>
      </c>
      <c r="T9" s="434" t="s">
        <v>411</v>
      </c>
      <c r="U9" s="434" t="s">
        <v>412</v>
      </c>
      <c r="V9" s="436" t="n">
        <f aca="false">AY9</f>
        <v>0</v>
      </c>
      <c r="W9" s="424"/>
      <c r="X9" s="429"/>
      <c r="Y9" s="426"/>
      <c r="Z9" s="429"/>
      <c r="AA9" s="426"/>
      <c r="AB9" s="426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8"/>
      <c r="AP9" s="427"/>
      <c r="AQ9" s="427"/>
      <c r="AR9" s="427"/>
      <c r="AS9" s="427"/>
      <c r="AT9" s="427"/>
      <c r="AU9" s="427"/>
      <c r="AV9" s="427"/>
      <c r="AW9" s="427"/>
      <c r="AX9" s="433"/>
      <c r="AY9" s="427"/>
      <c r="BC9" s="428"/>
      <c r="BO9" s="428"/>
    </row>
    <row r="10" customFormat="false" ht="15" hidden="false" customHeight="true" outlineLevel="0" collapsed="false">
      <c r="A10" s="424"/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35" t="n">
        <v>4</v>
      </c>
      <c r="R10" s="434" t="s">
        <v>413</v>
      </c>
      <c r="S10" s="434" t="s">
        <v>414</v>
      </c>
      <c r="T10" s="434" t="s">
        <v>415</v>
      </c>
      <c r="U10" s="434" t="s">
        <v>416</v>
      </c>
      <c r="V10" s="436" t="n">
        <f aca="false">AY10</f>
        <v>0</v>
      </c>
      <c r="W10" s="424"/>
      <c r="X10" s="429"/>
      <c r="Y10" s="426"/>
      <c r="Z10" s="429"/>
      <c r="AA10" s="426"/>
      <c r="AB10" s="426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8"/>
      <c r="AP10" s="427"/>
      <c r="AQ10" s="427"/>
      <c r="AR10" s="427"/>
      <c r="AS10" s="427"/>
      <c r="AT10" s="427"/>
      <c r="AU10" s="427"/>
      <c r="AV10" s="427"/>
      <c r="AW10" s="427"/>
      <c r="AX10" s="433"/>
      <c r="AY10" s="427"/>
      <c r="AZ10" s="427"/>
      <c r="BA10" s="427"/>
      <c r="BC10" s="428"/>
      <c r="BD10" s="429"/>
      <c r="BE10" s="429"/>
      <c r="BF10" s="427"/>
      <c r="BG10" s="437"/>
      <c r="BH10" s="427"/>
      <c r="BJ10" s="437"/>
      <c r="BK10" s="427"/>
      <c r="BM10" s="429"/>
      <c r="BN10" s="427"/>
      <c r="BO10" s="428"/>
      <c r="BP10" s="430"/>
    </row>
    <row r="11" customFormat="false" ht="15" hidden="false" customHeight="true" outlineLevel="0" collapsed="false">
      <c r="A11" s="424"/>
      <c r="B11" s="424"/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38" t="s">
        <v>417</v>
      </c>
      <c r="Q11" s="435" t="n">
        <v>5</v>
      </c>
      <c r="R11" s="434" t="s">
        <v>418</v>
      </c>
      <c r="S11" s="434" t="s">
        <v>419</v>
      </c>
      <c r="T11" s="434" t="s">
        <v>420</v>
      </c>
      <c r="U11" s="434" t="s">
        <v>421</v>
      </c>
      <c r="V11" s="436" t="n">
        <f aca="false">AY11</f>
        <v>0</v>
      </c>
      <c r="W11" s="424"/>
      <c r="X11" s="429"/>
      <c r="Y11" s="426"/>
      <c r="Z11" s="429"/>
      <c r="AA11" s="426"/>
      <c r="AB11" s="426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8"/>
      <c r="AP11" s="427"/>
      <c r="AQ11" s="427"/>
      <c r="AR11" s="427"/>
      <c r="AS11" s="427"/>
      <c r="AT11" s="427"/>
      <c r="AU11" s="427"/>
      <c r="AV11" s="427"/>
      <c r="AW11" s="427"/>
      <c r="AX11" s="433"/>
      <c r="AY11" s="427"/>
      <c r="BC11" s="428"/>
      <c r="BD11" s="429"/>
      <c r="BE11" s="429"/>
      <c r="BF11" s="427"/>
      <c r="BG11" s="437"/>
      <c r="BH11" s="427"/>
      <c r="BJ11" s="437"/>
      <c r="BK11" s="427"/>
      <c r="BM11" s="429"/>
      <c r="BN11" s="427"/>
      <c r="BO11" s="428"/>
      <c r="BP11" s="430"/>
    </row>
    <row r="12" customFormat="false" ht="15" hidden="false" customHeight="true" outlineLevel="0" collapsed="false">
      <c r="A12" s="424"/>
      <c r="B12" s="424"/>
      <c r="C12" s="424"/>
      <c r="D12" s="424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38" t="s">
        <v>417</v>
      </c>
      <c r="Q12" s="435" t="n">
        <v>6</v>
      </c>
      <c r="R12" s="434" t="s">
        <v>422</v>
      </c>
      <c r="S12" s="434" t="s">
        <v>423</v>
      </c>
      <c r="T12" s="434" t="s">
        <v>424</v>
      </c>
      <c r="U12" s="434" t="s">
        <v>425</v>
      </c>
      <c r="V12" s="436" t="n">
        <f aca="false">AY12</f>
        <v>0</v>
      </c>
      <c r="W12" s="424"/>
      <c r="X12" s="429"/>
      <c r="Y12" s="426"/>
      <c r="Z12" s="429"/>
      <c r="AA12" s="426"/>
      <c r="AB12" s="426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8"/>
      <c r="AP12" s="427"/>
      <c r="AQ12" s="427"/>
      <c r="AR12" s="427"/>
      <c r="AS12" s="427"/>
      <c r="AT12" s="427"/>
      <c r="AU12" s="427"/>
      <c r="AV12" s="427"/>
      <c r="AW12" s="427"/>
      <c r="AX12" s="433"/>
      <c r="AY12" s="427"/>
      <c r="BC12" s="428"/>
      <c r="BD12" s="429"/>
      <c r="BE12" s="429"/>
      <c r="BF12" s="427"/>
      <c r="BG12" s="437"/>
      <c r="BH12" s="427"/>
      <c r="BJ12" s="437"/>
      <c r="BK12" s="427"/>
      <c r="BM12" s="429"/>
      <c r="BN12" s="427"/>
      <c r="BO12" s="428"/>
      <c r="BP12" s="430"/>
    </row>
    <row r="13" customFormat="false" ht="15" hidden="false" customHeight="true" outlineLevel="0" collapsed="false">
      <c r="A13" s="424"/>
      <c r="B13" s="424"/>
      <c r="C13" s="424"/>
      <c r="D13" s="424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38" t="s">
        <v>417</v>
      </c>
      <c r="Q13" s="435" t="n">
        <v>7</v>
      </c>
      <c r="R13" s="434" t="s">
        <v>426</v>
      </c>
      <c r="S13" s="434" t="s">
        <v>427</v>
      </c>
      <c r="T13" s="434" t="s">
        <v>428</v>
      </c>
      <c r="U13" s="434" t="s">
        <v>429</v>
      </c>
      <c r="V13" s="436" t="n">
        <f aca="false">AY13</f>
        <v>0</v>
      </c>
      <c r="W13" s="424"/>
      <c r="X13" s="43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BC13" s="428"/>
      <c r="BF13" s="427"/>
      <c r="BG13" s="437"/>
      <c r="BH13" s="427"/>
      <c r="BJ13" s="437"/>
      <c r="BK13" s="427"/>
      <c r="BM13" s="429"/>
      <c r="BN13" s="427"/>
      <c r="BO13" s="428"/>
      <c r="BP13" s="430"/>
    </row>
    <row r="14" customFormat="false" ht="12" hidden="false" customHeight="true" outlineLevel="0" collapsed="false">
      <c r="A14" s="424"/>
      <c r="B14" s="424"/>
      <c r="C14" s="424"/>
      <c r="D14" s="424"/>
      <c r="E14" s="424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38" t="s">
        <v>417</v>
      </c>
      <c r="Q14" s="435" t="n">
        <v>8</v>
      </c>
      <c r="R14" s="434" t="s">
        <v>430</v>
      </c>
      <c r="S14" s="434" t="s">
        <v>431</v>
      </c>
      <c r="T14" s="434" t="s">
        <v>432</v>
      </c>
      <c r="U14" s="434" t="s">
        <v>433</v>
      </c>
      <c r="V14" s="436" t="n">
        <f aca="false">AY14</f>
        <v>0</v>
      </c>
      <c r="W14" s="424"/>
      <c r="X14" s="429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8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BC14" s="428"/>
      <c r="BF14" s="437"/>
      <c r="BG14" s="427"/>
      <c r="BH14" s="437"/>
      <c r="BI14" s="427"/>
      <c r="BJ14" s="427"/>
      <c r="BK14" s="437"/>
      <c r="BM14" s="428"/>
      <c r="BN14" s="439"/>
      <c r="BO14" s="428"/>
      <c r="BP14" s="431"/>
    </row>
    <row r="15" customFormat="false" ht="15" hidden="false" customHeight="true" outlineLevel="0" collapsed="false">
      <c r="A15" s="424"/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38" t="s">
        <v>417</v>
      </c>
      <c r="Q15" s="435" t="n">
        <v>9</v>
      </c>
      <c r="R15" s="434" t="s">
        <v>434</v>
      </c>
      <c r="S15" s="434" t="s">
        <v>435</v>
      </c>
      <c r="T15" s="434" t="s">
        <v>436</v>
      </c>
      <c r="U15" s="434" t="s">
        <v>437</v>
      </c>
      <c r="V15" s="436" t="n">
        <f aca="false">AY15</f>
        <v>0</v>
      </c>
      <c r="W15" s="424"/>
      <c r="X15" s="429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8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BC15" s="428"/>
      <c r="BF15" s="437"/>
      <c r="BG15" s="427"/>
      <c r="BH15" s="437"/>
      <c r="BI15" s="427"/>
      <c r="BJ15" s="427"/>
      <c r="BK15" s="437"/>
      <c r="BM15" s="429"/>
      <c r="BN15" s="427"/>
      <c r="BO15" s="428"/>
    </row>
    <row r="16" customFormat="false" ht="15" hidden="false" customHeight="true" outlineLevel="0" collapsed="false">
      <c r="A16" s="424"/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38" t="s">
        <v>417</v>
      </c>
      <c r="Q16" s="435" t="n">
        <v>10</v>
      </c>
      <c r="R16" s="434" t="s">
        <v>438</v>
      </c>
      <c r="S16" s="424"/>
      <c r="T16" s="434" t="s">
        <v>439</v>
      </c>
      <c r="U16" s="434" t="s">
        <v>440</v>
      </c>
      <c r="V16" s="436" t="n">
        <f aca="false">AY16</f>
        <v>0</v>
      </c>
      <c r="W16" s="424"/>
      <c r="X16" s="429"/>
      <c r="AH16" s="427"/>
      <c r="AR16" s="427"/>
      <c r="AY16" s="427"/>
      <c r="BA16" s="427"/>
      <c r="BB16" s="427"/>
      <c r="BC16" s="428"/>
      <c r="BG16" s="427"/>
      <c r="BH16" s="437"/>
      <c r="BJ16" s="427"/>
      <c r="BK16" s="437"/>
      <c r="BL16" s="427"/>
      <c r="BM16" s="428"/>
      <c r="BN16" s="439"/>
      <c r="BO16" s="428"/>
    </row>
    <row r="17" customFormat="false" ht="15" hidden="false" customHeight="true" outlineLevel="0" collapsed="false">
      <c r="A17" s="424"/>
      <c r="B17" s="424"/>
      <c r="C17" s="424"/>
      <c r="D17" s="424"/>
      <c r="E17" s="424"/>
      <c r="F17" s="435" t="n">
        <f aca="false">TRUNC(+A19/1000000)</f>
        <v>0</v>
      </c>
      <c r="G17" s="424"/>
      <c r="H17" s="424"/>
      <c r="I17" s="424"/>
      <c r="J17" s="424"/>
      <c r="K17" s="424"/>
      <c r="L17" s="424"/>
      <c r="M17" s="424"/>
      <c r="N17" s="424"/>
      <c r="O17" s="424"/>
      <c r="P17" s="438" t="s">
        <v>417</v>
      </c>
      <c r="Q17" s="435" t="n">
        <v>11</v>
      </c>
      <c r="R17" s="434" t="s">
        <v>441</v>
      </c>
      <c r="S17" s="424"/>
      <c r="T17" s="434" t="s">
        <v>442</v>
      </c>
      <c r="U17" s="434" t="s">
        <v>443</v>
      </c>
      <c r="V17" s="436" t="n">
        <f aca="false">AY17</f>
        <v>0</v>
      </c>
      <c r="W17" s="424"/>
      <c r="X17" s="429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BA17" s="427"/>
      <c r="BC17" s="428"/>
      <c r="BG17" s="427"/>
      <c r="BH17" s="437"/>
      <c r="BJ17" s="427"/>
      <c r="BN17" s="427"/>
      <c r="BO17" s="428"/>
    </row>
    <row r="18" customFormat="false" ht="15" hidden="false" customHeight="true" outlineLevel="0" collapsed="false">
      <c r="A18" s="424"/>
      <c r="B18" s="424"/>
      <c r="C18" s="424"/>
      <c r="D18" s="424"/>
      <c r="E18" s="424"/>
      <c r="F18" s="435" t="e">
        <f aca="false">(+B22*100000+C22*1000+E22*100)</f>
        <v>#VALUE!</v>
      </c>
      <c r="G18" s="424"/>
      <c r="H18" s="424"/>
      <c r="I18" s="424"/>
      <c r="J18" s="424"/>
      <c r="K18" s="424"/>
      <c r="L18" s="434" t="s">
        <v>444</v>
      </c>
      <c r="M18" s="424"/>
      <c r="N18" s="424"/>
      <c r="O18" s="424"/>
      <c r="P18" s="438" t="s">
        <v>417</v>
      </c>
      <c r="Q18" s="435" t="n">
        <v>12</v>
      </c>
      <c r="R18" s="434" t="s">
        <v>445</v>
      </c>
      <c r="S18" s="424"/>
      <c r="T18" s="434" t="s">
        <v>446</v>
      </c>
      <c r="U18" s="434" t="s">
        <v>447</v>
      </c>
      <c r="V18" s="436" t="n">
        <f aca="false">AY18</f>
        <v>0</v>
      </c>
      <c r="W18" s="424"/>
      <c r="X18" s="429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BA18" s="427"/>
      <c r="BC18" s="428"/>
      <c r="BG18" s="427"/>
      <c r="BH18" s="437"/>
      <c r="BJ18" s="427"/>
      <c r="BK18" s="431"/>
      <c r="BM18" s="427"/>
      <c r="BN18" s="427"/>
      <c r="BO18" s="428"/>
    </row>
    <row r="19" customFormat="false" ht="15" hidden="false" customHeight="true" outlineLevel="0" collapsed="false">
      <c r="A19" s="436" t="n">
        <f aca="false">TRUNC(+A20)</f>
        <v>23000</v>
      </c>
      <c r="B19" s="424"/>
      <c r="C19" s="424"/>
      <c r="D19" s="424"/>
      <c r="E19" s="440" t="n">
        <f aca="false">TRUNC(+A19/100000000)</f>
        <v>0</v>
      </c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38" t="s">
        <v>417</v>
      </c>
      <c r="Q19" s="435" t="n">
        <v>13</v>
      </c>
      <c r="R19" s="434" t="s">
        <v>448</v>
      </c>
      <c r="S19" s="424"/>
      <c r="T19" s="434" t="s">
        <v>449</v>
      </c>
      <c r="U19" s="434" t="s">
        <v>450</v>
      </c>
      <c r="V19" s="436" t="n">
        <f aca="false">AY19</f>
        <v>0</v>
      </c>
      <c r="W19" s="424"/>
      <c r="X19" s="429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BC19" s="428"/>
      <c r="BM19" s="427"/>
      <c r="BN19" s="427"/>
      <c r="BO19" s="428"/>
    </row>
    <row r="20" customFormat="false" ht="15" hidden="false" customHeight="true" outlineLevel="0" collapsed="false">
      <c r="A20" s="441" t="n">
        <f aca="false">Advis!D25</f>
        <v>23000</v>
      </c>
      <c r="B20" s="434" t="s">
        <v>451</v>
      </c>
      <c r="C20" s="434" t="s">
        <v>452</v>
      </c>
      <c r="D20" s="424"/>
      <c r="E20" s="434" t="s">
        <v>452</v>
      </c>
      <c r="F20" s="424"/>
      <c r="G20" s="424"/>
      <c r="H20" s="424"/>
      <c r="I20" s="440" t="n">
        <f aca="false">TRUNC((+A19-(+F17*1000000))/1000)</f>
        <v>23</v>
      </c>
      <c r="J20" s="424"/>
      <c r="K20" s="440" t="n">
        <f aca="false">(TRUNC((+A19-(+F17*1000000))/1))-I20*1000</f>
        <v>0</v>
      </c>
      <c r="L20" s="424"/>
      <c r="M20" s="424"/>
      <c r="N20" s="424"/>
      <c r="O20" s="424"/>
      <c r="P20" s="438" t="s">
        <v>417</v>
      </c>
      <c r="Q20" s="435" t="n">
        <v>14</v>
      </c>
      <c r="R20" s="434" t="s">
        <v>453</v>
      </c>
      <c r="S20" s="424"/>
      <c r="T20" s="434" t="s">
        <v>454</v>
      </c>
      <c r="U20" s="434" t="s">
        <v>455</v>
      </c>
      <c r="V20" s="436" t="n">
        <f aca="false">AY20</f>
        <v>0</v>
      </c>
      <c r="W20" s="424"/>
      <c r="X20" s="429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BC20" s="428"/>
      <c r="BL20" s="426"/>
      <c r="BN20" s="427"/>
      <c r="BO20" s="428"/>
    </row>
    <row r="21" customFormat="false" ht="15" hidden="false" customHeight="true" outlineLevel="0" collapsed="false">
      <c r="A21" s="424"/>
      <c r="B21" s="442" t="s">
        <v>456</v>
      </c>
      <c r="C21" s="442" t="s">
        <v>456</v>
      </c>
      <c r="D21" s="424"/>
      <c r="E21" s="442" t="s">
        <v>456</v>
      </c>
      <c r="F21" s="424"/>
      <c r="G21" s="424"/>
      <c r="H21" s="424"/>
      <c r="I21" s="424"/>
      <c r="J21" s="424"/>
      <c r="K21" s="424"/>
      <c r="L21" s="424"/>
      <c r="M21" s="424"/>
      <c r="N21" s="440" t="n">
        <f aca="false">ROUND(((+A20-A19)*100),1)</f>
        <v>0</v>
      </c>
      <c r="O21" s="424"/>
      <c r="P21" s="438" t="s">
        <v>417</v>
      </c>
      <c r="Q21" s="435" t="n">
        <v>15</v>
      </c>
      <c r="R21" s="434" t="s">
        <v>457</v>
      </c>
      <c r="S21" s="424"/>
      <c r="T21" s="434" t="s">
        <v>458</v>
      </c>
      <c r="U21" s="434" t="s">
        <v>459</v>
      </c>
      <c r="V21" s="436" t="n">
        <f aca="false">AY21</f>
        <v>0</v>
      </c>
      <c r="W21" s="424"/>
      <c r="X21" s="429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BC21" s="428"/>
      <c r="BK21" s="426"/>
      <c r="BN21" s="427"/>
      <c r="BO21" s="428"/>
      <c r="BQ21" s="429"/>
      <c r="BR21" s="426"/>
      <c r="BS21" s="426"/>
    </row>
    <row r="22" customFormat="false" ht="15" hidden="false" customHeight="true" outlineLevel="0" collapsed="false">
      <c r="A22" s="424"/>
      <c r="B22" s="440" t="n">
        <f aca="false">TRUNC(+A20/100000000000)</f>
        <v>0</v>
      </c>
      <c r="C22" s="440" t="n">
        <f aca="false">(TRUNC(+A19/1000000000))-B22*100</f>
        <v>0</v>
      </c>
      <c r="D22" s="424"/>
      <c r="E22" s="435" t="str">
        <f aca="false">IF(E19&gt;0,TRUNC(+E19-B22*1000-C22*10),"")</f>
        <v/>
      </c>
      <c r="F22" s="435" t="e">
        <f aca="false">F17-F18</f>
        <v>#VALUE!</v>
      </c>
      <c r="G22" s="435" t="e">
        <f aca="false">G24</f>
        <v>#VALUE!</v>
      </c>
      <c r="H22" s="440" t="n">
        <f aca="false">TRUNC((+A19-(+F17*1000000))/100000)</f>
        <v>0</v>
      </c>
      <c r="I22" s="440" t="n">
        <f aca="false">I20-H22*100</f>
        <v>23</v>
      </c>
      <c r="J22" s="424"/>
      <c r="K22" s="440" t="n">
        <f aca="false">TRUNC(+K20/100)</f>
        <v>0</v>
      </c>
      <c r="L22" s="440" t="n">
        <f aca="false">K20-K22*100</f>
        <v>0</v>
      </c>
      <c r="M22" s="440" t="str">
        <f aca="false">IF(N22&gt;0," &amp; Sen ","")</f>
        <v/>
      </c>
      <c r="N22" s="435" t="n">
        <f aca="false">N21</f>
        <v>0</v>
      </c>
      <c r="O22" s="424"/>
      <c r="P22" s="438" t="s">
        <v>417</v>
      </c>
      <c r="Q22" s="435" t="n">
        <v>16</v>
      </c>
      <c r="R22" s="434" t="s">
        <v>460</v>
      </c>
      <c r="S22" s="424"/>
      <c r="T22" s="434" t="s">
        <v>461</v>
      </c>
      <c r="U22" s="434" t="s">
        <v>462</v>
      </c>
      <c r="V22" s="436" t="n">
        <f aca="false">AY22</f>
        <v>0</v>
      </c>
      <c r="W22" s="424"/>
      <c r="X22" s="429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8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BC22" s="428"/>
      <c r="BN22" s="427"/>
      <c r="BO22" s="428"/>
      <c r="BQ22" s="429"/>
      <c r="BR22" s="426"/>
      <c r="BS22" s="426"/>
    </row>
    <row r="23" customFormat="false" ht="15" hidden="false" customHeight="true" outlineLevel="0" collapsed="false">
      <c r="A23" s="424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38" t="s">
        <v>417</v>
      </c>
      <c r="Q23" s="435" t="n">
        <v>17</v>
      </c>
      <c r="R23" s="434" t="s">
        <v>463</v>
      </c>
      <c r="S23" s="424"/>
      <c r="T23" s="434" t="s">
        <v>464</v>
      </c>
      <c r="U23" s="434" t="s">
        <v>465</v>
      </c>
      <c r="V23" s="436" t="n">
        <f aca="false">AY23</f>
        <v>0</v>
      </c>
      <c r="W23" s="424"/>
      <c r="X23" s="429"/>
      <c r="AY23" s="427"/>
      <c r="BB23" s="429"/>
      <c r="BC23" s="428"/>
      <c r="BG23" s="427"/>
      <c r="BH23" s="437"/>
      <c r="BJ23" s="427"/>
      <c r="BK23" s="437"/>
      <c r="BL23" s="427"/>
      <c r="BM23" s="429"/>
      <c r="BN23" s="427"/>
      <c r="BO23" s="428"/>
      <c r="BQ23" s="429"/>
      <c r="BR23" s="426"/>
      <c r="BS23" s="426"/>
    </row>
    <row r="24" customFormat="false" ht="15" hidden="false" customHeight="true" outlineLevel="0" collapsed="false">
      <c r="A24" s="440" t="n">
        <f aca="false">B22*100000000000</f>
        <v>0</v>
      </c>
      <c r="B24" s="440" t="str">
        <f aca="false">IF(B22&gt;0,VLOOKUP(B22,$Q$7:$T$15,3),"")</f>
        <v/>
      </c>
      <c r="C24" s="440" t="str">
        <f aca="false">IF(C22&gt;0,VLOOKUP(C22,Q7:R105,2),"")</f>
        <v/>
      </c>
      <c r="D24" s="440" t="str">
        <f aca="false">IF(B19+C22&gt;0," Milyar ","")</f>
        <v/>
      </c>
      <c r="E24" s="440" t="e">
        <f aca="false">IF(E22&gt;0,VLOOKUP(E22,$Q$7:$T$15,3),"")</f>
        <v>#N/A</v>
      </c>
      <c r="F24" s="440" t="e">
        <f aca="false">IF(F22&gt;0,VLOOKUP(F22,Q7:R105,2),"")</f>
        <v>#VALUE!</v>
      </c>
      <c r="G24" s="435" t="e">
        <f aca="false">IF(F22+E22&gt;0," Juta","")</f>
        <v>#VALUE!</v>
      </c>
      <c r="H24" s="440" t="str">
        <f aca="false">IF(H22&gt;0,VLOOKUP(H22,$Q$7:$T$15,3),"")</f>
        <v/>
      </c>
      <c r="I24" s="440" t="str">
        <f aca="false">IF(I22=1," Se",IF(I22=0,"",VLOOKUP(I22,Q7:R105,2)))</f>
        <v> Dua puluh tiga</v>
      </c>
      <c r="J24" s="435" t="str">
        <f aca="false">IF(I22+H22&gt;0," ribu","")</f>
        <v> ribu</v>
      </c>
      <c r="K24" s="440" t="str">
        <f aca="false">IF(K22&gt;0,VLOOKUP(K22,Q7:S15,3),"")</f>
        <v/>
      </c>
      <c r="L24" s="440" t="str">
        <f aca="false">IF(L22&gt;0,VLOOKUP(L22,Q7:R105,2),"")</f>
        <v/>
      </c>
      <c r="M24" s="440" t="str">
        <f aca="false">IF(N22&gt;0,VLOOKUP(N21,Q6:U105,5)," Rupiah ")</f>
        <v> Rupiah </v>
      </c>
      <c r="N24" s="424"/>
      <c r="O24" s="435" t="str">
        <f aca="false">IF(N22&gt;0," ====","")</f>
        <v/>
      </c>
      <c r="P24" s="435" t="str">
        <f aca="false">IF(N22&gt;0,"-","====")</f>
        <v>====</v>
      </c>
      <c r="Q24" s="435" t="n">
        <v>18</v>
      </c>
      <c r="R24" s="434" t="s">
        <v>466</v>
      </c>
      <c r="S24" s="424"/>
      <c r="T24" s="434" t="s">
        <v>467</v>
      </c>
      <c r="U24" s="434" t="s">
        <v>468</v>
      </c>
      <c r="V24" s="436" t="n">
        <f aca="false">AY24</f>
        <v>0</v>
      </c>
      <c r="W24" s="424"/>
      <c r="X24" s="429"/>
      <c r="AY24" s="427"/>
      <c r="BC24" s="428"/>
      <c r="BD24" s="429"/>
      <c r="BG24" s="427"/>
      <c r="BH24" s="437"/>
      <c r="BJ24" s="427"/>
      <c r="BK24" s="437"/>
      <c r="BL24" s="427"/>
      <c r="BM24" s="429"/>
      <c r="BN24" s="427"/>
      <c r="BO24" s="428"/>
      <c r="BQ24" s="429"/>
      <c r="BR24" s="426"/>
      <c r="BS24" s="426"/>
    </row>
    <row r="25" customFormat="false" ht="15" hidden="false" customHeight="true" outlineLevel="0" collapsed="false">
      <c r="A25" s="440"/>
      <c r="B25" s="435" t="str">
        <f aca="false">B24</f>
        <v/>
      </c>
      <c r="C25" s="424"/>
      <c r="D25" s="424"/>
      <c r="E25" s="424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38" t="s">
        <v>417</v>
      </c>
      <c r="Q25" s="435" t="n">
        <v>19</v>
      </c>
      <c r="R25" s="434" t="s">
        <v>469</v>
      </c>
      <c r="S25" s="424"/>
      <c r="T25" s="434" t="s">
        <v>470</v>
      </c>
      <c r="U25" s="434" t="s">
        <v>471</v>
      </c>
      <c r="V25" s="436" t="n">
        <f aca="false">AY30</f>
        <v>0</v>
      </c>
      <c r="W25" s="424"/>
      <c r="BB25" s="429"/>
      <c r="BC25" s="428"/>
      <c r="BD25" s="429"/>
      <c r="BG25" s="427"/>
      <c r="BH25" s="437"/>
      <c r="BJ25" s="427"/>
      <c r="BK25" s="431"/>
      <c r="BN25" s="427"/>
      <c r="BO25" s="428"/>
      <c r="BQ25" s="429"/>
      <c r="BR25" s="426"/>
      <c r="BS25" s="426"/>
    </row>
    <row r="26" customFormat="false" ht="15" hidden="false" customHeight="true" outlineLevel="0" collapsed="false">
      <c r="A26" s="440"/>
      <c r="B26" s="435" t="str">
        <f aca="false">C24</f>
        <v/>
      </c>
      <c r="C26" s="424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38" t="s">
        <v>417</v>
      </c>
      <c r="Q26" s="435" t="n">
        <v>20</v>
      </c>
      <c r="R26" s="434" t="s">
        <v>472</v>
      </c>
      <c r="S26" s="424"/>
      <c r="T26" s="434" t="s">
        <v>473</v>
      </c>
      <c r="U26" s="434" t="s">
        <v>474</v>
      </c>
      <c r="V26" s="436" t="n">
        <f aca="false">AY31</f>
        <v>0</v>
      </c>
      <c r="W26" s="424"/>
      <c r="AC26" s="427"/>
      <c r="AD26" s="427"/>
      <c r="AE26" s="427"/>
      <c r="AH26" s="427"/>
      <c r="AI26" s="427"/>
      <c r="AK26" s="427"/>
      <c r="AQ26" s="427"/>
      <c r="AT26" s="427"/>
      <c r="BC26" s="428"/>
      <c r="BD26" s="429"/>
      <c r="BG26" s="427"/>
      <c r="BH26" s="437"/>
      <c r="BJ26" s="427"/>
      <c r="BK26" s="437"/>
      <c r="BL26" s="431"/>
      <c r="BN26" s="427"/>
      <c r="BO26" s="428"/>
      <c r="BQ26" s="429"/>
      <c r="BR26" s="426"/>
      <c r="BS26" s="426"/>
    </row>
    <row r="27" customFormat="false" ht="15" hidden="false" customHeight="true" outlineLevel="0" collapsed="false">
      <c r="A27" s="440"/>
      <c r="B27" s="435" t="str">
        <f aca="false">D24</f>
        <v/>
      </c>
      <c r="C27" s="424"/>
      <c r="D27" s="424"/>
      <c r="E27" s="424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38" t="s">
        <v>417</v>
      </c>
      <c r="Q27" s="435" t="n">
        <v>21</v>
      </c>
      <c r="R27" s="434" t="s">
        <v>475</v>
      </c>
      <c r="S27" s="424"/>
      <c r="T27" s="434" t="s">
        <v>476</v>
      </c>
      <c r="U27" s="434" t="s">
        <v>477</v>
      </c>
      <c r="V27" s="436" t="n">
        <f aca="false">AY32</f>
        <v>0</v>
      </c>
      <c r="W27" s="424"/>
      <c r="AQ27" s="427"/>
      <c r="BC27" s="428"/>
      <c r="BD27" s="429"/>
      <c r="BG27" s="427"/>
      <c r="BH27" s="437"/>
      <c r="BJ27" s="427"/>
      <c r="BK27" s="437"/>
      <c r="BL27" s="427"/>
      <c r="BM27" s="429"/>
      <c r="BN27" s="427"/>
      <c r="BO27" s="428"/>
      <c r="BQ27" s="429"/>
      <c r="BR27" s="426"/>
      <c r="BS27" s="426"/>
    </row>
    <row r="28" customFormat="false" ht="15" hidden="false" customHeight="true" outlineLevel="0" collapsed="false">
      <c r="A28" s="440"/>
      <c r="B28" s="435" t="e">
        <f aca="false">E24</f>
        <v>#N/A</v>
      </c>
      <c r="C28" s="424"/>
      <c r="D28" s="424"/>
      <c r="E28" s="424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35" t="n">
        <v>22</v>
      </c>
      <c r="R28" s="434" t="s">
        <v>478</v>
      </c>
      <c r="S28" s="424"/>
      <c r="T28" s="434" t="s">
        <v>479</v>
      </c>
      <c r="U28" s="434" t="s">
        <v>480</v>
      </c>
      <c r="V28" s="436" t="n">
        <f aca="false">AY33</f>
        <v>0</v>
      </c>
      <c r="W28" s="424"/>
      <c r="AC28" s="427"/>
      <c r="AH28" s="427"/>
      <c r="BC28" s="428"/>
      <c r="BG28" s="427"/>
      <c r="BH28" s="437"/>
      <c r="BJ28" s="427"/>
      <c r="BK28" s="437"/>
      <c r="BL28" s="427"/>
      <c r="BM28" s="429"/>
      <c r="BN28" s="427"/>
      <c r="BO28" s="428"/>
      <c r="BQ28" s="429"/>
      <c r="BR28" s="426"/>
      <c r="BS28" s="426"/>
    </row>
    <row r="29" customFormat="false" ht="15" hidden="false" customHeight="true" outlineLevel="0" collapsed="false">
      <c r="A29" s="440"/>
      <c r="B29" s="435" t="e">
        <f aca="false">F24</f>
        <v>#VALUE!</v>
      </c>
      <c r="C29" s="424"/>
      <c r="D29" s="424"/>
      <c r="E29" s="42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38" t="s">
        <v>417</v>
      </c>
      <c r="Q29" s="435" t="n">
        <v>23</v>
      </c>
      <c r="R29" s="434" t="s">
        <v>481</v>
      </c>
      <c r="S29" s="424"/>
      <c r="T29" s="434" t="s">
        <v>482</v>
      </c>
      <c r="U29" s="434" t="s">
        <v>483</v>
      </c>
      <c r="V29" s="436" t="n">
        <f aca="false">AY34</f>
        <v>0</v>
      </c>
      <c r="W29" s="424"/>
      <c r="BA29" s="427"/>
      <c r="BB29" s="429"/>
      <c r="BC29" s="428"/>
      <c r="BG29" s="427"/>
      <c r="BH29" s="437"/>
      <c r="BJ29" s="427"/>
      <c r="BK29" s="437"/>
      <c r="BL29" s="427"/>
      <c r="BM29" s="429"/>
      <c r="BN29" s="427"/>
      <c r="BO29" s="428"/>
      <c r="BQ29" s="429"/>
      <c r="BR29" s="426"/>
      <c r="BS29" s="426"/>
    </row>
    <row r="30" customFormat="false" ht="15" hidden="false" customHeight="true" outlineLevel="0" collapsed="false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38" t="s">
        <v>417</v>
      </c>
      <c r="Q30" s="435" t="n">
        <v>24</v>
      </c>
      <c r="R30" s="434" t="s">
        <v>484</v>
      </c>
      <c r="S30" s="424"/>
      <c r="T30" s="434" t="s">
        <v>485</v>
      </c>
      <c r="U30" s="434" t="s">
        <v>486</v>
      </c>
      <c r="V30" s="436" t="n">
        <f aca="false">AY35</f>
        <v>0</v>
      </c>
      <c r="W30" s="424"/>
      <c r="X30" s="429"/>
      <c r="Y30" s="426"/>
      <c r="Z30" s="429"/>
      <c r="AA30" s="426"/>
      <c r="AB30" s="426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8"/>
      <c r="AP30" s="427"/>
      <c r="AQ30" s="427"/>
      <c r="AR30" s="427"/>
      <c r="AS30" s="427"/>
      <c r="AT30" s="427"/>
      <c r="AU30" s="427"/>
      <c r="AV30" s="427"/>
      <c r="AW30" s="427"/>
      <c r="AX30" s="433"/>
      <c r="AY30" s="427"/>
      <c r="BN30" s="427"/>
      <c r="BO30" s="428"/>
      <c r="BQ30" s="429"/>
      <c r="BR30" s="426"/>
      <c r="BS30" s="426"/>
    </row>
    <row r="31" customFormat="false" ht="15" hidden="false" customHeight="true" outlineLevel="0" collapsed="false">
      <c r="A31" s="424"/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38" t="s">
        <v>417</v>
      </c>
      <c r="Q31" s="435" t="n">
        <v>25</v>
      </c>
      <c r="R31" s="434" t="s">
        <v>487</v>
      </c>
      <c r="S31" s="424"/>
      <c r="T31" s="434" t="s">
        <v>488</v>
      </c>
      <c r="U31" s="434" t="s">
        <v>489</v>
      </c>
      <c r="V31" s="436" t="n">
        <f aca="false">AY36</f>
        <v>0</v>
      </c>
      <c r="W31" s="424"/>
      <c r="X31" s="429"/>
      <c r="Y31" s="426"/>
      <c r="Z31" s="429"/>
      <c r="AA31" s="426"/>
      <c r="AB31" s="426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8"/>
      <c r="AP31" s="427"/>
      <c r="AQ31" s="427"/>
      <c r="AR31" s="427"/>
      <c r="AS31" s="427"/>
      <c r="AT31" s="427"/>
      <c r="AU31" s="427"/>
      <c r="AV31" s="427"/>
      <c r="AW31" s="427"/>
      <c r="AX31" s="433"/>
      <c r="AY31" s="427"/>
      <c r="BN31" s="427"/>
      <c r="BP31" s="428"/>
      <c r="BQ31" s="429"/>
      <c r="BR31" s="426"/>
      <c r="BS31" s="426"/>
    </row>
    <row r="32" customFormat="false" ht="15" hidden="false" customHeight="true" outlineLevel="0" collapsed="false">
      <c r="A32" s="424"/>
      <c r="B32" s="424"/>
      <c r="C32" s="424"/>
      <c r="D32" s="424"/>
      <c r="E32" s="424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38" t="s">
        <v>417</v>
      </c>
      <c r="Q32" s="435" t="n">
        <v>26</v>
      </c>
      <c r="R32" s="434" t="s">
        <v>490</v>
      </c>
      <c r="S32" s="424"/>
      <c r="T32" s="434" t="s">
        <v>491</v>
      </c>
      <c r="U32" s="434" t="s">
        <v>492</v>
      </c>
      <c r="V32" s="436" t="n">
        <f aca="false">AY37</f>
        <v>0</v>
      </c>
      <c r="W32" s="424"/>
      <c r="X32" s="429"/>
      <c r="Y32" s="426"/>
      <c r="Z32" s="429"/>
      <c r="AA32" s="426"/>
      <c r="AB32" s="426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8"/>
      <c r="AP32" s="427"/>
      <c r="AQ32" s="427"/>
      <c r="AR32" s="427"/>
      <c r="AS32" s="427"/>
      <c r="AT32" s="427"/>
      <c r="AU32" s="427"/>
      <c r="AV32" s="427"/>
      <c r="AW32" s="427"/>
      <c r="AX32" s="433"/>
      <c r="AY32" s="427"/>
      <c r="BN32" s="427"/>
      <c r="BO32" s="428"/>
      <c r="BP32" s="428"/>
      <c r="BQ32" s="429"/>
      <c r="BR32" s="426"/>
      <c r="BS32" s="426"/>
    </row>
    <row r="33" customFormat="false" ht="15" hidden="false" customHeight="true" outlineLevel="0" collapsed="false">
      <c r="A33" s="424"/>
      <c r="B33" s="424"/>
      <c r="C33" s="424"/>
      <c r="D33" s="424"/>
      <c r="E33" s="424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35" t="n">
        <v>27</v>
      </c>
      <c r="R33" s="434" t="s">
        <v>493</v>
      </c>
      <c r="S33" s="424"/>
      <c r="T33" s="434" t="s">
        <v>494</v>
      </c>
      <c r="U33" s="434" t="s">
        <v>495</v>
      </c>
      <c r="V33" s="436" t="n">
        <f aca="false">AY38</f>
        <v>0</v>
      </c>
      <c r="W33" s="424"/>
      <c r="X33" s="429"/>
      <c r="Y33" s="426"/>
      <c r="Z33" s="429"/>
      <c r="AA33" s="426"/>
      <c r="AB33" s="426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8"/>
      <c r="AP33" s="427"/>
      <c r="AQ33" s="427"/>
      <c r="AR33" s="427"/>
      <c r="AS33" s="427"/>
      <c r="AT33" s="427"/>
      <c r="AU33" s="427"/>
      <c r="AV33" s="427"/>
      <c r="AW33" s="427"/>
      <c r="AX33" s="433"/>
      <c r="AY33" s="427"/>
      <c r="BN33" s="427"/>
      <c r="BO33" s="428"/>
      <c r="BP33" s="428"/>
      <c r="BQ33" s="429"/>
      <c r="BR33" s="426"/>
      <c r="BS33" s="426"/>
    </row>
    <row r="34" customFormat="false" ht="15" hidden="false" customHeight="true" outlineLevel="0" collapsed="false">
      <c r="A34" s="424"/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  <c r="P34" s="424"/>
      <c r="Q34" s="435" t="n">
        <v>28</v>
      </c>
      <c r="R34" s="434" t="s">
        <v>496</v>
      </c>
      <c r="S34" s="424"/>
      <c r="T34" s="434" t="s">
        <v>497</v>
      </c>
      <c r="U34" s="434" t="s">
        <v>498</v>
      </c>
      <c r="V34" s="436" t="n">
        <f aca="false">AY39</f>
        <v>0</v>
      </c>
      <c r="W34" s="424"/>
      <c r="X34" s="429"/>
      <c r="Y34" s="426"/>
      <c r="Z34" s="429"/>
      <c r="AA34" s="426"/>
      <c r="AB34" s="426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8"/>
      <c r="AP34" s="427"/>
      <c r="AQ34" s="427"/>
      <c r="AR34" s="427"/>
      <c r="AS34" s="427"/>
      <c r="AT34" s="427"/>
      <c r="AU34" s="427"/>
      <c r="AV34" s="427"/>
      <c r="AW34" s="427"/>
      <c r="AX34" s="433"/>
      <c r="AY34" s="427"/>
      <c r="BN34" s="427"/>
      <c r="BO34" s="428"/>
      <c r="BP34" s="428"/>
      <c r="BQ34" s="429"/>
      <c r="BR34" s="426"/>
      <c r="BS34" s="426"/>
    </row>
    <row r="35" customFormat="false" ht="15" hidden="false" customHeight="true" outlineLevel="0" collapsed="false">
      <c r="A35" s="424"/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35" t="n">
        <v>29</v>
      </c>
      <c r="R35" s="434" t="s">
        <v>499</v>
      </c>
      <c r="S35" s="424"/>
      <c r="T35" s="434" t="s">
        <v>500</v>
      </c>
      <c r="U35" s="434" t="s">
        <v>501</v>
      </c>
      <c r="V35" s="436" t="n">
        <f aca="false">AY40</f>
        <v>0</v>
      </c>
      <c r="W35" s="424"/>
      <c r="X35" s="429"/>
      <c r="Y35" s="426"/>
      <c r="Z35" s="429"/>
      <c r="AA35" s="426"/>
      <c r="AB35" s="426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8"/>
      <c r="AP35" s="427"/>
      <c r="AQ35" s="427"/>
      <c r="AR35" s="427"/>
      <c r="AS35" s="427"/>
      <c r="AT35" s="427"/>
      <c r="AU35" s="427"/>
      <c r="AV35" s="427"/>
      <c r="AW35" s="427"/>
      <c r="AX35" s="433"/>
      <c r="AY35" s="427"/>
      <c r="BN35" s="427"/>
      <c r="BO35" s="428"/>
      <c r="BP35" s="428"/>
      <c r="BQ35" s="429"/>
      <c r="BR35" s="426"/>
      <c r="BS35" s="426"/>
    </row>
    <row r="36" customFormat="false" ht="15" hidden="false" customHeight="true" outlineLevel="0" collapsed="false">
      <c r="A36" s="424"/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35" t="n">
        <v>30</v>
      </c>
      <c r="R36" s="434" t="s">
        <v>502</v>
      </c>
      <c r="S36" s="424"/>
      <c r="T36" s="434" t="s">
        <v>503</v>
      </c>
      <c r="U36" s="434" t="s">
        <v>504</v>
      </c>
      <c r="V36" s="436" t="n">
        <f aca="false">AY41</f>
        <v>0</v>
      </c>
      <c r="W36" s="424"/>
      <c r="X36" s="429"/>
      <c r="Y36" s="426"/>
      <c r="Z36" s="429"/>
      <c r="AA36" s="426"/>
      <c r="AB36" s="426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8"/>
      <c r="AP36" s="427"/>
      <c r="AQ36" s="427"/>
      <c r="AR36" s="427"/>
      <c r="AS36" s="427"/>
      <c r="AT36" s="427"/>
      <c r="AU36" s="427"/>
      <c r="AV36" s="427"/>
      <c r="AW36" s="427"/>
      <c r="AX36" s="433"/>
      <c r="AY36" s="427"/>
      <c r="BN36" s="427"/>
      <c r="BO36" s="428"/>
      <c r="BP36" s="428"/>
      <c r="BQ36" s="429"/>
      <c r="BR36" s="426"/>
      <c r="BS36" s="426"/>
    </row>
    <row r="37" customFormat="false" ht="15" hidden="false" customHeight="true" outlineLevel="0" collapsed="false">
      <c r="A37" s="424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35" t="n">
        <v>31</v>
      </c>
      <c r="R37" s="434" t="s">
        <v>505</v>
      </c>
      <c r="S37" s="424"/>
      <c r="T37" s="434" t="s">
        <v>506</v>
      </c>
      <c r="U37" s="434" t="s">
        <v>507</v>
      </c>
      <c r="V37" s="436" t="n">
        <f aca="false">AY42</f>
        <v>0</v>
      </c>
      <c r="W37" s="424"/>
      <c r="X37" s="429"/>
      <c r="Y37" s="426"/>
      <c r="Z37" s="429"/>
      <c r="AA37" s="426"/>
      <c r="AB37" s="426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8"/>
      <c r="AP37" s="427"/>
      <c r="AQ37" s="427"/>
      <c r="AR37" s="427"/>
      <c r="AS37" s="427"/>
      <c r="AT37" s="427"/>
      <c r="AU37" s="427"/>
      <c r="AV37" s="427"/>
      <c r="AW37" s="427"/>
      <c r="AX37" s="433"/>
      <c r="AY37" s="427"/>
      <c r="BN37" s="427"/>
      <c r="BO37" s="428"/>
      <c r="BP37" s="428"/>
      <c r="BQ37" s="429"/>
      <c r="BR37" s="426"/>
      <c r="BS37" s="426"/>
    </row>
    <row r="38" customFormat="false" ht="15" hidden="false" customHeight="true" outlineLevel="0" collapsed="false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35" t="n">
        <v>32</v>
      </c>
      <c r="R38" s="434" t="s">
        <v>508</v>
      </c>
      <c r="S38" s="424"/>
      <c r="T38" s="434" t="s">
        <v>509</v>
      </c>
      <c r="U38" s="434" t="s">
        <v>510</v>
      </c>
      <c r="V38" s="436" t="n">
        <f aca="false">AY43</f>
        <v>0</v>
      </c>
      <c r="W38" s="424"/>
      <c r="X38" s="429"/>
      <c r="Y38" s="426"/>
      <c r="Z38" s="429"/>
      <c r="AA38" s="426"/>
      <c r="AB38" s="426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8"/>
      <c r="AP38" s="427"/>
      <c r="AQ38" s="427"/>
      <c r="AR38" s="427"/>
      <c r="AS38" s="427"/>
      <c r="AT38" s="427"/>
      <c r="AU38" s="427"/>
      <c r="AV38" s="427"/>
      <c r="AW38" s="427"/>
      <c r="AX38" s="433"/>
      <c r="AY38" s="427"/>
      <c r="BN38" s="427"/>
      <c r="BO38" s="428"/>
      <c r="BP38" s="428"/>
      <c r="BQ38" s="429"/>
      <c r="BR38" s="426"/>
      <c r="BS38" s="426"/>
    </row>
    <row r="39" customFormat="false" ht="15" hidden="false" customHeight="true" outlineLevel="0" collapsed="false">
      <c r="A39" s="440"/>
      <c r="B39" s="435" t="e">
        <f aca="false">G24</f>
        <v>#VALUE!</v>
      </c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35" t="n">
        <v>33</v>
      </c>
      <c r="R39" s="434" t="s">
        <v>511</v>
      </c>
      <c r="S39" s="424"/>
      <c r="T39" s="434" t="s">
        <v>512</v>
      </c>
      <c r="U39" s="434" t="s">
        <v>513</v>
      </c>
      <c r="V39" s="436" t="n">
        <f aca="false">AY44</f>
        <v>0</v>
      </c>
      <c r="W39" s="424"/>
      <c r="X39" s="429"/>
      <c r="Y39" s="426"/>
      <c r="Z39" s="429"/>
      <c r="AA39" s="426"/>
      <c r="AB39" s="426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8"/>
      <c r="AP39" s="427"/>
      <c r="AQ39" s="427"/>
      <c r="AR39" s="427"/>
      <c r="AS39" s="427"/>
      <c r="AT39" s="427"/>
      <c r="AU39" s="427"/>
      <c r="AV39" s="427"/>
      <c r="AW39" s="427"/>
      <c r="AX39" s="433"/>
      <c r="AY39" s="427"/>
      <c r="BB39" s="429"/>
      <c r="BC39" s="428"/>
      <c r="BG39" s="427"/>
      <c r="BH39" s="437"/>
      <c r="BJ39" s="427"/>
      <c r="BK39" s="437"/>
      <c r="BL39" s="427"/>
      <c r="BM39" s="429"/>
      <c r="BN39" s="427"/>
      <c r="BO39" s="428"/>
      <c r="BP39" s="428"/>
      <c r="BQ39" s="429"/>
      <c r="BR39" s="426"/>
      <c r="BS39" s="426"/>
    </row>
    <row r="40" customFormat="false" ht="15" hidden="false" customHeight="true" outlineLevel="0" collapsed="false">
      <c r="A40" s="440"/>
      <c r="B40" s="435" t="str">
        <f aca="false">H24</f>
        <v/>
      </c>
      <c r="C40" s="424"/>
      <c r="D40" s="424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35" t="n">
        <v>34</v>
      </c>
      <c r="R40" s="434" t="s">
        <v>514</v>
      </c>
      <c r="S40" s="424"/>
      <c r="T40" s="434" t="s">
        <v>515</v>
      </c>
      <c r="U40" s="434" t="s">
        <v>516</v>
      </c>
      <c r="V40" s="436" t="n">
        <f aca="false">AY45</f>
        <v>0</v>
      </c>
      <c r="W40" s="424"/>
      <c r="X40" s="429"/>
      <c r="Y40" s="426"/>
      <c r="Z40" s="429"/>
      <c r="AA40" s="426"/>
      <c r="AB40" s="426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8"/>
      <c r="AP40" s="427"/>
      <c r="AQ40" s="427"/>
      <c r="AR40" s="427"/>
      <c r="AS40" s="427"/>
      <c r="AT40" s="427"/>
      <c r="AU40" s="427"/>
      <c r="AV40" s="427"/>
      <c r="AW40" s="427"/>
      <c r="AX40" s="433"/>
      <c r="AY40" s="427"/>
      <c r="BA40" s="427"/>
      <c r="BB40" s="427"/>
      <c r="BC40" s="427"/>
      <c r="BD40" s="427"/>
      <c r="BE40" s="427"/>
      <c r="BG40" s="427"/>
      <c r="BH40" s="427"/>
      <c r="BJ40" s="427"/>
      <c r="BK40" s="427"/>
      <c r="BL40" s="427"/>
      <c r="BN40" s="427"/>
      <c r="BO40" s="428"/>
      <c r="BP40" s="428"/>
      <c r="BQ40" s="429"/>
      <c r="BR40" s="426"/>
      <c r="BS40" s="426"/>
    </row>
    <row r="41" customFormat="false" ht="15" hidden="false" customHeight="true" outlineLevel="0" collapsed="false">
      <c r="A41" s="440"/>
      <c r="B41" s="435" t="str">
        <f aca="false">I24</f>
        <v> Dua puluh tiga</v>
      </c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35" t="n">
        <v>35</v>
      </c>
      <c r="R41" s="434" t="s">
        <v>517</v>
      </c>
      <c r="S41" s="424"/>
      <c r="T41" s="434" t="s">
        <v>518</v>
      </c>
      <c r="U41" s="434" t="s">
        <v>519</v>
      </c>
      <c r="V41" s="436" t="n">
        <f aca="false">AY46</f>
        <v>0</v>
      </c>
      <c r="W41" s="424"/>
      <c r="X41" s="429"/>
      <c r="Y41" s="426"/>
      <c r="Z41" s="429"/>
      <c r="AA41" s="426"/>
      <c r="AB41" s="426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8"/>
      <c r="AP41" s="427"/>
      <c r="AQ41" s="427"/>
      <c r="AR41" s="427"/>
      <c r="AS41" s="427"/>
      <c r="AT41" s="427"/>
      <c r="AU41" s="427"/>
      <c r="AV41" s="427"/>
      <c r="AW41" s="427"/>
      <c r="AX41" s="433"/>
      <c r="AY41" s="427"/>
      <c r="BC41" s="428"/>
      <c r="BG41" s="427"/>
      <c r="BH41" s="437"/>
      <c r="BJ41" s="427"/>
      <c r="BK41" s="427"/>
      <c r="BL41" s="427"/>
      <c r="BM41" s="429"/>
      <c r="BN41" s="427"/>
      <c r="BO41" s="428"/>
      <c r="BP41" s="428"/>
      <c r="BQ41" s="429"/>
      <c r="BR41" s="429"/>
      <c r="BS41" s="426"/>
    </row>
    <row r="42" customFormat="false" ht="13.5" hidden="false" customHeight="false" outlineLevel="0" collapsed="false">
      <c r="A42" s="440"/>
      <c r="B42" s="435" t="str">
        <f aca="false">J24</f>
        <v> ribu</v>
      </c>
      <c r="C42" s="424"/>
      <c r="D42" s="424"/>
      <c r="E42" s="424"/>
      <c r="F42" s="424"/>
      <c r="G42" s="424"/>
      <c r="H42" s="424"/>
      <c r="I42" s="424"/>
      <c r="J42" s="424"/>
      <c r="K42" s="424"/>
      <c r="L42" s="424"/>
      <c r="M42" s="424"/>
      <c r="N42" s="424"/>
      <c r="O42" s="424"/>
      <c r="P42" s="424"/>
      <c r="Q42" s="435" t="n">
        <v>36</v>
      </c>
      <c r="R42" s="434" t="s">
        <v>520</v>
      </c>
      <c r="S42" s="424"/>
      <c r="T42" s="434" t="s">
        <v>521</v>
      </c>
      <c r="U42" s="434" t="s">
        <v>522</v>
      </c>
      <c r="V42" s="436" t="n">
        <f aca="false">AY47</f>
        <v>0</v>
      </c>
      <c r="W42" s="424"/>
      <c r="X42" s="429"/>
      <c r="Y42" s="426"/>
      <c r="Z42" s="429"/>
      <c r="AA42" s="426"/>
      <c r="AB42" s="426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8"/>
      <c r="AP42" s="427"/>
      <c r="AQ42" s="427"/>
      <c r="AR42" s="427"/>
      <c r="AS42" s="427"/>
      <c r="AT42" s="427"/>
      <c r="AU42" s="427"/>
      <c r="AV42" s="427"/>
      <c r="AW42" s="427"/>
      <c r="AX42" s="433"/>
      <c r="AY42" s="427"/>
      <c r="BC42" s="428"/>
      <c r="BG42" s="427"/>
      <c r="BH42" s="437"/>
      <c r="BJ42" s="427"/>
      <c r="BK42" s="427"/>
      <c r="BL42" s="427"/>
      <c r="BM42" s="429"/>
      <c r="BN42" s="427"/>
      <c r="BO42" s="428"/>
      <c r="BP42" s="428"/>
      <c r="BQ42" s="429"/>
      <c r="BR42" s="429"/>
      <c r="BS42" s="426"/>
    </row>
    <row r="43" customFormat="false" ht="13.5" hidden="false" customHeight="false" outlineLevel="0" collapsed="false">
      <c r="A43" s="440"/>
      <c r="B43" s="440" t="str">
        <f aca="false">K24</f>
        <v/>
      </c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35" t="n">
        <v>37</v>
      </c>
      <c r="R43" s="434" t="s">
        <v>523</v>
      </c>
      <c r="S43" s="424"/>
      <c r="T43" s="434" t="s">
        <v>524</v>
      </c>
      <c r="U43" s="434" t="s">
        <v>525</v>
      </c>
      <c r="V43" s="436" t="n">
        <f aca="false">AY48</f>
        <v>0</v>
      </c>
      <c r="W43" s="424"/>
      <c r="X43" s="429"/>
      <c r="Y43" s="426"/>
      <c r="Z43" s="429"/>
      <c r="AA43" s="426"/>
      <c r="AB43" s="426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8"/>
      <c r="AP43" s="427"/>
      <c r="AQ43" s="427"/>
      <c r="AR43" s="427"/>
      <c r="AS43" s="427"/>
      <c r="AT43" s="427"/>
      <c r="AU43" s="427"/>
      <c r="AV43" s="427"/>
      <c r="AW43" s="427"/>
      <c r="AX43" s="433"/>
      <c r="AY43" s="427"/>
      <c r="BC43" s="428"/>
      <c r="BG43" s="427"/>
      <c r="BH43" s="437"/>
      <c r="BJ43" s="427"/>
      <c r="BK43" s="427"/>
      <c r="BL43" s="427"/>
      <c r="BM43" s="429"/>
      <c r="BN43" s="427"/>
      <c r="BO43" s="428"/>
      <c r="BP43" s="428"/>
      <c r="BQ43" s="429"/>
      <c r="BR43" s="429"/>
      <c r="BS43" s="426"/>
    </row>
    <row r="44" customFormat="false" ht="13.5" hidden="false" customHeight="false" outlineLevel="0" collapsed="false">
      <c r="A44" s="440"/>
      <c r="B44" s="435" t="str">
        <f aca="false">L24</f>
        <v/>
      </c>
      <c r="C44" s="424"/>
      <c r="D44" s="424"/>
      <c r="E44" s="424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4"/>
      <c r="Q44" s="435" t="n">
        <v>38</v>
      </c>
      <c r="R44" s="434" t="s">
        <v>526</v>
      </c>
      <c r="S44" s="424"/>
      <c r="T44" s="434" t="s">
        <v>527</v>
      </c>
      <c r="U44" s="434" t="s">
        <v>528</v>
      </c>
      <c r="V44" s="436" t="n">
        <f aca="false">AY49</f>
        <v>0</v>
      </c>
      <c r="W44" s="424"/>
      <c r="X44" s="429"/>
      <c r="Y44" s="426"/>
      <c r="Z44" s="429"/>
      <c r="AA44" s="426"/>
      <c r="AB44" s="426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8"/>
      <c r="AP44" s="427"/>
      <c r="AQ44" s="427"/>
      <c r="AR44" s="427"/>
      <c r="AS44" s="427"/>
      <c r="AT44" s="427"/>
      <c r="AU44" s="427"/>
      <c r="AV44" s="427"/>
      <c r="AW44" s="427"/>
      <c r="AX44" s="433"/>
      <c r="AY44" s="427"/>
      <c r="BB44" s="429"/>
      <c r="BC44" s="428"/>
      <c r="BG44" s="427"/>
      <c r="BH44" s="437"/>
      <c r="BJ44" s="427"/>
      <c r="BK44" s="427"/>
      <c r="BL44" s="427"/>
      <c r="BM44" s="429"/>
      <c r="BN44" s="427"/>
      <c r="BO44" s="428"/>
      <c r="BP44" s="429"/>
      <c r="BQ44" s="429"/>
      <c r="BR44" s="429"/>
      <c r="BS44" s="426"/>
    </row>
    <row r="45" customFormat="false" ht="13.5" hidden="false" customHeight="false" outlineLevel="0" collapsed="false">
      <c r="A45" s="440"/>
      <c r="B45" s="435" t="str">
        <f aca="false">M24</f>
        <v> Rupiah </v>
      </c>
      <c r="C45" s="424"/>
      <c r="D45" s="424"/>
      <c r="E45" s="424"/>
      <c r="F45" s="424"/>
      <c r="G45" s="424"/>
      <c r="H45" s="424"/>
      <c r="I45" s="424"/>
      <c r="J45" s="424"/>
      <c r="K45" s="424"/>
      <c r="L45" s="424"/>
      <c r="M45" s="424"/>
      <c r="N45" s="424"/>
      <c r="O45" s="424"/>
      <c r="P45" s="424"/>
      <c r="Q45" s="435" t="n">
        <v>39</v>
      </c>
      <c r="R45" s="434" t="s">
        <v>529</v>
      </c>
      <c r="S45" s="424"/>
      <c r="T45" s="434" t="s">
        <v>530</v>
      </c>
      <c r="U45" s="434" t="s">
        <v>531</v>
      </c>
      <c r="V45" s="436" t="n">
        <f aca="false">AY50</f>
        <v>0</v>
      </c>
      <c r="W45" s="424"/>
      <c r="X45" s="429"/>
      <c r="Y45" s="426"/>
      <c r="Z45" s="429"/>
      <c r="AA45" s="426"/>
      <c r="AB45" s="426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8"/>
      <c r="AP45" s="427"/>
      <c r="AQ45" s="427"/>
      <c r="AR45" s="427"/>
      <c r="AS45" s="427"/>
      <c r="AT45" s="427"/>
      <c r="AU45" s="427"/>
      <c r="AV45" s="427"/>
      <c r="AW45" s="427"/>
      <c r="AX45" s="433"/>
      <c r="AY45" s="427"/>
      <c r="BC45" s="428"/>
      <c r="BG45" s="427"/>
      <c r="BH45" s="437"/>
      <c r="BJ45" s="427"/>
      <c r="BK45" s="427"/>
      <c r="BL45" s="427"/>
      <c r="BM45" s="429"/>
      <c r="BN45" s="427"/>
      <c r="BO45" s="428"/>
      <c r="BP45" s="428"/>
      <c r="BQ45" s="429"/>
      <c r="BR45" s="429"/>
      <c r="BS45" s="426"/>
    </row>
    <row r="46" customFormat="false" ht="13.5" hidden="false" customHeight="false" outlineLevel="0" collapsed="false">
      <c r="A46" s="436" t="e">
        <f aca="false">+#REF!</f>
        <v>#REF!</v>
      </c>
      <c r="B46" s="435" t="str">
        <f aca="false">O24</f>
        <v/>
      </c>
      <c r="C46" s="424"/>
      <c r="D46" s="424"/>
      <c r="E46" s="424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4"/>
      <c r="Q46" s="435" t="n">
        <v>40</v>
      </c>
      <c r="R46" s="434" t="s">
        <v>532</v>
      </c>
      <c r="S46" s="424"/>
      <c r="T46" s="434" t="s">
        <v>533</v>
      </c>
      <c r="U46" s="434" t="s">
        <v>534</v>
      </c>
      <c r="V46" s="436" t="n">
        <f aca="false">AY51</f>
        <v>0</v>
      </c>
      <c r="W46" s="424"/>
      <c r="X46" s="429"/>
      <c r="Z46" s="426"/>
      <c r="AA46" s="426"/>
      <c r="AB46" s="426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8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BC46" s="428"/>
      <c r="BG46" s="427"/>
      <c r="BH46" s="437"/>
      <c r="BJ46" s="427"/>
      <c r="BK46" s="427"/>
      <c r="BL46" s="427"/>
      <c r="BM46" s="429"/>
      <c r="BN46" s="427"/>
      <c r="BO46" s="428"/>
      <c r="BP46" s="428"/>
      <c r="BQ46" s="429"/>
      <c r="BR46" s="429"/>
      <c r="BS46" s="426"/>
    </row>
    <row r="47" customFormat="false" ht="13.5" hidden="false" customHeight="false" outlineLevel="0" collapsed="false">
      <c r="A47" s="440"/>
      <c r="B47" s="435" t="str">
        <f aca="false">IF(N22&gt;0,"-","====")</f>
        <v>====</v>
      </c>
      <c r="C47" s="424"/>
      <c r="D47" s="424"/>
      <c r="E47" s="424"/>
      <c r="F47" s="424"/>
      <c r="G47" s="424"/>
      <c r="H47" s="424"/>
      <c r="I47" s="424"/>
      <c r="J47" s="424"/>
      <c r="K47" s="424"/>
      <c r="L47" s="424"/>
      <c r="M47" s="424"/>
      <c r="N47" s="424"/>
      <c r="O47" s="424"/>
      <c r="P47" s="424"/>
      <c r="Q47" s="435" t="n">
        <v>41</v>
      </c>
      <c r="R47" s="434" t="s">
        <v>535</v>
      </c>
      <c r="S47" s="424"/>
      <c r="T47" s="434" t="s">
        <v>536</v>
      </c>
      <c r="U47" s="434" t="s">
        <v>537</v>
      </c>
      <c r="V47" s="436" t="n">
        <f aca="false">AY52</f>
        <v>0</v>
      </c>
      <c r="W47" s="424"/>
      <c r="AB47" s="427"/>
      <c r="AC47" s="427"/>
      <c r="AE47" s="427"/>
      <c r="AG47" s="427"/>
      <c r="AO47" s="428"/>
      <c r="AP47" s="427"/>
      <c r="AR47" s="427"/>
      <c r="AY47" s="427"/>
      <c r="BB47" s="429"/>
      <c r="BC47" s="428"/>
      <c r="BG47" s="427"/>
      <c r="BH47" s="437"/>
      <c r="BJ47" s="427"/>
      <c r="BK47" s="427"/>
      <c r="BL47" s="427"/>
      <c r="BM47" s="429"/>
      <c r="BN47" s="427"/>
      <c r="BO47" s="428"/>
      <c r="BP47" s="428"/>
      <c r="BQ47" s="429"/>
      <c r="BR47" s="429"/>
      <c r="BS47" s="426"/>
    </row>
    <row r="48" customFormat="false" ht="13.5" hidden="false" customHeight="false" outlineLevel="0" collapsed="false">
      <c r="A48" s="435" t="e">
        <f aca="false">B24&amp;C24&amp;D24&amp;E24&amp;F24&amp;G24&amp;H24&amp;I24&amp;J24&amp;K24&amp;L24&amp;M24&amp;O24</f>
        <v>#N/A</v>
      </c>
      <c r="B48" s="424"/>
      <c r="C48" s="424"/>
      <c r="D48" s="424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35" t="n">
        <v>42</v>
      </c>
      <c r="R48" s="434" t="s">
        <v>538</v>
      </c>
      <c r="S48" s="424"/>
      <c r="T48" s="434" t="s">
        <v>539</v>
      </c>
      <c r="U48" s="434" t="s">
        <v>540</v>
      </c>
      <c r="V48" s="436" t="n">
        <f aca="false">AY53</f>
        <v>0</v>
      </c>
      <c r="W48" s="424"/>
      <c r="AC48" s="427"/>
      <c r="AE48" s="427"/>
      <c r="AG48" s="427"/>
      <c r="AO48" s="428"/>
      <c r="AY48" s="427"/>
      <c r="BB48" s="429"/>
      <c r="BC48" s="428"/>
      <c r="BG48" s="427"/>
      <c r="BH48" s="437"/>
      <c r="BJ48" s="427"/>
      <c r="BK48" s="427"/>
      <c r="BL48" s="427"/>
      <c r="BM48" s="429"/>
      <c r="BN48" s="427"/>
      <c r="BO48" s="428"/>
      <c r="BQ48" s="429"/>
      <c r="BR48" s="429"/>
      <c r="BS48" s="426"/>
    </row>
    <row r="49" customFormat="false" ht="13.5" hidden="false" customHeight="false" outlineLevel="0" collapsed="false">
      <c r="A49" s="440" t="str">
        <f aca="false">I24&amp;J24&amp;K24&amp;L24&amp;M24&amp;O24</f>
        <v> Dua puluh tiga ribu Rupiah </v>
      </c>
      <c r="B49" s="424"/>
      <c r="C49" s="424"/>
      <c r="D49" s="424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35" t="n">
        <v>43</v>
      </c>
      <c r="R49" s="434" t="s">
        <v>541</v>
      </c>
      <c r="S49" s="424"/>
      <c r="T49" s="434" t="s">
        <v>542</v>
      </c>
      <c r="U49" s="434" t="s">
        <v>543</v>
      </c>
      <c r="V49" s="436" t="n">
        <f aca="false">AY54</f>
        <v>0</v>
      </c>
      <c r="W49" s="424"/>
      <c r="AB49" s="427"/>
      <c r="AO49" s="428"/>
      <c r="AY49" s="427"/>
      <c r="BC49" s="428"/>
      <c r="BG49" s="427"/>
      <c r="BH49" s="437"/>
      <c r="BJ49" s="427"/>
      <c r="BK49" s="427"/>
      <c r="BL49" s="427"/>
      <c r="BM49" s="429"/>
      <c r="BN49" s="427"/>
      <c r="BO49" s="428"/>
      <c r="BP49" s="428"/>
      <c r="BQ49" s="429"/>
      <c r="BR49" s="429"/>
      <c r="BS49" s="426"/>
    </row>
    <row r="50" customFormat="false" ht="13.5" hidden="false" customHeight="false" outlineLevel="0" collapsed="false">
      <c r="A50" s="440"/>
      <c r="B50" s="424"/>
      <c r="C50" s="424"/>
      <c r="D50" s="424"/>
      <c r="E50" s="424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35" t="n">
        <v>44</v>
      </c>
      <c r="R50" s="434" t="s">
        <v>544</v>
      </c>
      <c r="S50" s="424"/>
      <c r="T50" s="434" t="s">
        <v>545</v>
      </c>
      <c r="U50" s="434" t="s">
        <v>546</v>
      </c>
      <c r="V50" s="436" t="n">
        <f aca="false">AY55</f>
        <v>0</v>
      </c>
      <c r="W50" s="424"/>
      <c r="AO50" s="428"/>
      <c r="AY50" s="427"/>
      <c r="BB50" s="427"/>
      <c r="BC50" s="428"/>
      <c r="BG50" s="427"/>
      <c r="BH50" s="437"/>
      <c r="BJ50" s="427"/>
      <c r="BK50" s="427"/>
      <c r="BL50" s="427"/>
      <c r="BM50" s="429"/>
      <c r="BN50" s="427"/>
      <c r="BO50" s="428"/>
      <c r="BP50" s="428"/>
      <c r="BQ50" s="429"/>
      <c r="BR50" s="426"/>
      <c r="BS50" s="426"/>
    </row>
    <row r="51" customFormat="false" ht="13.5" hidden="false" customHeight="false" outlineLevel="0" collapsed="false">
      <c r="A51" s="440"/>
      <c r="B51" s="424"/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35" t="n">
        <v>45</v>
      </c>
      <c r="R51" s="434" t="s">
        <v>547</v>
      </c>
      <c r="S51" s="424"/>
      <c r="T51" s="434" t="s">
        <v>548</v>
      </c>
      <c r="U51" s="434" t="s">
        <v>549</v>
      </c>
      <c r="V51" s="436" t="n">
        <f aca="false">AY56</f>
        <v>0</v>
      </c>
      <c r="W51" s="424"/>
      <c r="X51" s="429"/>
      <c r="Y51" s="426"/>
      <c r="Z51" s="429"/>
      <c r="AA51" s="426"/>
      <c r="AB51" s="426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8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BB51" s="427"/>
      <c r="BC51" s="428"/>
      <c r="BG51" s="427"/>
      <c r="BH51" s="437"/>
      <c r="BJ51" s="427"/>
      <c r="BK51" s="427"/>
      <c r="BL51" s="427"/>
      <c r="BN51" s="427"/>
      <c r="BO51" s="428"/>
      <c r="BP51" s="428"/>
      <c r="BQ51" s="429"/>
      <c r="BR51" s="429"/>
      <c r="BS51" s="426"/>
    </row>
    <row r="52" customFormat="false" ht="13.5" hidden="false" customHeight="false" outlineLevel="0" collapsed="false">
      <c r="A52" s="440"/>
      <c r="B52" s="424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35" t="n">
        <v>46</v>
      </c>
      <c r="R52" s="434" t="s">
        <v>550</v>
      </c>
      <c r="S52" s="424"/>
      <c r="T52" s="434" t="s">
        <v>551</v>
      </c>
      <c r="U52" s="434" t="s">
        <v>552</v>
      </c>
      <c r="V52" s="436" t="n">
        <f aca="false">AY57</f>
        <v>0</v>
      </c>
      <c r="W52" s="424"/>
      <c r="X52" s="429"/>
      <c r="Y52" s="426"/>
      <c r="Z52" s="429"/>
      <c r="AA52" s="426"/>
      <c r="AB52" s="426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8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BC52" s="428"/>
      <c r="BG52" s="427"/>
      <c r="BH52" s="437"/>
      <c r="BJ52" s="427"/>
      <c r="BK52" s="427"/>
      <c r="BL52" s="427"/>
      <c r="BN52" s="427"/>
      <c r="BO52" s="428"/>
      <c r="BP52" s="428"/>
      <c r="BQ52" s="429"/>
      <c r="BR52" s="429"/>
      <c r="BS52" s="426"/>
    </row>
    <row r="53" customFormat="false" ht="13.5" hidden="false" customHeight="false" outlineLevel="0" collapsed="false">
      <c r="A53" s="440"/>
      <c r="B53" s="424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35" t="n">
        <v>47</v>
      </c>
      <c r="R53" s="434" t="s">
        <v>553</v>
      </c>
      <c r="S53" s="424"/>
      <c r="T53" s="434" t="s">
        <v>554</v>
      </c>
      <c r="U53" s="434" t="s">
        <v>555</v>
      </c>
      <c r="V53" s="436" t="n">
        <f aca="false">AY58</f>
        <v>0</v>
      </c>
      <c r="W53" s="424"/>
      <c r="X53" s="429"/>
      <c r="Y53" s="426"/>
      <c r="Z53" s="429"/>
      <c r="AA53" s="426"/>
      <c r="AB53" s="426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8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BC53" s="428"/>
      <c r="BG53" s="427"/>
      <c r="BH53" s="437"/>
      <c r="BJ53" s="427"/>
      <c r="BK53" s="427"/>
      <c r="BL53" s="427"/>
      <c r="BN53" s="427"/>
      <c r="BO53" s="428"/>
      <c r="BQ53" s="429"/>
      <c r="BR53" s="429"/>
      <c r="BS53" s="426"/>
    </row>
    <row r="54" customFormat="false" ht="13.5" hidden="false" customHeight="false" outlineLevel="0" collapsed="false">
      <c r="A54" s="424"/>
      <c r="B54" s="424"/>
      <c r="C54" s="424"/>
      <c r="D54" s="424"/>
      <c r="E54" s="424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35" t="n">
        <v>48</v>
      </c>
      <c r="R54" s="434" t="s">
        <v>556</v>
      </c>
      <c r="S54" s="424"/>
      <c r="T54" s="434" t="s">
        <v>557</v>
      </c>
      <c r="U54" s="434" t="s">
        <v>558</v>
      </c>
      <c r="V54" s="436" t="n">
        <f aca="false">AY59</f>
        <v>0</v>
      </c>
      <c r="W54" s="424"/>
      <c r="X54" s="429"/>
      <c r="Y54" s="426"/>
      <c r="Z54" s="429"/>
      <c r="AA54" s="426"/>
      <c r="AB54" s="426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8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BC54" s="428"/>
      <c r="BG54" s="427"/>
      <c r="BH54" s="437"/>
      <c r="BJ54" s="427"/>
      <c r="BK54" s="427"/>
      <c r="BL54" s="427"/>
      <c r="BN54" s="427"/>
      <c r="BO54" s="428"/>
      <c r="BQ54" s="429"/>
      <c r="BR54" s="429"/>
      <c r="BS54" s="426"/>
    </row>
    <row r="55" customFormat="false" ht="13.5" hidden="false" customHeight="false" outlineLevel="0" collapsed="false">
      <c r="A55" s="424"/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35" t="n">
        <v>49</v>
      </c>
      <c r="R55" s="434" t="s">
        <v>559</v>
      </c>
      <c r="S55" s="424"/>
      <c r="T55" s="434" t="s">
        <v>560</v>
      </c>
      <c r="U55" s="434" t="s">
        <v>561</v>
      </c>
      <c r="V55" s="436" t="n">
        <f aca="false">AY60</f>
        <v>0</v>
      </c>
      <c r="W55" s="424"/>
      <c r="X55" s="429"/>
      <c r="Y55" s="426"/>
      <c r="Z55" s="429"/>
      <c r="AA55" s="426"/>
      <c r="AB55" s="426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8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BC55" s="428"/>
      <c r="BG55" s="427"/>
      <c r="BH55" s="437"/>
      <c r="BJ55" s="427"/>
      <c r="BK55" s="427"/>
      <c r="BL55" s="427"/>
      <c r="BN55" s="427"/>
      <c r="BO55" s="428"/>
      <c r="BQ55" s="429"/>
      <c r="BR55" s="429"/>
      <c r="BS55" s="426"/>
    </row>
    <row r="56" customFormat="false" ht="13.5" hidden="false" customHeight="false" outlineLevel="0" collapsed="false">
      <c r="A56" s="424"/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35" t="n">
        <v>50</v>
      </c>
      <c r="R56" s="434" t="s">
        <v>562</v>
      </c>
      <c r="S56" s="424"/>
      <c r="T56" s="434" t="s">
        <v>563</v>
      </c>
      <c r="U56" s="434" t="s">
        <v>564</v>
      </c>
      <c r="V56" s="436" t="n">
        <f aca="false">AY61</f>
        <v>0</v>
      </c>
      <c r="W56" s="424"/>
      <c r="X56" s="429"/>
      <c r="Y56" s="426"/>
      <c r="Z56" s="429"/>
      <c r="AA56" s="426"/>
      <c r="AB56" s="426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8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BC56" s="428"/>
      <c r="BG56" s="427"/>
      <c r="BH56" s="437"/>
      <c r="BJ56" s="427"/>
      <c r="BK56" s="427"/>
      <c r="BL56" s="427"/>
      <c r="BN56" s="427"/>
      <c r="BO56" s="428"/>
      <c r="BQ56" s="429"/>
      <c r="BR56" s="429"/>
      <c r="BS56" s="426"/>
    </row>
    <row r="57" customFormat="false" ht="13.5" hidden="false" customHeight="false" outlineLevel="0" collapsed="false">
      <c r="A57" s="424"/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35" t="n">
        <v>51</v>
      </c>
      <c r="R57" s="434" t="s">
        <v>565</v>
      </c>
      <c r="S57" s="424"/>
      <c r="T57" s="434" t="s">
        <v>566</v>
      </c>
      <c r="U57" s="434" t="s">
        <v>567</v>
      </c>
      <c r="V57" s="436" t="n">
        <f aca="false">AY62</f>
        <v>0</v>
      </c>
      <c r="W57" s="424"/>
      <c r="X57" s="429"/>
      <c r="Y57" s="426"/>
      <c r="Z57" s="429"/>
      <c r="AA57" s="426"/>
      <c r="AB57" s="426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8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BC57" s="428"/>
      <c r="BG57" s="427"/>
      <c r="BH57" s="437"/>
      <c r="BJ57" s="427"/>
      <c r="BK57" s="427"/>
      <c r="BL57" s="427"/>
      <c r="BN57" s="427"/>
      <c r="BO57" s="428"/>
      <c r="BQ57" s="429"/>
      <c r="BR57" s="429"/>
      <c r="BS57" s="426"/>
    </row>
    <row r="58" customFormat="false" ht="13.5" hidden="false" customHeight="false" outlineLevel="0" collapsed="false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35" t="n">
        <v>52</v>
      </c>
      <c r="R58" s="434" t="s">
        <v>568</v>
      </c>
      <c r="S58" s="424"/>
      <c r="T58" s="434" t="s">
        <v>569</v>
      </c>
      <c r="U58" s="434" t="s">
        <v>570</v>
      </c>
      <c r="V58" s="436" t="n">
        <f aca="false">AY63</f>
        <v>0</v>
      </c>
      <c r="W58" s="424"/>
      <c r="X58" s="429"/>
      <c r="Y58" s="426"/>
      <c r="Z58" s="429"/>
      <c r="AA58" s="426"/>
      <c r="AB58" s="426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8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BC58" s="428"/>
      <c r="BG58" s="427"/>
      <c r="BH58" s="437"/>
      <c r="BJ58" s="427"/>
      <c r="BK58" s="427"/>
      <c r="BL58" s="427"/>
      <c r="BN58" s="427"/>
      <c r="BO58" s="428"/>
      <c r="BQ58" s="429"/>
      <c r="BR58" s="429"/>
      <c r="BS58" s="426"/>
    </row>
    <row r="59" customFormat="false" ht="13.5" hidden="false" customHeight="false" outlineLevel="0" collapsed="false">
      <c r="A59" s="424"/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35" t="n">
        <v>53</v>
      </c>
      <c r="R59" s="434" t="s">
        <v>571</v>
      </c>
      <c r="S59" s="424"/>
      <c r="T59" s="434" t="s">
        <v>572</v>
      </c>
      <c r="U59" s="434" t="s">
        <v>573</v>
      </c>
      <c r="V59" s="436" t="n">
        <f aca="false">AY64</f>
        <v>0</v>
      </c>
      <c r="W59" s="424"/>
      <c r="X59" s="429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8"/>
      <c r="AP59" s="427"/>
      <c r="AQ59" s="427"/>
      <c r="AR59" s="427"/>
      <c r="AS59" s="427"/>
      <c r="AT59" s="427"/>
      <c r="AX59" s="427"/>
      <c r="AY59" s="427"/>
      <c r="BC59" s="428"/>
      <c r="BD59" s="428"/>
      <c r="BE59" s="428"/>
      <c r="BG59" s="428"/>
      <c r="BH59" s="428"/>
      <c r="BJ59" s="428"/>
      <c r="BK59" s="428"/>
      <c r="BL59" s="428"/>
      <c r="BM59" s="428"/>
      <c r="BN59" s="439"/>
      <c r="BO59" s="428"/>
      <c r="BQ59" s="429"/>
      <c r="BR59" s="429"/>
      <c r="BS59" s="426"/>
    </row>
    <row r="60" customFormat="false" ht="13.5" hidden="false" customHeight="false" outlineLevel="0" collapsed="false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35" t="n">
        <v>54</v>
      </c>
      <c r="R60" s="434" t="s">
        <v>574</v>
      </c>
      <c r="S60" s="424"/>
      <c r="T60" s="434" t="s">
        <v>575</v>
      </c>
      <c r="U60" s="434" t="s">
        <v>576</v>
      </c>
      <c r="V60" s="436" t="n">
        <f aca="false">AY65</f>
        <v>0</v>
      </c>
      <c r="W60" s="424"/>
      <c r="X60" s="429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8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BC60" s="428"/>
      <c r="BD60" s="429"/>
      <c r="BG60" s="431"/>
      <c r="BH60" s="437"/>
      <c r="BJ60" s="431"/>
      <c r="BK60" s="427"/>
      <c r="BL60" s="427"/>
      <c r="BM60" s="426"/>
      <c r="BN60" s="427"/>
      <c r="BO60" s="428"/>
      <c r="BQ60" s="429"/>
      <c r="BR60" s="426"/>
      <c r="BS60" s="426"/>
    </row>
    <row r="61" customFormat="false" ht="13.5" hidden="false" customHeight="false" outlineLevel="0" collapsed="false">
      <c r="A61" s="424"/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35" t="n">
        <v>55</v>
      </c>
      <c r="R61" s="434" t="s">
        <v>577</v>
      </c>
      <c r="S61" s="424"/>
      <c r="T61" s="434" t="s">
        <v>578</v>
      </c>
      <c r="U61" s="434" t="s">
        <v>579</v>
      </c>
      <c r="V61" s="436" t="n">
        <f aca="false">AY66</f>
        <v>0</v>
      </c>
      <c r="W61" s="424"/>
      <c r="X61" s="429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8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BC61" s="428"/>
      <c r="BE61" s="426"/>
      <c r="BG61" s="426"/>
      <c r="BN61" s="427"/>
      <c r="BO61" s="428"/>
      <c r="BQ61" s="429"/>
      <c r="BR61" s="429"/>
      <c r="BS61" s="426"/>
    </row>
    <row r="62" customFormat="false" ht="13.5" hidden="false" customHeight="false" outlineLevel="0" collapsed="false">
      <c r="A62" s="424"/>
      <c r="B62" s="424"/>
      <c r="C62" s="424"/>
      <c r="D62" s="424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35" t="n">
        <v>56</v>
      </c>
      <c r="R62" s="434" t="s">
        <v>580</v>
      </c>
      <c r="S62" s="424"/>
      <c r="T62" s="434" t="s">
        <v>581</v>
      </c>
      <c r="U62" s="434" t="s">
        <v>582</v>
      </c>
      <c r="V62" s="436" t="n">
        <f aca="false">AY67</f>
        <v>0</v>
      </c>
      <c r="W62" s="424"/>
      <c r="X62" s="429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8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BC62" s="428"/>
      <c r="BE62" s="426"/>
      <c r="BG62" s="426"/>
      <c r="BN62" s="427"/>
      <c r="BO62" s="428"/>
      <c r="BQ62" s="429"/>
      <c r="BR62" s="429"/>
      <c r="BS62" s="426"/>
    </row>
    <row r="63" customFormat="false" ht="13.5" hidden="false" customHeight="false" outlineLevel="0" collapsed="false">
      <c r="A63" s="424"/>
      <c r="B63" s="424"/>
      <c r="C63" s="424"/>
      <c r="D63" s="424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35" t="n">
        <v>57</v>
      </c>
      <c r="R63" s="434" t="s">
        <v>583</v>
      </c>
      <c r="S63" s="424"/>
      <c r="T63" s="434" t="s">
        <v>584</v>
      </c>
      <c r="U63" s="434" t="s">
        <v>585</v>
      </c>
      <c r="V63" s="436" t="n">
        <f aca="false">AY68</f>
        <v>0</v>
      </c>
      <c r="W63" s="424"/>
      <c r="X63" s="429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8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BC63" s="428"/>
      <c r="BN63" s="427"/>
      <c r="BO63" s="428"/>
      <c r="BQ63" s="429"/>
      <c r="BR63" s="429"/>
      <c r="BS63" s="426"/>
    </row>
    <row r="64" customFormat="false" ht="13.5" hidden="false" customHeight="false" outlineLevel="0" collapsed="false">
      <c r="A64" s="424"/>
      <c r="B64" s="424"/>
      <c r="C64" s="424"/>
      <c r="D64" s="424"/>
      <c r="E64" s="424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35" t="n">
        <v>58</v>
      </c>
      <c r="R64" s="434" t="s">
        <v>586</v>
      </c>
      <c r="S64" s="424"/>
      <c r="T64" s="434" t="s">
        <v>587</v>
      </c>
      <c r="U64" s="434" t="s">
        <v>588</v>
      </c>
      <c r="V64" s="436" t="n">
        <f aca="false">AY69</f>
        <v>0</v>
      </c>
      <c r="W64" s="424"/>
      <c r="X64" s="429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8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BC64" s="428"/>
      <c r="BN64" s="427"/>
      <c r="BO64" s="428"/>
      <c r="BQ64" s="429"/>
      <c r="BR64" s="429"/>
      <c r="BS64" s="426"/>
    </row>
    <row r="65" customFormat="false" ht="13.5" hidden="false" customHeight="false" outlineLevel="0" collapsed="false">
      <c r="A65" s="424"/>
      <c r="B65" s="424"/>
      <c r="C65" s="424"/>
      <c r="D65" s="424"/>
      <c r="E65" s="424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35" t="n">
        <v>59</v>
      </c>
      <c r="R65" s="434" t="s">
        <v>589</v>
      </c>
      <c r="S65" s="424"/>
      <c r="T65" s="434" t="s">
        <v>590</v>
      </c>
      <c r="U65" s="434" t="s">
        <v>591</v>
      </c>
      <c r="V65" s="436" t="n">
        <f aca="false">AY70</f>
        <v>0</v>
      </c>
      <c r="W65" s="424"/>
      <c r="X65" s="429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8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BC65" s="428"/>
      <c r="BE65" s="431"/>
      <c r="BN65" s="427"/>
      <c r="BO65" s="428"/>
      <c r="BQ65" s="429"/>
      <c r="BR65" s="429"/>
      <c r="BS65" s="426"/>
    </row>
    <row r="66" customFormat="false" ht="13.5" hidden="false" customHeight="false" outlineLevel="0" collapsed="false">
      <c r="A66" s="424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35" t="n">
        <v>60</v>
      </c>
      <c r="R66" s="434" t="s">
        <v>592</v>
      </c>
      <c r="S66" s="424"/>
      <c r="T66" s="434" t="s">
        <v>593</v>
      </c>
      <c r="U66" s="434" t="s">
        <v>594</v>
      </c>
      <c r="V66" s="436" t="n">
        <f aca="false">AY71</f>
        <v>0</v>
      </c>
      <c r="W66" s="424"/>
      <c r="X66" s="429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8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BC66" s="428"/>
      <c r="BE66" s="426"/>
      <c r="BN66" s="427"/>
      <c r="BO66" s="428"/>
      <c r="BQ66" s="429"/>
      <c r="BR66" s="429"/>
      <c r="BS66" s="426"/>
    </row>
    <row r="67" customFormat="false" ht="13.5" hidden="false" customHeight="false" outlineLevel="0" collapsed="false">
      <c r="A67" s="424"/>
      <c r="B67" s="424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35" t="n">
        <v>61</v>
      </c>
      <c r="R67" s="434" t="s">
        <v>595</v>
      </c>
      <c r="S67" s="424"/>
      <c r="T67" s="434" t="s">
        <v>596</v>
      </c>
      <c r="U67" s="434" t="s">
        <v>597</v>
      </c>
      <c r="V67" s="436" t="n">
        <f aca="false">AY72</f>
        <v>0</v>
      </c>
      <c r="W67" s="424"/>
      <c r="X67" s="429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8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BC67" s="428"/>
      <c r="BE67" s="426"/>
      <c r="BN67" s="427"/>
      <c r="BO67" s="428"/>
      <c r="BQ67" s="429"/>
      <c r="BR67" s="429"/>
      <c r="BS67" s="426"/>
    </row>
    <row r="68" customFormat="false" ht="13.5" hidden="false" customHeight="false" outlineLevel="0" collapsed="false">
      <c r="A68" s="424"/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35" t="n">
        <v>62</v>
      </c>
      <c r="R68" s="434" t="s">
        <v>598</v>
      </c>
      <c r="S68" s="424"/>
      <c r="T68" s="434" t="s">
        <v>599</v>
      </c>
      <c r="U68" s="434" t="s">
        <v>600</v>
      </c>
      <c r="V68" s="436" t="n">
        <f aca="false">AY73</f>
        <v>0</v>
      </c>
      <c r="W68" s="424"/>
      <c r="X68" s="429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8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BC68" s="428"/>
      <c r="BG68" s="443"/>
      <c r="BH68" s="443"/>
      <c r="BK68" s="443"/>
      <c r="BL68" s="443"/>
      <c r="BN68" s="427"/>
      <c r="BO68" s="428"/>
      <c r="BQ68" s="429"/>
      <c r="BR68" s="429"/>
      <c r="BS68" s="426"/>
    </row>
    <row r="69" customFormat="false" ht="13.5" hidden="false" customHeight="false" outlineLevel="0" collapsed="false">
      <c r="A69" s="424"/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35" t="n">
        <v>63</v>
      </c>
      <c r="R69" s="434" t="s">
        <v>601</v>
      </c>
      <c r="S69" s="424"/>
      <c r="T69" s="434" t="s">
        <v>602</v>
      </c>
      <c r="U69" s="434" t="s">
        <v>603</v>
      </c>
      <c r="V69" s="436" t="n">
        <f aca="false">AY74</f>
        <v>0</v>
      </c>
      <c r="W69" s="424"/>
      <c r="X69" s="429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8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BC69" s="428"/>
      <c r="BD69" s="429"/>
      <c r="BE69" s="429"/>
      <c r="BF69" s="427"/>
      <c r="BG69" s="437"/>
      <c r="BH69" s="427"/>
      <c r="BJ69" s="437"/>
      <c r="BK69" s="427"/>
      <c r="BM69" s="426"/>
      <c r="BN69" s="427"/>
      <c r="BO69" s="439"/>
      <c r="BP69" s="427"/>
      <c r="BQ69" s="427"/>
      <c r="BR69" s="427"/>
      <c r="BS69" s="431"/>
      <c r="BT69" s="427"/>
      <c r="BU69" s="427"/>
      <c r="BV69" s="427"/>
      <c r="BW69" s="427"/>
      <c r="BX69" s="427"/>
      <c r="BY69" s="427"/>
      <c r="BZ69" s="427"/>
      <c r="CA69" s="427"/>
      <c r="CB69" s="427"/>
      <c r="CC69" s="427"/>
      <c r="CD69" s="427"/>
      <c r="CE69" s="427"/>
      <c r="CF69" s="427"/>
      <c r="CG69" s="427"/>
      <c r="CH69" s="427"/>
      <c r="CI69" s="427"/>
    </row>
    <row r="70" customFormat="false" ht="13.5" hidden="false" customHeight="false" outlineLevel="0" collapsed="false">
      <c r="A70" s="424"/>
      <c r="B70" s="424"/>
      <c r="C70" s="424"/>
      <c r="D70" s="424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35" t="n">
        <v>64</v>
      </c>
      <c r="R70" s="434" t="s">
        <v>604</v>
      </c>
      <c r="S70" s="424"/>
      <c r="T70" s="434" t="s">
        <v>605</v>
      </c>
      <c r="U70" s="434" t="s">
        <v>606</v>
      </c>
      <c r="V70" s="436" t="n">
        <f aca="false">AY75</f>
        <v>0</v>
      </c>
      <c r="W70" s="424"/>
      <c r="X70" s="429"/>
      <c r="Y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8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BC70" s="428"/>
      <c r="BD70" s="429"/>
      <c r="BE70" s="429"/>
      <c r="BF70" s="427"/>
      <c r="BG70" s="437"/>
      <c r="BH70" s="427"/>
      <c r="BJ70" s="437"/>
      <c r="BK70" s="427"/>
      <c r="BM70" s="426"/>
      <c r="BN70" s="427"/>
      <c r="BO70" s="439"/>
      <c r="BP70" s="427"/>
      <c r="BQ70" s="427"/>
      <c r="BR70" s="431"/>
      <c r="BS70" s="431"/>
      <c r="BT70" s="427"/>
      <c r="BU70" s="427"/>
      <c r="BV70" s="427"/>
      <c r="BW70" s="427"/>
      <c r="BX70" s="427"/>
      <c r="BY70" s="427"/>
      <c r="BZ70" s="427"/>
      <c r="CA70" s="427"/>
      <c r="CB70" s="427"/>
      <c r="CC70" s="427"/>
      <c r="CD70" s="427"/>
      <c r="CE70" s="427"/>
      <c r="CF70" s="427"/>
      <c r="CG70" s="427"/>
      <c r="CH70" s="427"/>
      <c r="CI70" s="427"/>
    </row>
    <row r="71" customFormat="false" ht="13.5" hidden="false" customHeight="false" outlineLevel="0" collapsed="false">
      <c r="A71" s="424"/>
      <c r="B71" s="424"/>
      <c r="C71" s="424"/>
      <c r="D71" s="424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35" t="n">
        <v>65</v>
      </c>
      <c r="R71" s="434" t="s">
        <v>607</v>
      </c>
      <c r="S71" s="424"/>
      <c r="T71" s="434" t="s">
        <v>608</v>
      </c>
      <c r="U71" s="434" t="s">
        <v>609</v>
      </c>
      <c r="V71" s="436" t="n">
        <f aca="false">AY76</f>
        <v>0</v>
      </c>
      <c r="W71" s="424"/>
      <c r="X71" s="429"/>
      <c r="Y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8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BC71" s="428"/>
      <c r="BD71" s="429"/>
      <c r="BE71" s="429"/>
      <c r="BF71" s="427"/>
      <c r="BG71" s="437"/>
      <c r="BH71" s="427"/>
      <c r="BJ71" s="437"/>
      <c r="BK71" s="427"/>
      <c r="BM71" s="426"/>
      <c r="BN71" s="427"/>
      <c r="BO71" s="439"/>
      <c r="BP71" s="427"/>
      <c r="BQ71" s="427"/>
      <c r="BR71" s="427"/>
      <c r="BS71" s="431"/>
      <c r="BT71" s="427"/>
      <c r="BU71" s="427"/>
      <c r="BV71" s="427"/>
      <c r="BW71" s="427"/>
      <c r="BX71" s="427"/>
      <c r="BY71" s="427"/>
      <c r="BZ71" s="427"/>
      <c r="CA71" s="427"/>
      <c r="CB71" s="427"/>
      <c r="CC71" s="427"/>
      <c r="CD71" s="427"/>
      <c r="CE71" s="427"/>
      <c r="CF71" s="427"/>
      <c r="CG71" s="427"/>
      <c r="CH71" s="427"/>
      <c r="CI71" s="427"/>
    </row>
    <row r="72" customFormat="false" ht="13.5" hidden="false" customHeight="false" outlineLevel="0" collapsed="false">
      <c r="A72" s="424"/>
      <c r="B72" s="424"/>
      <c r="C72" s="424"/>
      <c r="D72" s="424"/>
      <c r="E72" s="424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35" t="n">
        <v>66</v>
      </c>
      <c r="R72" s="434" t="s">
        <v>610</v>
      </c>
      <c r="S72" s="424"/>
      <c r="T72" s="434" t="s">
        <v>611</v>
      </c>
      <c r="U72" s="434" t="s">
        <v>612</v>
      </c>
      <c r="V72" s="436" t="n">
        <f aca="false">AY77</f>
        <v>0</v>
      </c>
      <c r="W72" s="424"/>
      <c r="X72" s="429"/>
      <c r="Y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8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BC72" s="428"/>
      <c r="BD72" s="429"/>
      <c r="BE72" s="429"/>
      <c r="BF72" s="427"/>
      <c r="BG72" s="437"/>
      <c r="BH72" s="427"/>
      <c r="BJ72" s="437"/>
      <c r="BK72" s="427"/>
      <c r="BM72" s="426"/>
      <c r="BN72" s="427"/>
      <c r="BO72" s="439"/>
      <c r="BP72" s="427"/>
      <c r="BQ72" s="427"/>
      <c r="BR72" s="427"/>
      <c r="BS72" s="431"/>
      <c r="BT72" s="427"/>
      <c r="BU72" s="427"/>
      <c r="BV72" s="427"/>
      <c r="BW72" s="427"/>
      <c r="BX72" s="427"/>
      <c r="BY72" s="427"/>
      <c r="BZ72" s="427"/>
      <c r="CA72" s="427"/>
      <c r="CB72" s="427"/>
      <c r="CC72" s="427"/>
      <c r="CD72" s="427"/>
      <c r="CE72" s="427"/>
      <c r="CF72" s="427"/>
      <c r="CG72" s="427"/>
      <c r="CH72" s="427"/>
      <c r="CI72" s="427"/>
    </row>
    <row r="73" customFormat="false" ht="13.5" hidden="false" customHeight="false" outlineLevel="0" collapsed="false">
      <c r="A73" s="424"/>
      <c r="B73" s="424"/>
      <c r="C73" s="424"/>
      <c r="D73" s="424"/>
      <c r="E73" s="424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35" t="n">
        <v>67</v>
      </c>
      <c r="R73" s="434" t="s">
        <v>613</v>
      </c>
      <c r="S73" s="424"/>
      <c r="T73" s="434" t="s">
        <v>614</v>
      </c>
      <c r="U73" s="434" t="s">
        <v>615</v>
      </c>
      <c r="V73" s="436" t="n">
        <f aca="false">AY78</f>
        <v>0</v>
      </c>
      <c r="W73" s="424"/>
      <c r="Y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8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BC73" s="428"/>
      <c r="BD73" s="429"/>
      <c r="BF73" s="427"/>
      <c r="BG73" s="437"/>
      <c r="BH73" s="427"/>
      <c r="BJ73" s="437"/>
      <c r="BK73" s="427"/>
      <c r="BN73" s="427"/>
      <c r="BO73" s="439"/>
      <c r="BP73" s="427"/>
      <c r="BQ73" s="427"/>
      <c r="BR73" s="427"/>
      <c r="BS73" s="431"/>
      <c r="BT73" s="427"/>
      <c r="BU73" s="427"/>
      <c r="BV73" s="427"/>
      <c r="BW73" s="427"/>
      <c r="BX73" s="427"/>
      <c r="BY73" s="427"/>
      <c r="BZ73" s="427"/>
      <c r="CA73" s="427"/>
      <c r="CB73" s="427"/>
      <c r="CC73" s="427"/>
      <c r="CD73" s="427"/>
      <c r="CE73" s="427"/>
      <c r="CF73" s="427"/>
      <c r="CG73" s="427"/>
      <c r="CH73" s="427"/>
      <c r="CI73" s="427"/>
    </row>
    <row r="74" customFormat="false" ht="13.5" hidden="false" customHeight="false" outlineLevel="0" collapsed="false">
      <c r="A74" s="424"/>
      <c r="B74" s="424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35" t="n">
        <v>68</v>
      </c>
      <c r="R74" s="434" t="s">
        <v>616</v>
      </c>
      <c r="S74" s="424"/>
      <c r="T74" s="434" t="s">
        <v>617</v>
      </c>
      <c r="U74" s="434" t="s">
        <v>618</v>
      </c>
      <c r="V74" s="436" t="n">
        <f aca="false">AY79</f>
        <v>0</v>
      </c>
      <c r="W74" s="424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8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BC74" s="428"/>
      <c r="BD74" s="429"/>
      <c r="BF74" s="427"/>
      <c r="BG74" s="437"/>
      <c r="BH74" s="427"/>
      <c r="BJ74" s="437"/>
      <c r="BK74" s="427"/>
      <c r="BN74" s="427"/>
      <c r="BO74" s="439"/>
      <c r="BP74" s="427"/>
      <c r="BQ74" s="427"/>
      <c r="BR74" s="427"/>
      <c r="BS74" s="431"/>
      <c r="BT74" s="427"/>
      <c r="BU74" s="427"/>
      <c r="BV74" s="427"/>
      <c r="BW74" s="427"/>
      <c r="BX74" s="427"/>
      <c r="BY74" s="427"/>
      <c r="BZ74" s="427"/>
      <c r="CA74" s="427"/>
      <c r="CB74" s="427"/>
      <c r="CC74" s="427"/>
      <c r="CD74" s="427"/>
      <c r="CE74" s="427"/>
      <c r="CF74" s="427"/>
      <c r="CG74" s="427"/>
      <c r="CH74" s="427"/>
      <c r="CI74" s="427"/>
    </row>
    <row r="75" customFormat="false" ht="13.5" hidden="false" customHeight="false" outlineLevel="0" collapsed="false">
      <c r="A75" s="424"/>
      <c r="B75" s="424"/>
      <c r="C75" s="424"/>
      <c r="D75" s="424"/>
      <c r="E75" s="424"/>
      <c r="F75" s="424"/>
      <c r="G75" s="424"/>
      <c r="H75" s="424"/>
      <c r="I75" s="424"/>
      <c r="J75" s="424"/>
      <c r="K75" s="424"/>
      <c r="L75" s="424"/>
      <c r="M75" s="424"/>
      <c r="N75" s="424"/>
      <c r="O75" s="424"/>
      <c r="P75" s="424"/>
      <c r="Q75" s="435" t="n">
        <v>69</v>
      </c>
      <c r="R75" s="434" t="s">
        <v>619</v>
      </c>
      <c r="S75" s="424"/>
      <c r="T75" s="434" t="s">
        <v>620</v>
      </c>
      <c r="U75" s="434" t="s">
        <v>621</v>
      </c>
      <c r="V75" s="436" t="n">
        <f aca="false">AY80</f>
        <v>0</v>
      </c>
      <c r="W75" s="424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8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BC75" s="428"/>
      <c r="BD75" s="429"/>
      <c r="BF75" s="427"/>
      <c r="BG75" s="437"/>
      <c r="BH75" s="427"/>
      <c r="BJ75" s="437"/>
      <c r="BM75" s="428"/>
      <c r="BN75" s="439"/>
      <c r="BO75" s="439"/>
      <c r="BP75" s="427"/>
      <c r="BQ75" s="427"/>
      <c r="BR75" s="427"/>
      <c r="BS75" s="431"/>
      <c r="BT75" s="427"/>
      <c r="BU75" s="427"/>
      <c r="BV75" s="427"/>
      <c r="BW75" s="427"/>
      <c r="BX75" s="427"/>
      <c r="BY75" s="427"/>
      <c r="BZ75" s="427"/>
      <c r="CA75" s="427"/>
      <c r="CB75" s="427"/>
      <c r="CC75" s="427"/>
      <c r="CD75" s="427"/>
      <c r="CE75" s="427"/>
      <c r="CF75" s="427"/>
      <c r="CG75" s="427"/>
      <c r="CH75" s="427"/>
      <c r="CI75" s="427"/>
    </row>
    <row r="76" customFormat="false" ht="13.5" hidden="false" customHeight="false" outlineLevel="0" collapsed="false">
      <c r="A76" s="424"/>
      <c r="B76" s="424"/>
      <c r="C76" s="424"/>
      <c r="D76" s="424"/>
      <c r="E76" s="424"/>
      <c r="F76" s="424"/>
      <c r="G76" s="424"/>
      <c r="H76" s="424"/>
      <c r="I76" s="424"/>
      <c r="J76" s="424"/>
      <c r="K76" s="424"/>
      <c r="L76" s="424"/>
      <c r="M76" s="424"/>
      <c r="N76" s="424"/>
      <c r="O76" s="424"/>
      <c r="P76" s="424"/>
      <c r="Q76" s="435" t="n">
        <v>70</v>
      </c>
      <c r="R76" s="434" t="s">
        <v>622</v>
      </c>
      <c r="S76" s="424"/>
      <c r="T76" s="434" t="s">
        <v>623</v>
      </c>
      <c r="U76" s="434" t="s">
        <v>624</v>
      </c>
      <c r="V76" s="436" t="n">
        <f aca="false">AY81</f>
        <v>0</v>
      </c>
      <c r="W76" s="424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8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BC76" s="428"/>
      <c r="BD76" s="429"/>
      <c r="BF76" s="427"/>
      <c r="BG76" s="437"/>
      <c r="BH76" s="427"/>
      <c r="BJ76" s="437"/>
      <c r="BK76" s="430"/>
      <c r="BL76" s="427"/>
      <c r="BM76" s="426"/>
      <c r="BN76" s="427"/>
      <c r="BO76" s="439"/>
      <c r="BP76" s="427"/>
      <c r="BQ76" s="427"/>
      <c r="BR76" s="427"/>
      <c r="BS76" s="431"/>
      <c r="BT76" s="427"/>
      <c r="BU76" s="427"/>
      <c r="BV76" s="427"/>
      <c r="BW76" s="427"/>
      <c r="BX76" s="427"/>
      <c r="BY76" s="427"/>
      <c r="BZ76" s="427"/>
      <c r="CA76" s="427"/>
      <c r="CB76" s="427"/>
      <c r="CC76" s="427"/>
      <c r="CD76" s="427"/>
      <c r="CE76" s="427"/>
      <c r="CF76" s="427"/>
      <c r="CG76" s="427"/>
      <c r="CH76" s="427"/>
      <c r="CI76" s="427"/>
    </row>
    <row r="77" customFormat="false" ht="13.5" hidden="false" customHeight="false" outlineLevel="0" collapsed="false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35" t="n">
        <v>71</v>
      </c>
      <c r="R77" s="434" t="s">
        <v>625</v>
      </c>
      <c r="S77" s="424"/>
      <c r="T77" s="434" t="s">
        <v>626</v>
      </c>
      <c r="U77" s="434" t="s">
        <v>627</v>
      </c>
      <c r="V77" s="436" t="n">
        <f aca="false">AY82</f>
        <v>0</v>
      </c>
      <c r="W77" s="424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8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BC77" s="428"/>
      <c r="BD77" s="429"/>
      <c r="BF77" s="427"/>
      <c r="BG77" s="437"/>
      <c r="BH77" s="427"/>
      <c r="BJ77" s="437"/>
      <c r="BK77" s="437"/>
      <c r="BM77" s="428"/>
      <c r="BN77" s="439"/>
      <c r="BO77" s="439"/>
      <c r="BP77" s="427"/>
      <c r="BQ77" s="427"/>
      <c r="BR77" s="427"/>
      <c r="BS77" s="431"/>
      <c r="BT77" s="427"/>
      <c r="BU77" s="427"/>
      <c r="BV77" s="427"/>
      <c r="BW77" s="427"/>
      <c r="BX77" s="427"/>
      <c r="BY77" s="427"/>
      <c r="BZ77" s="427"/>
      <c r="CA77" s="427"/>
      <c r="CB77" s="427"/>
      <c r="CC77" s="427"/>
      <c r="CD77" s="427"/>
      <c r="CE77" s="427"/>
      <c r="CF77" s="427"/>
      <c r="CG77" s="427"/>
      <c r="CH77" s="427"/>
      <c r="CI77" s="427"/>
    </row>
    <row r="78" customFormat="false" ht="13.5" hidden="false" customHeight="false" outlineLevel="0" collapsed="false">
      <c r="A78" s="424"/>
      <c r="B78" s="424"/>
      <c r="C78" s="424"/>
      <c r="D78" s="424"/>
      <c r="E78" s="424"/>
      <c r="F78" s="424"/>
      <c r="G78" s="424"/>
      <c r="H78" s="424"/>
      <c r="I78" s="424"/>
      <c r="J78" s="424"/>
      <c r="K78" s="424"/>
      <c r="L78" s="424"/>
      <c r="M78" s="424"/>
      <c r="N78" s="424"/>
      <c r="O78" s="424"/>
      <c r="P78" s="424"/>
      <c r="Q78" s="435" t="n">
        <v>72</v>
      </c>
      <c r="R78" s="434" t="s">
        <v>628</v>
      </c>
      <c r="S78" s="424"/>
      <c r="T78" s="434" t="s">
        <v>629</v>
      </c>
      <c r="U78" s="434" t="s">
        <v>630</v>
      </c>
      <c r="V78" s="436" t="n">
        <f aca="false">AY83</f>
        <v>0</v>
      </c>
      <c r="W78" s="424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8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BC78" s="428"/>
      <c r="BD78" s="429"/>
      <c r="BF78" s="427"/>
      <c r="BG78" s="437"/>
      <c r="BH78" s="427"/>
      <c r="BJ78" s="437"/>
      <c r="BK78" s="437"/>
      <c r="BN78" s="427"/>
      <c r="BO78" s="439"/>
      <c r="BP78" s="427"/>
      <c r="BQ78" s="427"/>
      <c r="BR78" s="427"/>
      <c r="BS78" s="431"/>
      <c r="BT78" s="427"/>
      <c r="BU78" s="427"/>
      <c r="BV78" s="427"/>
      <c r="BW78" s="427"/>
      <c r="BX78" s="427"/>
      <c r="BY78" s="427"/>
      <c r="BZ78" s="427"/>
      <c r="CA78" s="427"/>
      <c r="CB78" s="427"/>
      <c r="CC78" s="427"/>
      <c r="CD78" s="427"/>
      <c r="CE78" s="427"/>
      <c r="CF78" s="427"/>
      <c r="CG78" s="427"/>
      <c r="CH78" s="427"/>
      <c r="CI78" s="427"/>
    </row>
    <row r="79" customFormat="false" ht="13.5" hidden="false" customHeight="false" outlineLevel="0" collapsed="false">
      <c r="A79" s="424"/>
      <c r="B79" s="424"/>
      <c r="C79" s="424"/>
      <c r="D79" s="424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35" t="n">
        <v>73</v>
      </c>
      <c r="R79" s="434" t="s">
        <v>631</v>
      </c>
      <c r="S79" s="424"/>
      <c r="T79" s="434" t="s">
        <v>632</v>
      </c>
      <c r="U79" s="434" t="s">
        <v>633</v>
      </c>
      <c r="V79" s="436" t="n">
        <f aca="false">AY84</f>
        <v>0</v>
      </c>
      <c r="W79" s="424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8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BC79" s="428"/>
      <c r="BD79" s="429"/>
      <c r="BF79" s="427"/>
      <c r="BG79" s="437"/>
      <c r="BH79" s="427"/>
      <c r="BJ79" s="437"/>
      <c r="BK79" s="431"/>
      <c r="BM79" s="427"/>
      <c r="BN79" s="427"/>
      <c r="BO79" s="439"/>
      <c r="BP79" s="427"/>
      <c r="BQ79" s="427"/>
      <c r="BR79" s="427"/>
      <c r="BS79" s="431"/>
      <c r="BT79" s="427"/>
      <c r="BU79" s="427"/>
      <c r="BV79" s="427"/>
      <c r="BW79" s="427"/>
      <c r="BX79" s="427"/>
      <c r="BY79" s="427"/>
      <c r="BZ79" s="427"/>
      <c r="CA79" s="427"/>
      <c r="CB79" s="427"/>
      <c r="CC79" s="427"/>
      <c r="CD79" s="427"/>
      <c r="CE79" s="427"/>
      <c r="CF79" s="427"/>
      <c r="CG79" s="427"/>
      <c r="CH79" s="427"/>
      <c r="CI79" s="427"/>
    </row>
    <row r="80" customFormat="false" ht="13.5" hidden="false" customHeight="false" outlineLevel="0" collapsed="false">
      <c r="A80" s="424"/>
      <c r="B80" s="424"/>
      <c r="C80" s="424"/>
      <c r="D80" s="424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35" t="n">
        <v>74</v>
      </c>
      <c r="R80" s="434" t="s">
        <v>634</v>
      </c>
      <c r="S80" s="424"/>
      <c r="T80" s="434" t="s">
        <v>635</v>
      </c>
      <c r="U80" s="434" t="s">
        <v>636</v>
      </c>
      <c r="V80" s="436" t="n">
        <f aca="false">AY85</f>
        <v>0</v>
      </c>
      <c r="W80" s="424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8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BC80" s="428"/>
      <c r="BD80" s="429"/>
      <c r="BF80" s="427"/>
      <c r="BG80" s="437"/>
      <c r="BH80" s="427"/>
      <c r="BJ80" s="437"/>
      <c r="BM80" s="427"/>
      <c r="BN80" s="427"/>
      <c r="BO80" s="439"/>
      <c r="BP80" s="427"/>
      <c r="BQ80" s="427"/>
      <c r="BR80" s="431"/>
      <c r="BS80" s="431"/>
      <c r="BT80" s="427"/>
      <c r="BU80" s="427"/>
      <c r="BV80" s="427"/>
      <c r="BW80" s="427"/>
      <c r="BX80" s="427"/>
      <c r="BY80" s="427"/>
      <c r="BZ80" s="427"/>
      <c r="CA80" s="427"/>
      <c r="CB80" s="427"/>
      <c r="CC80" s="427"/>
      <c r="CD80" s="427"/>
      <c r="CE80" s="427"/>
      <c r="CF80" s="427"/>
      <c r="CG80" s="427"/>
      <c r="CH80" s="427"/>
      <c r="CI80" s="427"/>
    </row>
    <row r="81" customFormat="false" ht="13.5" hidden="false" customHeight="false" outlineLevel="0" collapsed="false">
      <c r="A81" s="424"/>
      <c r="B81" s="424"/>
      <c r="C81" s="424"/>
      <c r="D81" s="424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35" t="n">
        <v>75</v>
      </c>
      <c r="R81" s="434" t="s">
        <v>637</v>
      </c>
      <c r="S81" s="424"/>
      <c r="T81" s="434" t="s">
        <v>638</v>
      </c>
      <c r="U81" s="434" t="s">
        <v>639</v>
      </c>
      <c r="V81" s="436" t="n">
        <f aca="false">AY86</f>
        <v>0</v>
      </c>
      <c r="W81" s="424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8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BC81" s="428"/>
      <c r="BD81" s="429"/>
      <c r="BF81" s="427"/>
      <c r="BG81" s="437"/>
      <c r="BH81" s="427"/>
      <c r="BJ81" s="437"/>
      <c r="BK81" s="426"/>
      <c r="BN81" s="427"/>
      <c r="BO81" s="439"/>
      <c r="BP81" s="427"/>
      <c r="BQ81" s="427"/>
      <c r="BR81" s="427"/>
      <c r="BS81" s="431"/>
      <c r="BT81" s="427"/>
      <c r="BU81" s="427"/>
      <c r="BV81" s="427"/>
      <c r="BW81" s="427"/>
      <c r="BX81" s="427"/>
      <c r="BY81" s="427"/>
      <c r="BZ81" s="427"/>
      <c r="CA81" s="427"/>
      <c r="CB81" s="427"/>
      <c r="CC81" s="427"/>
      <c r="CD81" s="427"/>
      <c r="CE81" s="427"/>
      <c r="CF81" s="427"/>
      <c r="CG81" s="427"/>
      <c r="CH81" s="427"/>
      <c r="CI81" s="427"/>
    </row>
    <row r="82" customFormat="false" ht="13.5" hidden="false" customHeight="false" outlineLevel="0" collapsed="false">
      <c r="A82" s="424"/>
      <c r="B82" s="424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35" t="n">
        <v>76</v>
      </c>
      <c r="R82" s="434" t="s">
        <v>640</v>
      </c>
      <c r="S82" s="424"/>
      <c r="T82" s="434" t="s">
        <v>641</v>
      </c>
      <c r="U82" s="434" t="s">
        <v>642</v>
      </c>
      <c r="V82" s="436" t="n">
        <f aca="false">AY87</f>
        <v>0</v>
      </c>
      <c r="W82" s="424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8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BC82" s="428"/>
      <c r="BD82" s="429"/>
      <c r="BF82" s="427"/>
      <c r="BG82" s="437"/>
      <c r="BH82" s="427"/>
      <c r="BJ82" s="437"/>
      <c r="BK82" s="426"/>
      <c r="BN82" s="427"/>
      <c r="BO82" s="439"/>
      <c r="BP82" s="427"/>
      <c r="BQ82" s="427"/>
      <c r="BR82" s="427"/>
      <c r="BS82" s="431"/>
      <c r="BT82" s="427"/>
      <c r="BU82" s="427"/>
      <c r="BV82" s="427"/>
      <c r="BW82" s="427"/>
      <c r="BX82" s="427"/>
      <c r="BY82" s="427"/>
      <c r="BZ82" s="427"/>
      <c r="CA82" s="427"/>
      <c r="CB82" s="427"/>
      <c r="CC82" s="427"/>
      <c r="CD82" s="427"/>
      <c r="CE82" s="427"/>
      <c r="CF82" s="427"/>
      <c r="CG82" s="427"/>
      <c r="CH82" s="427"/>
      <c r="CI82" s="427"/>
    </row>
    <row r="83" customFormat="false" ht="13.5" hidden="false" customHeight="false" outlineLevel="0" collapsed="false">
      <c r="A83" s="424"/>
      <c r="B83" s="424"/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35" t="n">
        <v>77</v>
      </c>
      <c r="R83" s="434" t="s">
        <v>643</v>
      </c>
      <c r="S83" s="424"/>
      <c r="T83" s="434" t="s">
        <v>644</v>
      </c>
      <c r="U83" s="434" t="s">
        <v>645</v>
      </c>
      <c r="V83" s="436" t="n">
        <f aca="false">AY88</f>
        <v>0</v>
      </c>
      <c r="W83" s="424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8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BC83" s="428"/>
      <c r="BD83" s="429"/>
      <c r="BF83" s="427"/>
      <c r="BG83" s="437"/>
      <c r="BH83" s="427"/>
      <c r="BJ83" s="437"/>
      <c r="BN83" s="427"/>
      <c r="BO83" s="439"/>
      <c r="BP83" s="427"/>
      <c r="BQ83" s="427"/>
      <c r="BR83" s="427"/>
      <c r="BS83" s="431"/>
      <c r="BT83" s="427"/>
      <c r="BU83" s="427"/>
      <c r="BV83" s="427"/>
      <c r="BW83" s="427"/>
      <c r="BX83" s="427"/>
      <c r="BY83" s="427"/>
      <c r="BZ83" s="427"/>
      <c r="CA83" s="427"/>
      <c r="CB83" s="427"/>
      <c r="CC83" s="427"/>
      <c r="CD83" s="427"/>
      <c r="CE83" s="427"/>
      <c r="CF83" s="427"/>
      <c r="CG83" s="427"/>
      <c r="CH83" s="427"/>
      <c r="CI83" s="427"/>
    </row>
    <row r="84" customFormat="false" ht="13.5" hidden="false" customHeight="false" outlineLevel="0" collapsed="false">
      <c r="A84" s="424"/>
      <c r="B84" s="424"/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  <c r="P84" s="424"/>
      <c r="Q84" s="435" t="n">
        <v>78</v>
      </c>
      <c r="R84" s="434" t="s">
        <v>646</v>
      </c>
      <c r="S84" s="424"/>
      <c r="T84" s="434" t="s">
        <v>647</v>
      </c>
      <c r="U84" s="434" t="s">
        <v>648</v>
      </c>
      <c r="V84" s="436" t="n">
        <f aca="false">AY89</f>
        <v>0</v>
      </c>
      <c r="W84" s="424"/>
      <c r="X84" s="429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8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BC84" s="428"/>
      <c r="BD84" s="429"/>
      <c r="BE84" s="429"/>
      <c r="BF84" s="427"/>
      <c r="BG84" s="437"/>
      <c r="BH84" s="427"/>
      <c r="BJ84" s="437"/>
      <c r="BK84" s="437"/>
      <c r="BL84" s="427"/>
      <c r="BM84" s="429"/>
      <c r="BN84" s="427"/>
      <c r="BO84" s="439"/>
      <c r="BP84" s="427"/>
      <c r="BQ84" s="427"/>
      <c r="BR84" s="427"/>
      <c r="BS84" s="431"/>
      <c r="BT84" s="427"/>
      <c r="BU84" s="427"/>
      <c r="BV84" s="427"/>
      <c r="BW84" s="427"/>
      <c r="BX84" s="427"/>
      <c r="BY84" s="427"/>
      <c r="BZ84" s="427"/>
      <c r="CA84" s="427"/>
      <c r="CB84" s="427"/>
      <c r="CC84" s="427"/>
      <c r="CD84" s="427"/>
      <c r="CE84" s="427"/>
      <c r="CF84" s="427"/>
      <c r="CG84" s="427"/>
      <c r="CH84" s="427"/>
      <c r="CI84" s="427"/>
    </row>
    <row r="85" customFormat="false" ht="13.5" hidden="false" customHeight="false" outlineLevel="0" collapsed="false">
      <c r="A85" s="424"/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  <c r="P85" s="424"/>
      <c r="Q85" s="435" t="n">
        <v>79</v>
      </c>
      <c r="R85" s="434" t="s">
        <v>649</v>
      </c>
      <c r="S85" s="424"/>
      <c r="T85" s="434" t="s">
        <v>650</v>
      </c>
      <c r="U85" s="434" t="s">
        <v>651</v>
      </c>
      <c r="V85" s="436" t="n">
        <f aca="false">AY90</f>
        <v>0</v>
      </c>
      <c r="W85" s="424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8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BC85" s="428"/>
      <c r="BD85" s="429"/>
      <c r="BF85" s="427"/>
      <c r="BG85" s="437"/>
      <c r="BH85" s="427"/>
      <c r="BJ85" s="437"/>
      <c r="BK85" s="437"/>
      <c r="BL85" s="427"/>
      <c r="BM85" s="429"/>
      <c r="BN85" s="427"/>
      <c r="BO85" s="439"/>
      <c r="BP85" s="427"/>
      <c r="BQ85" s="427"/>
      <c r="BR85" s="427"/>
      <c r="BS85" s="431"/>
      <c r="BT85" s="427"/>
      <c r="BU85" s="427"/>
      <c r="BV85" s="427"/>
      <c r="BW85" s="427"/>
      <c r="BX85" s="427"/>
      <c r="BY85" s="427"/>
      <c r="BZ85" s="427"/>
      <c r="CA85" s="427"/>
      <c r="CB85" s="427"/>
      <c r="CC85" s="427"/>
      <c r="CD85" s="427"/>
      <c r="CE85" s="427"/>
      <c r="CF85" s="427"/>
      <c r="CG85" s="427"/>
      <c r="CH85" s="427"/>
      <c r="CI85" s="427"/>
    </row>
    <row r="86" customFormat="false" ht="13.5" hidden="false" customHeight="false" outlineLevel="0" collapsed="false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  <c r="M86" s="424"/>
      <c r="N86" s="424"/>
      <c r="O86" s="424"/>
      <c r="P86" s="424"/>
      <c r="Q86" s="435" t="n">
        <v>80</v>
      </c>
      <c r="R86" s="434" t="s">
        <v>652</v>
      </c>
      <c r="S86" s="424"/>
      <c r="T86" s="434" t="s">
        <v>653</v>
      </c>
      <c r="U86" s="434" t="s">
        <v>654</v>
      </c>
      <c r="V86" s="436" t="n">
        <f aca="false">AY91</f>
        <v>0</v>
      </c>
      <c r="W86" s="424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8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BC86" s="428"/>
      <c r="BD86" s="429"/>
      <c r="BF86" s="427"/>
      <c r="BG86" s="437"/>
      <c r="BH86" s="427"/>
      <c r="BJ86" s="437"/>
      <c r="BK86" s="431"/>
      <c r="BN86" s="427"/>
      <c r="BO86" s="439"/>
      <c r="BP86" s="427"/>
      <c r="BQ86" s="427"/>
      <c r="BR86" s="427"/>
      <c r="BS86" s="431"/>
      <c r="BT86" s="427"/>
      <c r="BU86" s="427"/>
      <c r="BV86" s="427"/>
      <c r="BW86" s="427"/>
      <c r="BX86" s="427"/>
      <c r="BY86" s="427"/>
      <c r="BZ86" s="427"/>
      <c r="CA86" s="427"/>
      <c r="CB86" s="427"/>
      <c r="CC86" s="427"/>
      <c r="CD86" s="427"/>
      <c r="CE86" s="427"/>
      <c r="CF86" s="427"/>
      <c r="CG86" s="427"/>
      <c r="CH86" s="427"/>
      <c r="CI86" s="427"/>
    </row>
    <row r="87" customFormat="false" ht="13.5" hidden="false" customHeight="false" outlineLevel="0" collapsed="false">
      <c r="A87" s="424"/>
      <c r="B87" s="424"/>
      <c r="C87" s="424"/>
      <c r="D87" s="424"/>
      <c r="E87" s="424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4"/>
      <c r="Q87" s="435" t="n">
        <v>81</v>
      </c>
      <c r="R87" s="434" t="s">
        <v>655</v>
      </c>
      <c r="S87" s="424"/>
      <c r="T87" s="434" t="s">
        <v>656</v>
      </c>
      <c r="U87" s="434" t="s">
        <v>657</v>
      </c>
      <c r="V87" s="436" t="n">
        <f aca="false">AY92</f>
        <v>0</v>
      </c>
      <c r="W87" s="424"/>
      <c r="X87" s="43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8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BC87" s="428"/>
      <c r="BD87" s="429"/>
      <c r="BF87" s="427"/>
      <c r="BG87" s="437"/>
      <c r="BH87" s="427"/>
      <c r="BJ87" s="437"/>
      <c r="BK87" s="431"/>
      <c r="BN87" s="427"/>
      <c r="BO87" s="439"/>
      <c r="BP87" s="427"/>
      <c r="BQ87" s="427"/>
      <c r="BR87" s="427"/>
      <c r="BS87" s="431"/>
      <c r="BT87" s="427"/>
      <c r="BU87" s="427"/>
      <c r="BV87" s="427"/>
      <c r="BW87" s="427"/>
      <c r="BX87" s="427"/>
      <c r="BY87" s="427"/>
      <c r="BZ87" s="427"/>
      <c r="CA87" s="427"/>
      <c r="CB87" s="427"/>
      <c r="CC87" s="427"/>
      <c r="CD87" s="427"/>
      <c r="CE87" s="427"/>
      <c r="CF87" s="427"/>
      <c r="CG87" s="427"/>
      <c r="CH87" s="427"/>
      <c r="CI87" s="427"/>
    </row>
    <row r="88" customFormat="false" ht="13.5" hidden="false" customHeight="false" outlineLevel="0" collapsed="false">
      <c r="A88" s="424"/>
      <c r="B88" s="424"/>
      <c r="C88" s="424"/>
      <c r="D88" s="424"/>
      <c r="E88" s="424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4"/>
      <c r="Q88" s="435" t="n">
        <v>82</v>
      </c>
      <c r="R88" s="434" t="s">
        <v>658</v>
      </c>
      <c r="S88" s="424"/>
      <c r="T88" s="434" t="s">
        <v>659</v>
      </c>
      <c r="U88" s="434" t="s">
        <v>660</v>
      </c>
      <c r="V88" s="436" t="n">
        <f aca="false">AY93</f>
        <v>0</v>
      </c>
      <c r="W88" s="424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8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BC88" s="428"/>
      <c r="BD88" s="429"/>
      <c r="BF88" s="427"/>
      <c r="BG88" s="437"/>
      <c r="BH88" s="427"/>
      <c r="BJ88" s="437"/>
      <c r="BO88" s="439"/>
      <c r="BP88" s="427"/>
      <c r="BQ88" s="427"/>
      <c r="BR88" s="427"/>
      <c r="BS88" s="431"/>
      <c r="BT88" s="427"/>
      <c r="BU88" s="427"/>
      <c r="BV88" s="427"/>
      <c r="BW88" s="427"/>
      <c r="BX88" s="427"/>
      <c r="BY88" s="427"/>
      <c r="BZ88" s="427"/>
      <c r="CA88" s="427"/>
      <c r="CB88" s="427"/>
      <c r="CC88" s="427"/>
      <c r="CD88" s="427"/>
      <c r="CE88" s="427"/>
      <c r="CF88" s="427"/>
      <c r="CG88" s="427"/>
      <c r="CH88" s="427"/>
      <c r="CI88" s="427"/>
    </row>
    <row r="89" customFormat="false" ht="13.5" hidden="false" customHeight="false" outlineLevel="0" collapsed="false">
      <c r="A89" s="424"/>
      <c r="B89" s="424"/>
      <c r="C89" s="424"/>
      <c r="D89" s="424"/>
      <c r="E89" s="424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4"/>
      <c r="Q89" s="435" t="n">
        <v>83</v>
      </c>
      <c r="R89" s="434" t="s">
        <v>661</v>
      </c>
      <c r="S89" s="424"/>
      <c r="T89" s="434" t="s">
        <v>662</v>
      </c>
      <c r="U89" s="434" t="s">
        <v>663</v>
      </c>
      <c r="V89" s="436" t="n">
        <f aca="false">AY94</f>
        <v>0</v>
      </c>
      <c r="W89" s="424"/>
      <c r="X89" s="43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8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BC89" s="428"/>
      <c r="BD89" s="429"/>
      <c r="BF89" s="427"/>
      <c r="BG89" s="437"/>
      <c r="BH89" s="427"/>
      <c r="BJ89" s="437"/>
      <c r="BO89" s="439"/>
      <c r="BP89" s="427"/>
      <c r="BQ89" s="427"/>
      <c r="BR89" s="427"/>
      <c r="BS89" s="431"/>
      <c r="BT89" s="427"/>
      <c r="BU89" s="427"/>
      <c r="BV89" s="427"/>
      <c r="BW89" s="427"/>
      <c r="BX89" s="427"/>
      <c r="BY89" s="427"/>
      <c r="BZ89" s="427"/>
      <c r="CA89" s="427"/>
      <c r="CB89" s="427"/>
      <c r="CC89" s="427"/>
      <c r="CD89" s="427"/>
      <c r="CE89" s="427"/>
      <c r="CF89" s="427"/>
      <c r="CG89" s="427"/>
      <c r="CH89" s="427"/>
      <c r="CI89" s="427"/>
    </row>
    <row r="90" customFormat="false" ht="13.5" hidden="false" customHeight="false" outlineLevel="0" collapsed="false">
      <c r="A90" s="424"/>
      <c r="B90" s="424"/>
      <c r="C90" s="424"/>
      <c r="D90" s="424"/>
      <c r="E90" s="424"/>
      <c r="F90" s="424"/>
      <c r="G90" s="424"/>
      <c r="H90" s="424"/>
      <c r="I90" s="424"/>
      <c r="J90" s="424"/>
      <c r="K90" s="424"/>
      <c r="L90" s="424"/>
      <c r="M90" s="424"/>
      <c r="N90" s="424"/>
      <c r="O90" s="424"/>
      <c r="P90" s="424"/>
      <c r="Q90" s="435" t="n">
        <v>84</v>
      </c>
      <c r="R90" s="434" t="s">
        <v>664</v>
      </c>
      <c r="S90" s="424"/>
      <c r="T90" s="434" t="s">
        <v>665</v>
      </c>
      <c r="U90" s="434" t="s">
        <v>666</v>
      </c>
      <c r="V90" s="436" t="n">
        <f aca="false">AY95</f>
        <v>0</v>
      </c>
      <c r="W90" s="424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8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BC90" s="428"/>
      <c r="BD90" s="429"/>
      <c r="BF90" s="427"/>
      <c r="BG90" s="437"/>
      <c r="BH90" s="427"/>
      <c r="BJ90" s="437"/>
      <c r="BO90" s="439"/>
      <c r="BP90" s="427"/>
      <c r="BQ90" s="427"/>
      <c r="BR90" s="431"/>
      <c r="BS90" s="431"/>
      <c r="BT90" s="427"/>
      <c r="BU90" s="427"/>
      <c r="BV90" s="427"/>
      <c r="BW90" s="427"/>
      <c r="BX90" s="427"/>
      <c r="BY90" s="427"/>
      <c r="BZ90" s="427"/>
      <c r="CA90" s="427"/>
      <c r="CB90" s="427"/>
      <c r="CC90" s="427"/>
      <c r="CD90" s="427"/>
      <c r="CE90" s="427"/>
      <c r="CF90" s="427"/>
      <c r="CG90" s="427"/>
      <c r="CH90" s="427"/>
      <c r="CI90" s="427"/>
    </row>
    <row r="91" customFormat="false" ht="13.5" hidden="false" customHeight="false" outlineLevel="0" collapsed="false">
      <c r="A91" s="424"/>
      <c r="B91" s="424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4"/>
      <c r="Q91" s="435" t="n">
        <v>85</v>
      </c>
      <c r="R91" s="434" t="s">
        <v>667</v>
      </c>
      <c r="S91" s="424"/>
      <c r="T91" s="434" t="s">
        <v>668</v>
      </c>
      <c r="U91" s="434" t="s">
        <v>669</v>
      </c>
      <c r="V91" s="436" t="n">
        <f aca="false">AY96</f>
        <v>0</v>
      </c>
      <c r="W91" s="424"/>
      <c r="X91" s="43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8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BC91" s="428"/>
      <c r="BD91" s="429"/>
      <c r="BF91" s="427"/>
      <c r="BG91" s="437"/>
      <c r="BH91" s="427"/>
      <c r="BJ91" s="437"/>
      <c r="BO91" s="439"/>
      <c r="BP91" s="427"/>
      <c r="BQ91" s="427"/>
      <c r="BR91" s="427"/>
      <c r="BS91" s="431"/>
      <c r="BT91" s="427"/>
      <c r="BU91" s="427"/>
      <c r="BV91" s="427"/>
      <c r="BW91" s="427"/>
      <c r="BX91" s="427"/>
      <c r="BY91" s="427"/>
      <c r="BZ91" s="427"/>
      <c r="CA91" s="427"/>
      <c r="CB91" s="427"/>
      <c r="CC91" s="427"/>
      <c r="CD91" s="427"/>
      <c r="CE91" s="427"/>
      <c r="CF91" s="427"/>
      <c r="CG91" s="439"/>
      <c r="CH91" s="427"/>
      <c r="CI91" s="427"/>
    </row>
    <row r="92" customFormat="false" ht="13.5" hidden="false" customHeight="false" outlineLevel="0" collapsed="false">
      <c r="A92" s="424"/>
      <c r="B92" s="424"/>
      <c r="C92" s="424"/>
      <c r="D92" s="424"/>
      <c r="E92" s="424"/>
      <c r="F92" s="424"/>
      <c r="G92" s="424"/>
      <c r="H92" s="424"/>
      <c r="I92" s="424"/>
      <c r="J92" s="424"/>
      <c r="K92" s="424"/>
      <c r="L92" s="424"/>
      <c r="M92" s="424"/>
      <c r="N92" s="424"/>
      <c r="O92" s="424"/>
      <c r="P92" s="424"/>
      <c r="Q92" s="435" t="n">
        <v>86</v>
      </c>
      <c r="R92" s="434" t="s">
        <v>670</v>
      </c>
      <c r="S92" s="424"/>
      <c r="T92" s="434" t="s">
        <v>671</v>
      </c>
      <c r="U92" s="434" t="s">
        <v>672</v>
      </c>
      <c r="V92" s="436" t="n">
        <f aca="false">AY97</f>
        <v>0</v>
      </c>
      <c r="W92" s="424"/>
      <c r="X92" s="43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8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BC92" s="428"/>
      <c r="BF92" s="437"/>
      <c r="BG92" s="427"/>
      <c r="BH92" s="437"/>
      <c r="BI92" s="427"/>
      <c r="BJ92" s="427"/>
      <c r="BO92" s="439"/>
      <c r="BP92" s="427"/>
      <c r="BQ92" s="427"/>
      <c r="BR92" s="427"/>
      <c r="BS92" s="431"/>
      <c r="BT92" s="427"/>
      <c r="BU92" s="427"/>
      <c r="BV92" s="427"/>
      <c r="BW92" s="427"/>
      <c r="BX92" s="427"/>
      <c r="BY92" s="427"/>
      <c r="BZ92" s="427"/>
      <c r="CA92" s="427"/>
      <c r="CB92" s="427"/>
      <c r="CC92" s="427"/>
      <c r="CD92" s="427"/>
      <c r="CE92" s="427"/>
      <c r="CF92" s="427"/>
      <c r="CG92" s="439"/>
      <c r="CH92" s="427"/>
      <c r="CI92" s="427"/>
    </row>
    <row r="93" customFormat="false" ht="13.5" hidden="false" customHeight="false" outlineLevel="0" collapsed="false">
      <c r="A93" s="424"/>
      <c r="B93" s="424"/>
      <c r="C93" s="424"/>
      <c r="D93" s="424"/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35" t="n">
        <v>87</v>
      </c>
      <c r="R93" s="434" t="s">
        <v>673</v>
      </c>
      <c r="S93" s="424"/>
      <c r="T93" s="434" t="s">
        <v>674</v>
      </c>
      <c r="U93" s="434" t="s">
        <v>675</v>
      </c>
      <c r="V93" s="436" t="n">
        <f aca="false">AY98</f>
        <v>0</v>
      </c>
      <c r="W93" s="424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8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BC93" s="428"/>
      <c r="BF93" s="437"/>
      <c r="BG93" s="427"/>
      <c r="BH93" s="437"/>
      <c r="BI93" s="427"/>
      <c r="BJ93" s="427"/>
      <c r="BO93" s="439"/>
      <c r="BP93" s="427"/>
      <c r="BQ93" s="427"/>
      <c r="BR93" s="427"/>
      <c r="BS93" s="431"/>
      <c r="BT93" s="427"/>
      <c r="BU93" s="427"/>
      <c r="BV93" s="427"/>
      <c r="BW93" s="427"/>
      <c r="BX93" s="427"/>
      <c r="BY93" s="427"/>
      <c r="BZ93" s="427"/>
      <c r="CA93" s="427"/>
      <c r="CB93" s="427"/>
      <c r="CC93" s="427"/>
      <c r="CD93" s="427"/>
      <c r="CE93" s="427"/>
      <c r="CF93" s="427"/>
      <c r="CG93" s="439"/>
      <c r="CH93" s="427"/>
      <c r="CI93" s="427"/>
    </row>
    <row r="94" customFormat="false" ht="13.5" hidden="false" customHeight="false" outlineLevel="0" collapsed="false">
      <c r="A94" s="424"/>
      <c r="B94" s="424"/>
      <c r="C94" s="424"/>
      <c r="D94" s="424"/>
      <c r="E94" s="424"/>
      <c r="F94" s="424"/>
      <c r="G94" s="424"/>
      <c r="H94" s="424"/>
      <c r="I94" s="424"/>
      <c r="J94" s="424"/>
      <c r="K94" s="424"/>
      <c r="L94" s="424"/>
      <c r="M94" s="424"/>
      <c r="N94" s="424"/>
      <c r="O94" s="424"/>
      <c r="P94" s="424"/>
      <c r="Q94" s="435" t="n">
        <v>88</v>
      </c>
      <c r="R94" s="434" t="s">
        <v>676</v>
      </c>
      <c r="S94" s="424"/>
      <c r="T94" s="434" t="s">
        <v>677</v>
      </c>
      <c r="U94" s="434" t="s">
        <v>678</v>
      </c>
      <c r="V94" s="436" t="n">
        <f aca="false">AY99</f>
        <v>0</v>
      </c>
      <c r="W94" s="424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8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BC94" s="428"/>
      <c r="BO94" s="439"/>
      <c r="BP94" s="427"/>
      <c r="BQ94" s="427"/>
      <c r="BR94" s="427"/>
      <c r="BS94" s="431"/>
      <c r="BT94" s="427"/>
      <c r="BU94" s="427"/>
      <c r="BV94" s="427"/>
      <c r="BW94" s="427"/>
      <c r="BX94" s="427"/>
      <c r="BY94" s="427"/>
      <c r="BZ94" s="427"/>
      <c r="CA94" s="427"/>
      <c r="CB94" s="427"/>
      <c r="CC94" s="427"/>
      <c r="CD94" s="427"/>
      <c r="CE94" s="427"/>
      <c r="CF94" s="427"/>
      <c r="CG94" s="439"/>
      <c r="CH94" s="427"/>
      <c r="CI94" s="427"/>
    </row>
    <row r="95" customFormat="false" ht="13.5" hidden="false" customHeight="false" outlineLevel="0" collapsed="false">
      <c r="A95" s="424"/>
      <c r="B95" s="424"/>
      <c r="C95" s="424"/>
      <c r="D95" s="424"/>
      <c r="E95" s="424"/>
      <c r="F95" s="424"/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35" t="n">
        <v>89</v>
      </c>
      <c r="R95" s="434" t="s">
        <v>679</v>
      </c>
      <c r="S95" s="424"/>
      <c r="T95" s="434" t="s">
        <v>680</v>
      </c>
      <c r="U95" s="434" t="s">
        <v>681</v>
      </c>
      <c r="V95" s="436" t="n">
        <f aca="false">AY100</f>
        <v>0</v>
      </c>
      <c r="W95" s="424"/>
      <c r="X95" s="43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8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BC95" s="428"/>
      <c r="BJ95" s="427"/>
      <c r="BO95" s="439"/>
      <c r="BP95" s="427"/>
      <c r="BQ95" s="427"/>
      <c r="BR95" s="427"/>
      <c r="BS95" s="431"/>
      <c r="BT95" s="427"/>
      <c r="BU95" s="427"/>
      <c r="BV95" s="427"/>
      <c r="BW95" s="427"/>
      <c r="BX95" s="427"/>
      <c r="BY95" s="427"/>
      <c r="BZ95" s="427"/>
      <c r="CA95" s="427"/>
      <c r="CB95" s="427"/>
      <c r="CC95" s="427"/>
      <c r="CD95" s="427"/>
      <c r="CE95" s="427"/>
      <c r="CF95" s="427"/>
      <c r="CG95" s="439"/>
      <c r="CH95" s="427"/>
      <c r="CI95" s="427"/>
    </row>
    <row r="96" customFormat="false" ht="13.5" hidden="false" customHeight="false" outlineLevel="0" collapsed="false">
      <c r="A96" s="424"/>
      <c r="B96" s="424"/>
      <c r="C96" s="424"/>
      <c r="D96" s="424"/>
      <c r="E96" s="424"/>
      <c r="F96" s="424"/>
      <c r="G96" s="424"/>
      <c r="H96" s="424"/>
      <c r="I96" s="424"/>
      <c r="J96" s="424"/>
      <c r="K96" s="424"/>
      <c r="L96" s="424"/>
      <c r="M96" s="424"/>
      <c r="N96" s="424"/>
      <c r="O96" s="424"/>
      <c r="P96" s="424"/>
      <c r="Q96" s="435" t="n">
        <v>90</v>
      </c>
      <c r="R96" s="434" t="s">
        <v>682</v>
      </c>
      <c r="S96" s="424"/>
      <c r="T96" s="434" t="s">
        <v>683</v>
      </c>
      <c r="U96" s="434" t="s">
        <v>684</v>
      </c>
      <c r="V96" s="436" t="n">
        <f aca="false">AY101</f>
        <v>0</v>
      </c>
      <c r="W96" s="424"/>
      <c r="X96" s="43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8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BC96" s="428"/>
      <c r="BG96" s="427"/>
      <c r="BH96" s="437"/>
      <c r="BJ96" s="427"/>
      <c r="BO96" s="439"/>
      <c r="BP96" s="427"/>
      <c r="BQ96" s="427"/>
      <c r="BR96" s="427"/>
      <c r="BS96" s="431"/>
      <c r="BT96" s="427"/>
      <c r="BU96" s="427"/>
      <c r="BV96" s="427"/>
      <c r="BW96" s="427"/>
      <c r="BX96" s="427"/>
      <c r="BY96" s="427"/>
      <c r="BZ96" s="427"/>
      <c r="CA96" s="427"/>
      <c r="CB96" s="427"/>
      <c r="CC96" s="427"/>
      <c r="CD96" s="427"/>
      <c r="CE96" s="427"/>
      <c r="CF96" s="427"/>
      <c r="CG96" s="439"/>
      <c r="CH96" s="427"/>
      <c r="CI96" s="427"/>
    </row>
    <row r="97" customFormat="false" ht="13.5" hidden="false" customHeight="false" outlineLevel="0" collapsed="false">
      <c r="A97" s="424"/>
      <c r="B97" s="424"/>
      <c r="C97" s="424"/>
      <c r="D97" s="424"/>
      <c r="E97" s="424"/>
      <c r="F97" s="424"/>
      <c r="G97" s="424"/>
      <c r="H97" s="424"/>
      <c r="I97" s="424"/>
      <c r="J97" s="424"/>
      <c r="K97" s="424"/>
      <c r="L97" s="424"/>
      <c r="M97" s="424"/>
      <c r="N97" s="424"/>
      <c r="O97" s="424"/>
      <c r="P97" s="424"/>
      <c r="Q97" s="435" t="n">
        <v>91</v>
      </c>
      <c r="R97" s="434" t="s">
        <v>685</v>
      </c>
      <c r="S97" s="424"/>
      <c r="T97" s="434" t="s">
        <v>686</v>
      </c>
      <c r="U97" s="434" t="s">
        <v>687</v>
      </c>
      <c r="V97" s="436" t="n">
        <f aca="false">AY102</f>
        <v>0</v>
      </c>
      <c r="W97" s="424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8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BC97" s="428"/>
      <c r="BG97" s="427"/>
      <c r="BH97" s="437"/>
      <c r="BJ97" s="427"/>
      <c r="BO97" s="439"/>
      <c r="BP97" s="427"/>
      <c r="BQ97" s="427"/>
      <c r="BR97" s="427"/>
      <c r="BS97" s="431"/>
      <c r="BT97" s="427"/>
      <c r="BU97" s="427"/>
      <c r="BV97" s="427"/>
      <c r="BW97" s="427"/>
      <c r="BX97" s="427"/>
      <c r="BY97" s="427"/>
      <c r="BZ97" s="427"/>
      <c r="CA97" s="427"/>
      <c r="CB97" s="427"/>
      <c r="CC97" s="427"/>
      <c r="CD97" s="427"/>
      <c r="CE97" s="427"/>
      <c r="CF97" s="427"/>
      <c r="CG97" s="439"/>
      <c r="CH97" s="427"/>
      <c r="CI97" s="427"/>
    </row>
    <row r="98" customFormat="false" ht="13.5" hidden="false" customHeight="false" outlineLevel="0" collapsed="false">
      <c r="A98" s="424"/>
      <c r="B98" s="424"/>
      <c r="C98" s="424"/>
      <c r="D98" s="424"/>
      <c r="E98" s="424"/>
      <c r="F98" s="424"/>
      <c r="G98" s="424"/>
      <c r="H98" s="424"/>
      <c r="I98" s="424"/>
      <c r="J98" s="424"/>
      <c r="K98" s="424"/>
      <c r="L98" s="424"/>
      <c r="M98" s="424"/>
      <c r="N98" s="424"/>
      <c r="O98" s="424"/>
      <c r="P98" s="424"/>
      <c r="Q98" s="435" t="n">
        <v>92</v>
      </c>
      <c r="R98" s="434" t="s">
        <v>688</v>
      </c>
      <c r="S98" s="424"/>
      <c r="T98" s="434" t="s">
        <v>689</v>
      </c>
      <c r="U98" s="434" t="s">
        <v>690</v>
      </c>
      <c r="V98" s="436" t="n">
        <f aca="false">AY103</f>
        <v>0</v>
      </c>
      <c r="W98" s="424"/>
      <c r="X98" s="43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8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BC98" s="428"/>
      <c r="BG98" s="427"/>
      <c r="BH98" s="437"/>
      <c r="BJ98" s="427"/>
      <c r="BO98" s="439"/>
      <c r="BP98" s="427"/>
      <c r="BQ98" s="427"/>
      <c r="BR98" s="427"/>
      <c r="BS98" s="431"/>
      <c r="BT98" s="427"/>
      <c r="BU98" s="427"/>
      <c r="BV98" s="427"/>
      <c r="BW98" s="427"/>
      <c r="BX98" s="427"/>
      <c r="BY98" s="427"/>
      <c r="BZ98" s="427"/>
      <c r="CA98" s="427"/>
      <c r="CB98" s="427"/>
      <c r="CC98" s="427"/>
      <c r="CD98" s="427"/>
      <c r="CE98" s="427"/>
      <c r="CF98" s="427"/>
      <c r="CG98" s="439"/>
      <c r="CH98" s="427"/>
      <c r="CI98" s="427"/>
    </row>
    <row r="99" customFormat="false" ht="13.5" hidden="false" customHeight="false" outlineLevel="0" collapsed="false">
      <c r="A99" s="424"/>
      <c r="B99" s="424"/>
      <c r="C99" s="424"/>
      <c r="D99" s="424"/>
      <c r="E99" s="424"/>
      <c r="F99" s="424"/>
      <c r="G99" s="424"/>
      <c r="H99" s="424"/>
      <c r="I99" s="424"/>
      <c r="J99" s="424"/>
      <c r="K99" s="424"/>
      <c r="L99" s="424"/>
      <c r="M99" s="424"/>
      <c r="N99" s="424"/>
      <c r="O99" s="424"/>
      <c r="P99" s="424"/>
      <c r="Q99" s="435" t="n">
        <v>93</v>
      </c>
      <c r="R99" s="434" t="s">
        <v>691</v>
      </c>
      <c r="S99" s="424"/>
      <c r="T99" s="434" t="s">
        <v>692</v>
      </c>
      <c r="U99" s="434" t="s">
        <v>693</v>
      </c>
      <c r="V99" s="436" t="n">
        <f aca="false">AY104</f>
        <v>0</v>
      </c>
      <c r="W99" s="424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8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BC99" s="428"/>
      <c r="BG99" s="427"/>
      <c r="BH99" s="437"/>
      <c r="BN99" s="427"/>
      <c r="BO99" s="439"/>
      <c r="BP99" s="427"/>
      <c r="BQ99" s="427"/>
      <c r="BR99" s="427"/>
      <c r="BS99" s="431"/>
      <c r="BT99" s="427"/>
      <c r="BU99" s="427"/>
      <c r="BV99" s="427"/>
      <c r="BW99" s="427"/>
      <c r="BX99" s="427"/>
      <c r="BY99" s="427"/>
      <c r="BZ99" s="427"/>
      <c r="CA99" s="427"/>
      <c r="CB99" s="427"/>
      <c r="CC99" s="427"/>
      <c r="CD99" s="427"/>
      <c r="CE99" s="427"/>
      <c r="CF99" s="427"/>
      <c r="CG99" s="439"/>
      <c r="CH99" s="427"/>
      <c r="CI99" s="427"/>
    </row>
    <row r="100" customFormat="false" ht="13.5" hidden="false" customHeight="false" outlineLevel="0" collapsed="false">
      <c r="A100" s="424"/>
      <c r="B100" s="424"/>
      <c r="C100" s="424"/>
      <c r="D100" s="424"/>
      <c r="E100" s="424"/>
      <c r="F100" s="424"/>
      <c r="G100" s="424"/>
      <c r="H100" s="424"/>
      <c r="I100" s="424"/>
      <c r="J100" s="424"/>
      <c r="K100" s="424"/>
      <c r="L100" s="424"/>
      <c r="M100" s="424"/>
      <c r="N100" s="424"/>
      <c r="O100" s="424"/>
      <c r="P100" s="424"/>
      <c r="Q100" s="435" t="n">
        <v>94</v>
      </c>
      <c r="R100" s="434" t="s">
        <v>694</v>
      </c>
      <c r="S100" s="424"/>
      <c r="T100" s="434" t="s">
        <v>695</v>
      </c>
      <c r="U100" s="434" t="s">
        <v>696</v>
      </c>
      <c r="V100" s="436" t="n">
        <f aca="false">AY105</f>
        <v>0</v>
      </c>
      <c r="W100" s="424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8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BC100" s="428"/>
      <c r="BJ100" s="437"/>
      <c r="BO100" s="439"/>
      <c r="BP100" s="427"/>
      <c r="BQ100" s="427"/>
      <c r="BR100" s="431"/>
      <c r="BS100" s="431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  <c r="CD100" s="427"/>
      <c r="CE100" s="427"/>
      <c r="CF100" s="427"/>
      <c r="CG100" s="439"/>
      <c r="CH100" s="427"/>
      <c r="CI100" s="427"/>
    </row>
    <row r="101" customFormat="false" ht="13.5" hidden="false" customHeight="false" outlineLevel="0" collapsed="false">
      <c r="A101" s="424"/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  <c r="P101" s="424"/>
      <c r="Q101" s="435" t="n">
        <v>95</v>
      </c>
      <c r="R101" s="434" t="s">
        <v>697</v>
      </c>
      <c r="S101" s="424"/>
      <c r="T101" s="434" t="s">
        <v>698</v>
      </c>
      <c r="U101" s="434" t="s">
        <v>699</v>
      </c>
      <c r="V101" s="436" t="n">
        <f aca="false">AY106</f>
        <v>0</v>
      </c>
      <c r="W101" s="424"/>
      <c r="X101" s="43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BC101" s="428"/>
      <c r="BO101" s="439"/>
      <c r="BP101" s="427"/>
      <c r="BQ101" s="427"/>
      <c r="BR101" s="427"/>
      <c r="BS101" s="431"/>
      <c r="BT101" s="427"/>
      <c r="BU101" s="427"/>
      <c r="BV101" s="427"/>
      <c r="BW101" s="427"/>
      <c r="BX101" s="427"/>
      <c r="BY101" s="427"/>
      <c r="BZ101" s="427"/>
      <c r="CA101" s="427"/>
      <c r="CB101" s="427"/>
      <c r="CC101" s="427"/>
      <c r="CD101" s="427"/>
      <c r="CE101" s="427"/>
      <c r="CF101" s="427"/>
      <c r="CG101" s="439"/>
      <c r="CH101" s="427"/>
      <c r="CI101" s="427"/>
    </row>
    <row r="102" customFormat="false" ht="13.5" hidden="false" customHeight="false" outlineLevel="0" collapsed="false">
      <c r="A102" s="424"/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  <c r="P102" s="424"/>
      <c r="Q102" s="435" t="n">
        <v>96</v>
      </c>
      <c r="R102" s="434" t="s">
        <v>700</v>
      </c>
      <c r="S102" s="424"/>
      <c r="T102" s="434" t="s">
        <v>701</v>
      </c>
      <c r="U102" s="434" t="s">
        <v>702</v>
      </c>
      <c r="V102" s="436" t="n">
        <f aca="false">AY107</f>
        <v>0</v>
      </c>
      <c r="W102" s="424"/>
      <c r="X102" s="43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BC102" s="428"/>
      <c r="BJ102" s="427"/>
      <c r="BO102" s="439"/>
      <c r="BP102" s="427"/>
      <c r="BQ102" s="427"/>
      <c r="BR102" s="427"/>
      <c r="BS102" s="431"/>
      <c r="BT102" s="427"/>
      <c r="BU102" s="427"/>
      <c r="BV102" s="427"/>
      <c r="BW102" s="427"/>
      <c r="BX102" s="427"/>
      <c r="BY102" s="427"/>
      <c r="BZ102" s="427"/>
      <c r="CA102" s="427"/>
      <c r="CB102" s="427"/>
      <c r="CC102" s="427"/>
      <c r="CD102" s="427"/>
      <c r="CE102" s="427"/>
      <c r="CF102" s="427"/>
      <c r="CG102" s="439"/>
      <c r="CH102" s="427"/>
      <c r="CI102" s="427"/>
    </row>
    <row r="103" customFormat="false" ht="13.5" hidden="false" customHeight="false" outlineLevel="0" collapsed="false">
      <c r="A103" s="424"/>
      <c r="B103" s="424"/>
      <c r="C103" s="424"/>
      <c r="D103" s="424"/>
      <c r="E103" s="424"/>
      <c r="F103" s="424"/>
      <c r="G103" s="424"/>
      <c r="H103" s="424"/>
      <c r="I103" s="424"/>
      <c r="J103" s="424"/>
      <c r="K103" s="424"/>
      <c r="L103" s="424"/>
      <c r="M103" s="424"/>
      <c r="N103" s="424"/>
      <c r="O103" s="424"/>
      <c r="P103" s="424"/>
      <c r="Q103" s="435" t="n">
        <v>97</v>
      </c>
      <c r="R103" s="434" t="s">
        <v>703</v>
      </c>
      <c r="S103" s="424"/>
      <c r="T103" s="434" t="s">
        <v>704</v>
      </c>
      <c r="U103" s="434" t="s">
        <v>705</v>
      </c>
      <c r="V103" s="436" t="n">
        <f aca="false">AY108</f>
        <v>0</v>
      </c>
      <c r="W103" s="424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BC103" s="428"/>
      <c r="BO103" s="439"/>
      <c r="BP103" s="427"/>
      <c r="BQ103" s="427"/>
      <c r="BR103" s="427"/>
      <c r="BS103" s="431"/>
      <c r="BT103" s="427"/>
      <c r="BU103" s="427"/>
      <c r="BV103" s="427"/>
      <c r="BW103" s="427"/>
      <c r="BX103" s="427"/>
      <c r="BY103" s="427"/>
      <c r="BZ103" s="427"/>
      <c r="CA103" s="427"/>
      <c r="CB103" s="427"/>
      <c r="CC103" s="427"/>
      <c r="CD103" s="427"/>
      <c r="CE103" s="427"/>
      <c r="CF103" s="427"/>
      <c r="CG103" s="439"/>
      <c r="CH103" s="427"/>
      <c r="CI103" s="427"/>
    </row>
    <row r="104" customFormat="false" ht="13.5" hidden="false" customHeight="false" outlineLevel="0" collapsed="false">
      <c r="A104" s="424"/>
      <c r="B104" s="424"/>
      <c r="C104" s="424"/>
      <c r="D104" s="424"/>
      <c r="E104" s="424"/>
      <c r="F104" s="424"/>
      <c r="G104" s="424"/>
      <c r="H104" s="424"/>
      <c r="I104" s="424"/>
      <c r="J104" s="424"/>
      <c r="K104" s="424"/>
      <c r="L104" s="424"/>
      <c r="M104" s="424"/>
      <c r="N104" s="424"/>
      <c r="O104" s="424"/>
      <c r="P104" s="424"/>
      <c r="Q104" s="435" t="n">
        <v>98</v>
      </c>
      <c r="R104" s="434" t="s">
        <v>706</v>
      </c>
      <c r="S104" s="424"/>
      <c r="T104" s="434" t="s">
        <v>707</v>
      </c>
      <c r="U104" s="434" t="s">
        <v>708</v>
      </c>
      <c r="V104" s="436" t="n">
        <f aca="false">AY109</f>
        <v>0</v>
      </c>
      <c r="W104" s="424"/>
      <c r="X104" s="43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BC104" s="428"/>
      <c r="BO104" s="439"/>
      <c r="BP104" s="427"/>
      <c r="BQ104" s="427"/>
      <c r="BR104" s="427"/>
      <c r="BS104" s="431"/>
      <c r="BT104" s="427"/>
      <c r="BU104" s="427"/>
      <c r="BV104" s="427"/>
      <c r="BW104" s="427"/>
      <c r="BX104" s="427"/>
      <c r="BY104" s="427"/>
      <c r="BZ104" s="427"/>
      <c r="CA104" s="427"/>
      <c r="CB104" s="427"/>
      <c r="CC104" s="427"/>
      <c r="CD104" s="427"/>
      <c r="CE104" s="427"/>
      <c r="CF104" s="427"/>
      <c r="CG104" s="439"/>
      <c r="CH104" s="427"/>
      <c r="CI104" s="427"/>
    </row>
    <row r="105" customFormat="false" ht="13.5" hidden="false" customHeight="false" outlineLevel="0" collapsed="false">
      <c r="A105" s="424"/>
      <c r="B105" s="424"/>
      <c r="C105" s="424"/>
      <c r="D105" s="424"/>
      <c r="E105" s="424"/>
      <c r="F105" s="424"/>
      <c r="G105" s="424"/>
      <c r="H105" s="424"/>
      <c r="I105" s="424"/>
      <c r="J105" s="424"/>
      <c r="K105" s="424"/>
      <c r="L105" s="424"/>
      <c r="M105" s="424"/>
      <c r="N105" s="424"/>
      <c r="O105" s="424"/>
      <c r="P105" s="424"/>
      <c r="Q105" s="435" t="n">
        <v>99</v>
      </c>
      <c r="R105" s="434" t="s">
        <v>709</v>
      </c>
      <c r="S105" s="424"/>
      <c r="T105" s="434" t="s">
        <v>710</v>
      </c>
      <c r="U105" s="434" t="s">
        <v>711</v>
      </c>
      <c r="V105" s="436" t="n">
        <f aca="false">AY110</f>
        <v>0</v>
      </c>
      <c r="W105" s="424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BC105" s="428"/>
      <c r="BO105" s="439"/>
      <c r="BP105" s="427"/>
      <c r="BQ105" s="427"/>
      <c r="BR105" s="427"/>
      <c r="BS105" s="431"/>
      <c r="BT105" s="427"/>
      <c r="BU105" s="427"/>
      <c r="BV105" s="427"/>
      <c r="BW105" s="427"/>
      <c r="BX105" s="427"/>
      <c r="BY105" s="427"/>
      <c r="BZ105" s="427"/>
      <c r="CA105" s="427"/>
      <c r="CB105" s="427"/>
      <c r="CC105" s="427"/>
      <c r="CD105" s="427"/>
      <c r="CE105" s="427"/>
      <c r="CF105" s="427"/>
      <c r="CG105" s="439"/>
      <c r="CH105" s="427"/>
      <c r="CI105" s="427"/>
    </row>
    <row r="106" customFormat="false" ht="13.5" hidden="false" customHeight="false" outlineLevel="0" collapsed="false">
      <c r="A106" s="424"/>
      <c r="B106" s="424"/>
      <c r="C106" s="424"/>
      <c r="D106" s="424"/>
      <c r="E106" s="424"/>
      <c r="F106" s="424"/>
      <c r="G106" s="424"/>
      <c r="H106" s="424"/>
      <c r="I106" s="424"/>
      <c r="J106" s="424"/>
      <c r="K106" s="424"/>
      <c r="L106" s="424"/>
      <c r="M106" s="424"/>
      <c r="N106" s="424"/>
      <c r="O106" s="424"/>
      <c r="P106" s="424"/>
      <c r="Q106" s="424"/>
      <c r="R106" s="424"/>
      <c r="S106" s="424"/>
      <c r="T106" s="424"/>
      <c r="U106" s="424"/>
      <c r="V106" s="436" t="n">
        <f aca="false">AY111</f>
        <v>0</v>
      </c>
      <c r="W106" s="424"/>
      <c r="X106" s="43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BC106" s="428"/>
      <c r="BN106" s="427"/>
      <c r="BO106" s="439"/>
      <c r="BP106" s="427"/>
      <c r="BQ106" s="427"/>
      <c r="BR106" s="427"/>
      <c r="BS106" s="431"/>
      <c r="BT106" s="427"/>
      <c r="BU106" s="427"/>
      <c r="BV106" s="427"/>
      <c r="BW106" s="427"/>
      <c r="BX106" s="427"/>
      <c r="BY106" s="427"/>
      <c r="BZ106" s="427"/>
      <c r="CA106" s="427"/>
      <c r="CB106" s="427"/>
      <c r="CC106" s="427"/>
      <c r="CD106" s="427"/>
      <c r="CE106" s="427"/>
      <c r="CF106" s="427"/>
      <c r="CG106" s="439"/>
      <c r="CH106" s="427"/>
      <c r="CI106" s="427"/>
    </row>
    <row r="107" customFormat="false" ht="13.5" hidden="false" customHeight="false" outlineLevel="0" collapsed="false">
      <c r="A107" s="424"/>
      <c r="B107" s="424"/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36" t="n">
        <f aca="false">AY112</f>
        <v>0</v>
      </c>
      <c r="W107" s="424"/>
      <c r="AC107" s="427"/>
      <c r="AD107" s="427"/>
      <c r="AE107" s="427"/>
      <c r="AG107" s="427"/>
      <c r="AH107" s="427"/>
      <c r="AI107" s="427"/>
      <c r="AJ107" s="427"/>
      <c r="AK107" s="427"/>
      <c r="AL107" s="427"/>
      <c r="AM107" s="427"/>
      <c r="AN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BC107" s="428"/>
      <c r="BN107" s="427"/>
      <c r="BO107" s="439"/>
      <c r="BP107" s="427"/>
      <c r="BQ107" s="427"/>
      <c r="BR107" s="427"/>
      <c r="BS107" s="431"/>
      <c r="BT107" s="427"/>
      <c r="BU107" s="427"/>
      <c r="BV107" s="427"/>
      <c r="BW107" s="427"/>
      <c r="BX107" s="427"/>
      <c r="BY107" s="427"/>
      <c r="BZ107" s="427"/>
      <c r="CA107" s="427"/>
      <c r="CB107" s="427"/>
      <c r="CC107" s="427"/>
      <c r="CD107" s="427"/>
      <c r="CE107" s="427"/>
      <c r="CF107" s="427"/>
      <c r="CG107" s="439"/>
      <c r="CH107" s="427"/>
      <c r="CI107" s="427"/>
    </row>
    <row r="108" customFormat="false" ht="13.5" hidden="false" customHeight="false" outlineLevel="0" collapsed="false">
      <c r="A108" s="424"/>
      <c r="B108" s="424"/>
      <c r="C108" s="424"/>
      <c r="D108" s="424"/>
      <c r="E108" s="424"/>
      <c r="F108" s="424"/>
      <c r="G108" s="424"/>
      <c r="H108" s="424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36" t="n">
        <f aca="false">AY113</f>
        <v>0</v>
      </c>
      <c r="W108" s="424"/>
      <c r="X108" s="437"/>
      <c r="AC108" s="427"/>
      <c r="AD108" s="427"/>
      <c r="AE108" s="427"/>
      <c r="AG108" s="427"/>
      <c r="AH108" s="427"/>
      <c r="AI108" s="427"/>
      <c r="AJ108" s="427"/>
      <c r="AK108" s="427"/>
      <c r="AL108" s="427"/>
      <c r="AM108" s="427"/>
      <c r="AN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BC108" s="428"/>
      <c r="BN108" s="427"/>
      <c r="BO108" s="439"/>
      <c r="BP108" s="427"/>
      <c r="BQ108" s="427"/>
      <c r="BR108" s="427"/>
      <c r="BS108" s="431"/>
      <c r="BT108" s="427"/>
      <c r="BU108" s="427"/>
      <c r="BV108" s="427"/>
      <c r="BW108" s="427"/>
      <c r="BX108" s="427"/>
      <c r="BY108" s="427"/>
      <c r="BZ108" s="427"/>
      <c r="CA108" s="427"/>
      <c r="CB108" s="427"/>
      <c r="CC108" s="427"/>
      <c r="CD108" s="427"/>
      <c r="CE108" s="427"/>
      <c r="CF108" s="427"/>
      <c r="CG108" s="439"/>
      <c r="CH108" s="427"/>
      <c r="CI108" s="427"/>
    </row>
    <row r="109" customFormat="false" ht="13.5" hidden="false" customHeight="false" outlineLevel="0" collapsed="false">
      <c r="A109" s="424"/>
      <c r="B109" s="424"/>
      <c r="C109" s="424"/>
      <c r="D109" s="424"/>
      <c r="E109" s="424"/>
      <c r="F109" s="424"/>
      <c r="G109" s="424"/>
      <c r="H109" s="424"/>
      <c r="I109" s="424"/>
      <c r="J109" s="424"/>
      <c r="K109" s="424"/>
      <c r="L109" s="424"/>
      <c r="M109" s="424"/>
      <c r="N109" s="424"/>
      <c r="O109" s="424"/>
      <c r="P109" s="424"/>
      <c r="Q109" s="424"/>
      <c r="R109" s="424"/>
      <c r="S109" s="424"/>
      <c r="T109" s="424"/>
      <c r="U109" s="424"/>
      <c r="V109" s="436" t="n">
        <f aca="false">AY114</f>
        <v>0</v>
      </c>
      <c r="W109" s="424"/>
      <c r="AC109" s="427"/>
      <c r="AD109" s="427"/>
      <c r="AE109" s="427"/>
      <c r="AG109" s="427"/>
      <c r="AH109" s="427"/>
      <c r="AI109" s="427"/>
      <c r="AJ109" s="427"/>
      <c r="AK109" s="427"/>
      <c r="AL109" s="427"/>
      <c r="AM109" s="427"/>
      <c r="AN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BC109" s="428"/>
      <c r="BN109" s="427"/>
      <c r="BO109" s="439"/>
      <c r="BP109" s="427"/>
      <c r="BQ109" s="427"/>
      <c r="BR109" s="427"/>
      <c r="BS109" s="431"/>
      <c r="BT109" s="427"/>
      <c r="BU109" s="427"/>
      <c r="BV109" s="427"/>
      <c r="BW109" s="427"/>
      <c r="BX109" s="427"/>
      <c r="BY109" s="427"/>
      <c r="BZ109" s="427"/>
      <c r="CA109" s="427"/>
      <c r="CB109" s="427"/>
      <c r="CC109" s="427"/>
      <c r="CD109" s="427"/>
      <c r="CE109" s="427"/>
      <c r="CF109" s="427"/>
      <c r="CG109" s="439"/>
      <c r="CH109" s="427"/>
      <c r="CI109" s="427"/>
    </row>
    <row r="110" customFormat="false" ht="13.5" hidden="false" customHeight="false" outlineLevel="0" collapsed="false">
      <c r="A110" s="424"/>
      <c r="B110" s="424"/>
      <c r="C110" s="424"/>
      <c r="D110" s="424"/>
      <c r="E110" s="424"/>
      <c r="F110" s="424"/>
      <c r="G110" s="424"/>
      <c r="H110" s="424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36" t="n">
        <f aca="false">AY115</f>
        <v>0</v>
      </c>
      <c r="W110" s="424"/>
      <c r="X110" s="437"/>
      <c r="AC110" s="427"/>
      <c r="AD110" s="427"/>
      <c r="AE110" s="427"/>
      <c r="AG110" s="427"/>
      <c r="AH110" s="427"/>
      <c r="AI110" s="427"/>
      <c r="AJ110" s="427"/>
      <c r="AK110" s="427"/>
      <c r="AL110" s="427"/>
      <c r="AM110" s="427"/>
      <c r="AN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BC110" s="428"/>
      <c r="BN110" s="427"/>
      <c r="BO110" s="428"/>
      <c r="BQ110" s="429"/>
      <c r="BR110" s="426"/>
      <c r="BS110" s="426"/>
      <c r="CG110" s="428"/>
    </row>
    <row r="111" customFormat="false" ht="13.5" hidden="false" customHeight="false" outlineLevel="0" collapsed="false">
      <c r="A111" s="424"/>
      <c r="B111" s="424"/>
      <c r="C111" s="424"/>
      <c r="D111" s="424"/>
      <c r="E111" s="424"/>
      <c r="F111" s="424"/>
      <c r="G111" s="424"/>
      <c r="H111" s="424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36" t="n">
        <f aca="false">AY116</f>
        <v>0</v>
      </c>
      <c r="W111" s="424"/>
      <c r="X111" s="437"/>
      <c r="AC111" s="427"/>
      <c r="AD111" s="427"/>
      <c r="AE111" s="427"/>
      <c r="AG111" s="427"/>
      <c r="AH111" s="427"/>
      <c r="AI111" s="427"/>
      <c r="AJ111" s="427"/>
      <c r="AK111" s="427"/>
      <c r="AL111" s="427"/>
      <c r="AM111" s="427"/>
      <c r="AN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BC111" s="428"/>
      <c r="BN111" s="427"/>
      <c r="BO111" s="428"/>
      <c r="BQ111" s="429"/>
      <c r="BR111" s="429"/>
      <c r="BS111" s="426"/>
      <c r="CG111" s="428"/>
    </row>
    <row r="112" customFormat="false" ht="13.5" hidden="false" customHeight="false" outlineLevel="0" collapsed="false">
      <c r="A112" s="424"/>
      <c r="B112" s="424"/>
      <c r="C112" s="424"/>
      <c r="D112" s="424"/>
      <c r="E112" s="424"/>
      <c r="F112" s="424"/>
      <c r="G112" s="424"/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36" t="n">
        <f aca="false">AY117</f>
        <v>0</v>
      </c>
      <c r="W112" s="424"/>
      <c r="AC112" s="427"/>
      <c r="AD112" s="427"/>
      <c r="AE112" s="427"/>
      <c r="AG112" s="427"/>
      <c r="AH112" s="427"/>
      <c r="AI112" s="427"/>
      <c r="AJ112" s="427"/>
      <c r="AK112" s="427"/>
      <c r="AL112" s="427"/>
      <c r="AM112" s="427"/>
      <c r="AN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BC112" s="428"/>
      <c r="BN112" s="427"/>
      <c r="BO112" s="428"/>
      <c r="BQ112" s="429"/>
      <c r="BR112" s="429"/>
      <c r="BS112" s="426"/>
    </row>
    <row r="113" customFormat="false" ht="13.5" hidden="false" customHeight="false" outlineLevel="0" collapsed="false">
      <c r="A113" s="424"/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36" t="n">
        <f aca="false">AY118</f>
        <v>0</v>
      </c>
      <c r="W113" s="424"/>
      <c r="AC113" s="427"/>
      <c r="AD113" s="427"/>
      <c r="AE113" s="427"/>
      <c r="AG113" s="427"/>
      <c r="AH113" s="427"/>
      <c r="AI113" s="427"/>
      <c r="AJ113" s="427"/>
      <c r="AK113" s="427"/>
      <c r="AL113" s="427"/>
      <c r="AM113" s="427"/>
      <c r="AN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BC113" s="428"/>
      <c r="BN113" s="427"/>
      <c r="BO113" s="428"/>
      <c r="BQ113" s="429"/>
      <c r="BR113" s="429"/>
      <c r="BS113" s="426"/>
    </row>
    <row r="114" customFormat="false" ht="13.5" hidden="false" customHeight="false" outlineLevel="0" collapsed="false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  <c r="M114" s="424"/>
      <c r="N114" s="424"/>
      <c r="O114" s="424"/>
      <c r="P114" s="424"/>
      <c r="Q114" s="424"/>
      <c r="R114" s="424"/>
      <c r="S114" s="424"/>
      <c r="T114" s="424"/>
      <c r="U114" s="424"/>
      <c r="V114" s="436" t="n">
        <f aca="false">AY119</f>
        <v>0</v>
      </c>
      <c r="W114" s="424"/>
      <c r="X114" s="437"/>
      <c r="AC114" s="427"/>
      <c r="AD114" s="427"/>
      <c r="AE114" s="427"/>
      <c r="AG114" s="427"/>
      <c r="AH114" s="427"/>
      <c r="AI114" s="427"/>
      <c r="AJ114" s="427"/>
      <c r="AK114" s="427"/>
      <c r="AL114" s="427"/>
      <c r="AM114" s="427"/>
      <c r="AN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BC114" s="428"/>
      <c r="BN114" s="427"/>
      <c r="BO114" s="428"/>
      <c r="BQ114" s="429"/>
      <c r="BR114" s="429"/>
      <c r="BS114" s="426"/>
    </row>
    <row r="115" customFormat="false" ht="13.5" hidden="false" customHeight="false" outlineLevel="0" collapsed="false">
      <c r="A115" s="424"/>
      <c r="B115" s="424"/>
      <c r="C115" s="424"/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  <c r="R115" s="424"/>
      <c r="S115" s="424"/>
      <c r="T115" s="424"/>
      <c r="U115" s="424"/>
      <c r="V115" s="436" t="n">
        <f aca="false">AY120</f>
        <v>0</v>
      </c>
      <c r="W115" s="424"/>
      <c r="AC115" s="427"/>
      <c r="AD115" s="427"/>
      <c r="AE115" s="427"/>
      <c r="AG115" s="427"/>
      <c r="AH115" s="427"/>
      <c r="AI115" s="427"/>
      <c r="AJ115" s="427"/>
      <c r="AK115" s="427"/>
      <c r="AL115" s="427"/>
      <c r="AM115" s="427"/>
      <c r="AN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BC115" s="428"/>
      <c r="BN115" s="427"/>
      <c r="BO115" s="428"/>
      <c r="BQ115" s="429"/>
      <c r="BR115" s="429"/>
      <c r="BS115" s="426"/>
    </row>
    <row r="116" customFormat="false" ht="13.5" hidden="false" customHeight="false" outlineLevel="0" collapsed="false">
      <c r="A116" s="424"/>
      <c r="B116" s="424"/>
      <c r="C116" s="424"/>
      <c r="D116" s="424"/>
      <c r="E116" s="424"/>
      <c r="F116" s="424"/>
      <c r="G116" s="424"/>
      <c r="H116" s="424"/>
      <c r="I116" s="424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36" t="n">
        <f aca="false">AY121</f>
        <v>0</v>
      </c>
      <c r="W116" s="424"/>
      <c r="X116" s="437"/>
      <c r="AC116" s="427"/>
      <c r="AD116" s="427"/>
      <c r="AE116" s="427"/>
      <c r="AG116" s="427"/>
      <c r="AH116" s="427"/>
      <c r="AI116" s="427"/>
      <c r="AJ116" s="427"/>
      <c r="AK116" s="427"/>
      <c r="AL116" s="427"/>
      <c r="AM116" s="427"/>
      <c r="AN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BC116" s="428"/>
      <c r="BN116" s="427"/>
      <c r="BO116" s="428"/>
      <c r="BQ116" s="429"/>
      <c r="BR116" s="429"/>
      <c r="BS116" s="426"/>
    </row>
    <row r="117" customFormat="false" ht="13.5" hidden="false" customHeight="false" outlineLevel="0" collapsed="false">
      <c r="A117" s="424"/>
      <c r="B117" s="424"/>
      <c r="C117" s="424"/>
      <c r="D117" s="424"/>
      <c r="E117" s="424"/>
      <c r="F117" s="424"/>
      <c r="G117" s="424"/>
      <c r="H117" s="424"/>
      <c r="I117" s="424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36" t="n">
        <f aca="false">AY122</f>
        <v>0</v>
      </c>
      <c r="W117" s="424"/>
      <c r="AC117" s="427"/>
      <c r="AD117" s="427"/>
      <c r="AE117" s="427"/>
      <c r="AG117" s="427"/>
      <c r="AH117" s="427"/>
      <c r="AI117" s="427"/>
      <c r="AJ117" s="427"/>
      <c r="AK117" s="427"/>
      <c r="AL117" s="427"/>
      <c r="AM117" s="427"/>
      <c r="AN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BC117" s="428"/>
      <c r="BN117" s="427"/>
      <c r="BO117" s="428"/>
      <c r="BQ117" s="429"/>
      <c r="BR117" s="429"/>
      <c r="BS117" s="426"/>
    </row>
    <row r="118" customFormat="false" ht="13.5" hidden="false" customHeight="false" outlineLevel="0" collapsed="false">
      <c r="A118" s="424"/>
      <c r="B118" s="424"/>
      <c r="C118" s="424"/>
      <c r="D118" s="424"/>
      <c r="E118" s="424"/>
      <c r="F118" s="424"/>
      <c r="G118" s="424"/>
      <c r="H118" s="424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36" t="n">
        <f aca="false">AY123</f>
        <v>0</v>
      </c>
      <c r="W118" s="424"/>
      <c r="X118" s="437"/>
      <c r="AC118" s="427"/>
      <c r="AD118" s="427"/>
      <c r="AE118" s="427"/>
      <c r="AG118" s="427"/>
      <c r="AH118" s="427"/>
      <c r="AI118" s="427"/>
      <c r="AJ118" s="427"/>
      <c r="AK118" s="427"/>
      <c r="AL118" s="427"/>
      <c r="AM118" s="427"/>
      <c r="AN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BC118" s="428"/>
      <c r="BN118" s="427"/>
      <c r="BO118" s="428"/>
      <c r="BQ118" s="429"/>
      <c r="BR118" s="429"/>
      <c r="BS118" s="426"/>
    </row>
    <row r="119" customFormat="false" ht="13.5" hidden="false" customHeight="false" outlineLevel="0" collapsed="false">
      <c r="A119" s="424"/>
      <c r="B119" s="424"/>
      <c r="C119" s="424"/>
      <c r="D119" s="424"/>
      <c r="E119" s="424"/>
      <c r="F119" s="424"/>
      <c r="G119" s="424"/>
      <c r="H119" s="424"/>
      <c r="I119" s="424"/>
      <c r="J119" s="424"/>
      <c r="K119" s="424"/>
      <c r="L119" s="424"/>
      <c r="M119" s="424"/>
      <c r="N119" s="424"/>
      <c r="O119" s="424"/>
      <c r="P119" s="424"/>
      <c r="Q119" s="424"/>
      <c r="R119" s="424"/>
      <c r="S119" s="424"/>
      <c r="T119" s="424"/>
      <c r="U119" s="424"/>
      <c r="V119" s="436" t="n">
        <f aca="false">AY124</f>
        <v>0</v>
      </c>
      <c r="W119" s="424"/>
      <c r="X119" s="437"/>
      <c r="AC119" s="427"/>
      <c r="AD119" s="427"/>
      <c r="AE119" s="427"/>
      <c r="AG119" s="427"/>
      <c r="AH119" s="427"/>
      <c r="AI119" s="427"/>
      <c r="AJ119" s="427"/>
      <c r="AK119" s="427"/>
      <c r="AL119" s="427"/>
      <c r="AM119" s="427"/>
      <c r="AN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BC119" s="428"/>
      <c r="BN119" s="427"/>
      <c r="BO119" s="428"/>
      <c r="BQ119" s="429"/>
      <c r="BR119" s="429"/>
      <c r="BS119" s="426"/>
    </row>
    <row r="120" customFormat="false" ht="13.5" hidden="false" customHeight="false" outlineLevel="0" collapsed="false">
      <c r="A120" s="424"/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24"/>
      <c r="Q120" s="424"/>
      <c r="R120" s="424"/>
      <c r="S120" s="424"/>
      <c r="T120" s="424"/>
      <c r="U120" s="424"/>
      <c r="V120" s="436" t="n">
        <f aca="false">AY125</f>
        <v>0</v>
      </c>
      <c r="W120" s="424"/>
      <c r="AC120" s="427"/>
      <c r="AD120" s="427"/>
      <c r="AE120" s="427"/>
      <c r="AG120" s="427"/>
      <c r="AH120" s="427"/>
      <c r="AI120" s="427"/>
      <c r="AJ120" s="427"/>
      <c r="AK120" s="427"/>
      <c r="AL120" s="427"/>
      <c r="AM120" s="427"/>
      <c r="AN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BC120" s="428"/>
      <c r="BN120" s="427"/>
      <c r="BO120" s="428"/>
      <c r="BQ120" s="429"/>
    </row>
    <row r="121" customFormat="false" ht="13.5" hidden="false" customHeight="false" outlineLevel="0" collapsed="false">
      <c r="A121" s="424"/>
      <c r="B121" s="424"/>
      <c r="C121" s="424"/>
      <c r="D121" s="424"/>
      <c r="E121" s="424"/>
      <c r="F121" s="424"/>
      <c r="G121" s="424"/>
      <c r="H121" s="424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36" t="n">
        <f aca="false">AY126</f>
        <v>0</v>
      </c>
      <c r="W121" s="424"/>
      <c r="AC121" s="427"/>
      <c r="AD121" s="427"/>
      <c r="AE121" s="427"/>
      <c r="AG121" s="427"/>
      <c r="AH121" s="427"/>
      <c r="AI121" s="427"/>
      <c r="AJ121" s="427"/>
      <c r="AK121" s="427"/>
      <c r="AL121" s="427"/>
      <c r="AM121" s="427"/>
      <c r="AN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BC121" s="428"/>
      <c r="BN121" s="427"/>
    </row>
    <row r="122" customFormat="false" ht="13.5" hidden="false" customHeight="false" outlineLevel="0" collapsed="false">
      <c r="A122" s="424"/>
      <c r="B122" s="424"/>
      <c r="C122" s="424"/>
      <c r="D122" s="424"/>
      <c r="E122" s="424"/>
      <c r="F122" s="424"/>
      <c r="G122" s="424"/>
      <c r="H122" s="424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36" t="n">
        <f aca="false">AY127</f>
        <v>0</v>
      </c>
      <c r="W122" s="424"/>
      <c r="X122" s="437"/>
      <c r="AC122" s="427"/>
      <c r="AD122" s="427"/>
      <c r="AE122" s="427"/>
      <c r="AG122" s="427"/>
      <c r="AH122" s="427"/>
      <c r="AI122" s="427"/>
      <c r="AJ122" s="427"/>
      <c r="AK122" s="427"/>
      <c r="AL122" s="427"/>
      <c r="AM122" s="427"/>
      <c r="AN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BC122" s="428"/>
      <c r="BN122" s="427"/>
    </row>
    <row r="123" customFormat="false" ht="13.5" hidden="false" customHeight="false" outlineLevel="0" collapsed="false">
      <c r="A123" s="424"/>
      <c r="B123" s="424"/>
      <c r="C123" s="424"/>
      <c r="D123" s="424"/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36" t="n">
        <f aca="false">AY128</f>
        <v>0</v>
      </c>
      <c r="W123" s="424"/>
      <c r="X123" s="437"/>
      <c r="AC123" s="427"/>
      <c r="AD123" s="427"/>
      <c r="AE123" s="427"/>
      <c r="AG123" s="427"/>
      <c r="AH123" s="427"/>
      <c r="AI123" s="427"/>
      <c r="AJ123" s="427"/>
      <c r="AK123" s="427"/>
      <c r="AL123" s="427"/>
      <c r="AM123" s="427"/>
      <c r="AN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BC123" s="428"/>
      <c r="BN123" s="427"/>
    </row>
    <row r="124" customFormat="false" ht="13.5" hidden="false" customHeight="false" outlineLevel="0" collapsed="false">
      <c r="A124" s="424"/>
      <c r="B124" s="424"/>
      <c r="C124" s="424"/>
      <c r="D124" s="424"/>
      <c r="E124" s="424"/>
      <c r="F124" s="424"/>
      <c r="G124" s="424"/>
      <c r="H124" s="424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36"/>
      <c r="W124" s="424"/>
      <c r="AC124" s="427"/>
      <c r="AD124" s="427"/>
      <c r="AE124" s="427"/>
      <c r="AG124" s="427"/>
      <c r="AH124" s="427"/>
      <c r="AI124" s="427"/>
      <c r="AJ124" s="427"/>
      <c r="AK124" s="427"/>
      <c r="AL124" s="427"/>
      <c r="AM124" s="427"/>
      <c r="AN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BC124" s="428"/>
      <c r="BN124" s="427"/>
    </row>
    <row r="125" customFormat="false" ht="13.5" hidden="false" customHeight="false" outlineLevel="0" collapsed="false">
      <c r="A125" s="424"/>
      <c r="B125" s="424"/>
      <c r="C125" s="424"/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36"/>
      <c r="W125" s="424"/>
      <c r="AC125" s="427"/>
      <c r="AD125" s="427"/>
      <c r="AE125" s="427"/>
      <c r="AG125" s="427"/>
      <c r="AH125" s="427"/>
      <c r="AI125" s="427"/>
      <c r="AJ125" s="427"/>
      <c r="AK125" s="427"/>
      <c r="AL125" s="427"/>
      <c r="AM125" s="427"/>
      <c r="AN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BC125" s="428"/>
      <c r="BN125" s="427"/>
    </row>
    <row r="126" customFormat="false" ht="13.5" hidden="false" customHeight="false" outlineLevel="0" collapsed="false">
      <c r="A126" s="424"/>
      <c r="B126" s="424"/>
      <c r="C126" s="424"/>
      <c r="D126" s="424"/>
      <c r="E126" s="424"/>
      <c r="F126" s="424"/>
      <c r="G126" s="424"/>
      <c r="H126" s="424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36"/>
      <c r="W126" s="424"/>
      <c r="X126" s="437"/>
      <c r="AC126" s="427"/>
      <c r="AD126" s="427"/>
      <c r="AE126" s="427"/>
      <c r="AG126" s="427"/>
      <c r="AH126" s="427"/>
      <c r="AI126" s="427"/>
      <c r="AJ126" s="427"/>
      <c r="AK126" s="427"/>
      <c r="AL126" s="427"/>
      <c r="AM126" s="427"/>
      <c r="AN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BC126" s="428"/>
      <c r="BN126" s="427"/>
    </row>
    <row r="127" customFormat="false" ht="13.5" hidden="false" customHeight="false" outlineLevel="0" collapsed="false">
      <c r="A127" s="424"/>
      <c r="B127" s="424"/>
      <c r="C127" s="424"/>
      <c r="D127" s="424"/>
      <c r="E127" s="424"/>
      <c r="F127" s="424"/>
      <c r="G127" s="424"/>
      <c r="H127" s="424"/>
      <c r="I127" s="424"/>
      <c r="J127" s="424"/>
      <c r="K127" s="424"/>
      <c r="L127" s="424"/>
      <c r="M127" s="424"/>
      <c r="N127" s="424"/>
      <c r="O127" s="424"/>
      <c r="P127" s="424"/>
      <c r="Q127" s="424"/>
      <c r="R127" s="424"/>
      <c r="S127" s="424"/>
      <c r="T127" s="424"/>
      <c r="U127" s="424"/>
      <c r="V127" s="424"/>
      <c r="W127" s="424"/>
      <c r="AC127" s="427"/>
      <c r="AD127" s="427"/>
      <c r="AE127" s="427"/>
      <c r="AG127" s="427"/>
      <c r="AH127" s="427"/>
      <c r="AI127" s="427"/>
      <c r="AJ127" s="427"/>
      <c r="AK127" s="427"/>
      <c r="AL127" s="427"/>
      <c r="AM127" s="427"/>
      <c r="AN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BC127" s="428"/>
      <c r="BN127" s="427"/>
    </row>
    <row r="128" customFormat="false" ht="13.5" hidden="false" customHeight="false" outlineLevel="0" collapsed="false">
      <c r="A128" s="424"/>
      <c r="B128" s="424"/>
      <c r="C128" s="424"/>
      <c r="D128" s="424"/>
      <c r="E128" s="424"/>
      <c r="F128" s="424"/>
      <c r="G128" s="424"/>
      <c r="H128" s="424"/>
      <c r="I128" s="424"/>
      <c r="J128" s="424"/>
      <c r="K128" s="424"/>
      <c r="L128" s="424"/>
      <c r="M128" s="424"/>
      <c r="N128" s="424"/>
      <c r="O128" s="424"/>
      <c r="P128" s="424"/>
      <c r="Q128" s="424"/>
      <c r="R128" s="424"/>
      <c r="S128" s="424"/>
      <c r="T128" s="424"/>
      <c r="U128" s="424"/>
      <c r="V128" s="424"/>
      <c r="W128" s="424"/>
      <c r="X128" s="437"/>
      <c r="AC128" s="427"/>
      <c r="AD128" s="427"/>
      <c r="AE128" s="427"/>
      <c r="AG128" s="427"/>
      <c r="AH128" s="427"/>
      <c r="AI128" s="427"/>
      <c r="AJ128" s="427"/>
      <c r="AK128" s="427"/>
      <c r="AL128" s="427"/>
      <c r="AM128" s="427"/>
      <c r="AN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BC128" s="428"/>
      <c r="BN128" s="427"/>
    </row>
    <row r="129" customFormat="false" ht="13.5" hidden="false" customHeight="false" outlineLevel="0" collapsed="false">
      <c r="A129" s="424"/>
      <c r="B129" s="424"/>
      <c r="C129" s="424"/>
      <c r="D129" s="424"/>
      <c r="E129" s="424"/>
      <c r="F129" s="424"/>
      <c r="G129" s="424"/>
      <c r="H129" s="424"/>
      <c r="I129" s="424"/>
      <c r="J129" s="424"/>
      <c r="K129" s="424"/>
      <c r="L129" s="424"/>
      <c r="M129" s="424"/>
      <c r="N129" s="424"/>
      <c r="O129" s="424"/>
      <c r="P129" s="424"/>
      <c r="Q129" s="424"/>
      <c r="R129" s="434" t="s">
        <v>400</v>
      </c>
      <c r="S129" s="424"/>
      <c r="T129" s="424"/>
      <c r="U129" s="424"/>
      <c r="V129" s="435" t="n">
        <f aca="false">SUM(V131:V163)</f>
        <v>0</v>
      </c>
      <c r="W129" s="424"/>
      <c r="X129" s="437"/>
      <c r="AC129" s="427"/>
      <c r="AD129" s="427"/>
      <c r="AE129" s="427"/>
      <c r="AG129" s="427"/>
      <c r="AH129" s="427"/>
      <c r="AI129" s="427"/>
      <c r="AJ129" s="427"/>
      <c r="AK129" s="427"/>
      <c r="AL129" s="427"/>
      <c r="AM129" s="427"/>
      <c r="AN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BC129" s="428"/>
      <c r="BN129" s="427"/>
    </row>
    <row r="130" customFormat="false" ht="13.5" hidden="false" customHeight="false" outlineLevel="0" collapsed="false">
      <c r="A130" s="424"/>
      <c r="B130" s="424"/>
      <c r="C130" s="424"/>
      <c r="D130" s="424"/>
      <c r="E130" s="424"/>
      <c r="F130" s="424"/>
      <c r="G130" s="424"/>
      <c r="H130" s="424"/>
      <c r="I130" s="424"/>
      <c r="J130" s="424"/>
      <c r="K130" s="424"/>
      <c r="L130" s="424"/>
      <c r="M130" s="424"/>
      <c r="N130" s="424"/>
      <c r="O130" s="424"/>
      <c r="P130" s="424"/>
      <c r="Q130" s="435" t="n">
        <v>0</v>
      </c>
      <c r="R130" s="424"/>
      <c r="S130" s="435" t="n">
        <v>0</v>
      </c>
      <c r="T130" s="424"/>
      <c r="U130" s="424"/>
      <c r="V130" s="436" t="n">
        <f aca="false">AY130</f>
        <v>0</v>
      </c>
      <c r="W130" s="424"/>
      <c r="AC130" s="427"/>
      <c r="AD130" s="427"/>
      <c r="AE130" s="427"/>
      <c r="AG130" s="427"/>
      <c r="AH130" s="427"/>
      <c r="AI130" s="427"/>
      <c r="AJ130" s="427"/>
      <c r="AK130" s="427"/>
      <c r="AL130" s="427"/>
      <c r="AM130" s="427"/>
      <c r="AN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BC130" s="428"/>
      <c r="BD130" s="428"/>
      <c r="BG130" s="428"/>
      <c r="BH130" s="428"/>
      <c r="BJ130" s="428"/>
      <c r="BK130" s="428"/>
      <c r="BL130" s="428"/>
      <c r="BM130" s="428"/>
      <c r="BN130" s="439"/>
      <c r="BO130" s="428"/>
    </row>
    <row r="131" customFormat="false" ht="13.5" hidden="false" customHeight="false" outlineLevel="0" collapsed="false">
      <c r="A131" s="424"/>
      <c r="B131" s="424"/>
      <c r="C131" s="424"/>
      <c r="D131" s="424"/>
      <c r="E131" s="424"/>
      <c r="F131" s="424"/>
      <c r="G131" s="424"/>
      <c r="H131" s="424"/>
      <c r="I131" s="424"/>
      <c r="J131" s="424"/>
      <c r="K131" s="424"/>
      <c r="L131" s="424"/>
      <c r="M131" s="424"/>
      <c r="N131" s="424"/>
      <c r="O131" s="424"/>
      <c r="P131" s="424"/>
      <c r="Q131" s="435" t="n">
        <v>1</v>
      </c>
      <c r="R131" s="434" t="s">
        <v>401</v>
      </c>
      <c r="S131" s="434" t="s">
        <v>402</v>
      </c>
      <c r="T131" s="434" t="s">
        <v>403</v>
      </c>
      <c r="U131" s="434" t="s">
        <v>404</v>
      </c>
      <c r="V131" s="436" t="n">
        <f aca="false">AY131</f>
        <v>0</v>
      </c>
      <c r="W131" s="424"/>
      <c r="X131" s="437"/>
      <c r="AC131" s="427"/>
      <c r="AD131" s="427"/>
      <c r="AE131" s="427"/>
      <c r="AG131" s="427"/>
      <c r="AH131" s="427"/>
      <c r="AI131" s="427"/>
      <c r="AJ131" s="427"/>
      <c r="AK131" s="427"/>
      <c r="AL131" s="427"/>
      <c r="AM131" s="427"/>
      <c r="AN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BC131" s="428"/>
      <c r="BD131" s="429"/>
      <c r="BE131" s="431"/>
      <c r="BF131" s="437"/>
      <c r="BH131" s="431"/>
      <c r="BI131" s="427"/>
      <c r="BJ131" s="427"/>
      <c r="BK131" s="426"/>
      <c r="BM131" s="427"/>
      <c r="BN131" s="427"/>
      <c r="BO131" s="428"/>
    </row>
    <row r="132" customFormat="false" ht="13.5" hidden="false" customHeight="false" outlineLevel="0" collapsed="false">
      <c r="A132" s="424"/>
      <c r="B132" s="424"/>
      <c r="C132" s="424"/>
      <c r="D132" s="424"/>
      <c r="E132" s="424"/>
      <c r="F132" s="424"/>
      <c r="G132" s="424"/>
      <c r="H132" s="424"/>
      <c r="I132" s="424"/>
      <c r="J132" s="424"/>
      <c r="K132" s="424"/>
      <c r="L132" s="424"/>
      <c r="M132" s="424"/>
      <c r="N132" s="424"/>
      <c r="O132" s="424"/>
      <c r="P132" s="424"/>
      <c r="Q132" s="435" t="n">
        <v>2</v>
      </c>
      <c r="R132" s="434" t="s">
        <v>405</v>
      </c>
      <c r="S132" s="434" t="s">
        <v>406</v>
      </c>
      <c r="T132" s="434" t="s">
        <v>407</v>
      </c>
      <c r="U132" s="434" t="s">
        <v>408</v>
      </c>
      <c r="V132" s="436" t="n">
        <f aca="false">AY132</f>
        <v>0</v>
      </c>
      <c r="W132" s="424"/>
      <c r="AC132" s="427"/>
      <c r="AD132" s="427"/>
      <c r="AE132" s="427"/>
      <c r="AG132" s="427"/>
      <c r="AH132" s="427"/>
      <c r="AI132" s="427"/>
      <c r="AJ132" s="427"/>
      <c r="AK132" s="427"/>
      <c r="AL132" s="427"/>
      <c r="AM132" s="427"/>
      <c r="AN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BC132" s="428"/>
      <c r="BE132" s="426"/>
      <c r="BG132" s="426"/>
      <c r="BN132" s="427"/>
      <c r="BO132" s="428"/>
    </row>
    <row r="133" customFormat="false" ht="13.5" hidden="false" customHeight="false" outlineLevel="0" collapsed="false">
      <c r="A133" s="424"/>
      <c r="B133" s="424"/>
      <c r="C133" s="424"/>
      <c r="D133" s="424"/>
      <c r="E133" s="424"/>
      <c r="F133" s="424"/>
      <c r="G133" s="424"/>
      <c r="H133" s="424"/>
      <c r="I133" s="424"/>
      <c r="J133" s="424"/>
      <c r="K133" s="424"/>
      <c r="L133" s="424"/>
      <c r="M133" s="424"/>
      <c r="N133" s="424"/>
      <c r="O133" s="424"/>
      <c r="P133" s="424"/>
      <c r="Q133" s="435" t="n">
        <v>3</v>
      </c>
      <c r="R133" s="434" t="s">
        <v>409</v>
      </c>
      <c r="S133" s="434" t="s">
        <v>410</v>
      </c>
      <c r="T133" s="434" t="s">
        <v>411</v>
      </c>
      <c r="U133" s="434" t="s">
        <v>412</v>
      </c>
      <c r="V133" s="436" t="n">
        <f aca="false">AY133</f>
        <v>0</v>
      </c>
      <c r="W133" s="424"/>
      <c r="X133" s="437"/>
      <c r="AC133" s="427"/>
      <c r="AD133" s="427"/>
      <c r="AE133" s="427"/>
      <c r="AG133" s="427"/>
      <c r="AH133" s="427"/>
      <c r="AI133" s="427"/>
      <c r="AJ133" s="427"/>
      <c r="AK133" s="427"/>
      <c r="AL133" s="427"/>
      <c r="AM133" s="427"/>
      <c r="AN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BC133" s="428"/>
      <c r="BE133" s="426"/>
      <c r="BG133" s="426"/>
      <c r="BN133" s="427"/>
      <c r="BO133" s="428"/>
    </row>
    <row r="134" customFormat="false" ht="13.5" hidden="false" customHeight="false" outlineLevel="0" collapsed="false">
      <c r="A134" s="424"/>
      <c r="B134" s="424"/>
      <c r="C134" s="424"/>
      <c r="D134" s="424"/>
      <c r="E134" s="424"/>
      <c r="F134" s="424"/>
      <c r="G134" s="424"/>
      <c r="H134" s="424"/>
      <c r="I134" s="424"/>
      <c r="J134" s="424"/>
      <c r="K134" s="424"/>
      <c r="L134" s="424"/>
      <c r="M134" s="424"/>
      <c r="N134" s="424"/>
      <c r="O134" s="424"/>
      <c r="P134" s="424"/>
      <c r="Q134" s="435" t="n">
        <v>4</v>
      </c>
      <c r="R134" s="434" t="s">
        <v>413</v>
      </c>
      <c r="S134" s="434" t="s">
        <v>414</v>
      </c>
      <c r="T134" s="434" t="s">
        <v>415</v>
      </c>
      <c r="U134" s="434" t="s">
        <v>416</v>
      </c>
      <c r="V134" s="436" t="n">
        <f aca="false">AY134</f>
        <v>0</v>
      </c>
      <c r="W134" s="424"/>
      <c r="AC134" s="427"/>
      <c r="AD134" s="427"/>
      <c r="AE134" s="427"/>
      <c r="AG134" s="427"/>
      <c r="AH134" s="427"/>
      <c r="AI134" s="427"/>
      <c r="AJ134" s="427"/>
      <c r="AK134" s="427"/>
      <c r="AL134" s="427"/>
      <c r="AM134" s="427"/>
      <c r="AN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BC134" s="428"/>
      <c r="BN134" s="427"/>
      <c r="BO134" s="428"/>
    </row>
    <row r="135" customFormat="false" ht="13.5" hidden="false" customHeight="false" outlineLevel="0" collapsed="false">
      <c r="A135" s="424"/>
      <c r="B135" s="424"/>
      <c r="C135" s="424"/>
      <c r="D135" s="424"/>
      <c r="E135" s="424"/>
      <c r="F135" s="424"/>
      <c r="G135" s="424"/>
      <c r="H135" s="424"/>
      <c r="I135" s="424"/>
      <c r="J135" s="424"/>
      <c r="K135" s="424"/>
      <c r="L135" s="424"/>
      <c r="M135" s="424"/>
      <c r="N135" s="424"/>
      <c r="O135" s="424"/>
      <c r="P135" s="438" t="s">
        <v>417</v>
      </c>
      <c r="Q135" s="435" t="n">
        <v>5</v>
      </c>
      <c r="R135" s="434" t="s">
        <v>418</v>
      </c>
      <c r="S135" s="434" t="s">
        <v>419</v>
      </c>
      <c r="T135" s="434" t="s">
        <v>420</v>
      </c>
      <c r="U135" s="434" t="s">
        <v>421</v>
      </c>
      <c r="V135" s="436" t="n">
        <f aca="false">AY135</f>
        <v>0</v>
      </c>
      <c r="W135" s="424"/>
      <c r="X135" s="437"/>
      <c r="AC135" s="427"/>
      <c r="AD135" s="427"/>
      <c r="AE135" s="427"/>
      <c r="AG135" s="427"/>
      <c r="AH135" s="427"/>
      <c r="AI135" s="427"/>
      <c r="AJ135" s="427"/>
      <c r="AK135" s="427"/>
      <c r="AL135" s="427"/>
      <c r="AM135" s="427"/>
      <c r="AN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BC135" s="428"/>
      <c r="BN135" s="427"/>
      <c r="BO135" s="428"/>
    </row>
    <row r="136" customFormat="false" ht="13.5" hidden="false" customHeight="false" outlineLevel="0" collapsed="false">
      <c r="A136" s="424"/>
      <c r="B136" s="424"/>
      <c r="C136" s="424"/>
      <c r="D136" s="424"/>
      <c r="E136" s="424"/>
      <c r="F136" s="424"/>
      <c r="G136" s="424"/>
      <c r="H136" s="424"/>
      <c r="I136" s="424"/>
      <c r="J136" s="424"/>
      <c r="K136" s="424"/>
      <c r="L136" s="424"/>
      <c r="M136" s="424"/>
      <c r="N136" s="424"/>
      <c r="O136" s="424"/>
      <c r="P136" s="438" t="s">
        <v>417</v>
      </c>
      <c r="Q136" s="435" t="n">
        <v>6</v>
      </c>
      <c r="R136" s="434" t="s">
        <v>422</v>
      </c>
      <c r="S136" s="434" t="s">
        <v>423</v>
      </c>
      <c r="T136" s="434" t="s">
        <v>424</v>
      </c>
      <c r="U136" s="434" t="s">
        <v>425</v>
      </c>
      <c r="V136" s="436" t="n">
        <f aca="false">AY136</f>
        <v>0</v>
      </c>
      <c r="W136" s="424"/>
      <c r="AC136" s="427"/>
      <c r="AD136" s="427"/>
      <c r="AE136" s="427"/>
      <c r="AG136" s="427"/>
      <c r="AH136" s="427"/>
      <c r="AI136" s="427"/>
      <c r="AJ136" s="427"/>
      <c r="AK136" s="427"/>
      <c r="AL136" s="427"/>
      <c r="AM136" s="427"/>
      <c r="AN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BC136" s="428"/>
      <c r="BE136" s="431"/>
      <c r="BN136" s="427"/>
      <c r="BO136" s="428"/>
    </row>
    <row r="137" customFormat="false" ht="13.5" hidden="false" customHeight="false" outlineLevel="0" collapsed="false">
      <c r="A137" s="424"/>
      <c r="B137" s="424"/>
      <c r="C137" s="424"/>
      <c r="D137" s="424"/>
      <c r="E137" s="424"/>
      <c r="F137" s="424"/>
      <c r="G137" s="424"/>
      <c r="H137" s="424"/>
      <c r="I137" s="424"/>
      <c r="J137" s="424"/>
      <c r="K137" s="424"/>
      <c r="L137" s="424"/>
      <c r="M137" s="424"/>
      <c r="N137" s="424"/>
      <c r="O137" s="424"/>
      <c r="P137" s="438" t="s">
        <v>417</v>
      </c>
      <c r="Q137" s="435" t="n">
        <v>7</v>
      </c>
      <c r="R137" s="434" t="s">
        <v>426</v>
      </c>
      <c r="S137" s="434" t="s">
        <v>427</v>
      </c>
      <c r="T137" s="434" t="s">
        <v>428</v>
      </c>
      <c r="U137" s="434" t="s">
        <v>429</v>
      </c>
      <c r="V137" s="436" t="n">
        <f aca="false">AY137</f>
        <v>0</v>
      </c>
      <c r="W137" s="424"/>
      <c r="X137" s="437"/>
      <c r="AC137" s="427"/>
      <c r="AD137" s="427"/>
      <c r="AE137" s="427"/>
      <c r="AG137" s="427"/>
      <c r="AH137" s="427"/>
      <c r="AI137" s="427"/>
      <c r="AJ137" s="427"/>
      <c r="AK137" s="427"/>
      <c r="AL137" s="427"/>
      <c r="AM137" s="427"/>
      <c r="AN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BC137" s="428"/>
      <c r="BE137" s="426"/>
      <c r="BN137" s="427"/>
      <c r="BO137" s="428"/>
    </row>
    <row r="138" customFormat="false" ht="13.5" hidden="false" customHeight="false" outlineLevel="0" collapsed="false">
      <c r="A138" s="424"/>
      <c r="B138" s="424"/>
      <c r="C138" s="424"/>
      <c r="D138" s="424"/>
      <c r="E138" s="424"/>
      <c r="F138" s="424"/>
      <c r="G138" s="424"/>
      <c r="H138" s="424"/>
      <c r="I138" s="424"/>
      <c r="J138" s="424"/>
      <c r="K138" s="424"/>
      <c r="L138" s="424"/>
      <c r="M138" s="424"/>
      <c r="N138" s="424"/>
      <c r="O138" s="424"/>
      <c r="P138" s="438" t="s">
        <v>417</v>
      </c>
      <c r="Q138" s="435" t="n">
        <v>8</v>
      </c>
      <c r="R138" s="434" t="s">
        <v>430</v>
      </c>
      <c r="S138" s="434" t="s">
        <v>431</v>
      </c>
      <c r="T138" s="434" t="s">
        <v>432</v>
      </c>
      <c r="U138" s="434" t="s">
        <v>433</v>
      </c>
      <c r="V138" s="436" t="n">
        <f aca="false">AY138</f>
        <v>0</v>
      </c>
      <c r="W138" s="424"/>
      <c r="AC138" s="427"/>
      <c r="AD138" s="427"/>
      <c r="AE138" s="427"/>
      <c r="AG138" s="427"/>
      <c r="AH138" s="427"/>
      <c r="AI138" s="427"/>
      <c r="AJ138" s="427"/>
      <c r="AK138" s="427"/>
      <c r="AL138" s="427"/>
      <c r="AM138" s="427"/>
      <c r="AN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BC138" s="428"/>
      <c r="BE138" s="426"/>
      <c r="BN138" s="427"/>
      <c r="BO138" s="428"/>
    </row>
    <row r="139" customFormat="false" ht="13.5" hidden="false" customHeight="false" outlineLevel="0" collapsed="false">
      <c r="A139" s="424"/>
      <c r="B139" s="424"/>
      <c r="C139" s="424"/>
      <c r="D139" s="424"/>
      <c r="E139" s="424"/>
      <c r="F139" s="424"/>
      <c r="G139" s="424"/>
      <c r="H139" s="424"/>
      <c r="I139" s="424"/>
      <c r="J139" s="424"/>
      <c r="K139" s="424"/>
      <c r="L139" s="424"/>
      <c r="M139" s="424"/>
      <c r="N139" s="424"/>
      <c r="O139" s="424"/>
      <c r="P139" s="438" t="s">
        <v>417</v>
      </c>
      <c r="Q139" s="435" t="n">
        <v>9</v>
      </c>
      <c r="R139" s="434" t="s">
        <v>434</v>
      </c>
      <c r="S139" s="434" t="s">
        <v>435</v>
      </c>
      <c r="T139" s="434" t="s">
        <v>436</v>
      </c>
      <c r="U139" s="434" t="s">
        <v>437</v>
      </c>
      <c r="V139" s="436" t="n">
        <f aca="false">AY139</f>
        <v>0</v>
      </c>
      <c r="W139" s="424"/>
      <c r="AC139" s="427"/>
      <c r="AD139" s="427"/>
      <c r="AE139" s="427"/>
      <c r="AG139" s="427"/>
      <c r="AH139" s="427"/>
      <c r="AI139" s="427"/>
      <c r="AJ139" s="427"/>
      <c r="AK139" s="427"/>
      <c r="AL139" s="427"/>
      <c r="AM139" s="427"/>
      <c r="AN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BC139" s="428"/>
      <c r="BG139" s="443"/>
      <c r="BH139" s="443"/>
      <c r="BK139" s="443"/>
      <c r="BL139" s="443"/>
      <c r="BM139" s="443"/>
      <c r="BN139" s="427"/>
      <c r="BO139" s="428"/>
    </row>
    <row r="140" customFormat="false" ht="13.5" hidden="false" customHeight="false" outlineLevel="0" collapsed="false">
      <c r="A140" s="424"/>
      <c r="B140" s="424"/>
      <c r="C140" s="424"/>
      <c r="D140" s="424"/>
      <c r="E140" s="424"/>
      <c r="F140" s="424"/>
      <c r="G140" s="424"/>
      <c r="H140" s="424"/>
      <c r="I140" s="424"/>
      <c r="J140" s="424"/>
      <c r="K140" s="424"/>
      <c r="L140" s="424"/>
      <c r="M140" s="424"/>
      <c r="N140" s="424"/>
      <c r="O140" s="424"/>
      <c r="P140" s="438" t="s">
        <v>417</v>
      </c>
      <c r="Q140" s="435" t="n">
        <v>10</v>
      </c>
      <c r="R140" s="434" t="s">
        <v>438</v>
      </c>
      <c r="S140" s="424"/>
      <c r="T140" s="434" t="s">
        <v>439</v>
      </c>
      <c r="U140" s="434" t="s">
        <v>440</v>
      </c>
      <c r="V140" s="436" t="n">
        <f aca="false">AY140</f>
        <v>0</v>
      </c>
      <c r="W140" s="424"/>
      <c r="X140" s="437"/>
      <c r="AC140" s="427"/>
      <c r="AD140" s="427"/>
      <c r="AE140" s="427"/>
      <c r="AG140" s="427"/>
      <c r="AH140" s="427"/>
      <c r="AI140" s="427"/>
      <c r="AJ140" s="427"/>
      <c r="AK140" s="427"/>
      <c r="AL140" s="427"/>
      <c r="AM140" s="427"/>
      <c r="AN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BC140" s="428"/>
      <c r="BD140" s="429"/>
      <c r="BE140" s="429"/>
      <c r="BF140" s="427"/>
      <c r="BG140" s="437"/>
      <c r="BH140" s="427"/>
      <c r="BJ140" s="437"/>
      <c r="BK140" s="427"/>
      <c r="BM140" s="426"/>
      <c r="BN140" s="427"/>
      <c r="BO140" s="428"/>
    </row>
    <row r="141" customFormat="false" ht="13.5" hidden="false" customHeight="false" outlineLevel="0" collapsed="false">
      <c r="A141" s="424"/>
      <c r="B141" s="424"/>
      <c r="C141" s="424"/>
      <c r="D141" s="424"/>
      <c r="E141" s="424"/>
      <c r="F141" s="435" t="n">
        <f aca="false">TRUNC(+A143/1000000)</f>
        <v>0</v>
      </c>
      <c r="G141" s="424"/>
      <c r="H141" s="424"/>
      <c r="I141" s="424"/>
      <c r="J141" s="424"/>
      <c r="K141" s="424"/>
      <c r="L141" s="424"/>
      <c r="M141" s="424"/>
      <c r="N141" s="424"/>
      <c r="O141" s="424"/>
      <c r="P141" s="438" t="s">
        <v>417</v>
      </c>
      <c r="Q141" s="435" t="n">
        <v>11</v>
      </c>
      <c r="R141" s="434" t="s">
        <v>441</v>
      </c>
      <c r="S141" s="424"/>
      <c r="T141" s="434" t="s">
        <v>442</v>
      </c>
      <c r="U141" s="434" t="s">
        <v>443</v>
      </c>
      <c r="V141" s="436" t="n">
        <f aca="false">AY141</f>
        <v>0</v>
      </c>
      <c r="W141" s="424"/>
      <c r="X141" s="437"/>
      <c r="AC141" s="427"/>
      <c r="AD141" s="427"/>
      <c r="AE141" s="427"/>
      <c r="AG141" s="427"/>
      <c r="AH141" s="427"/>
      <c r="AI141" s="427"/>
      <c r="AJ141" s="427"/>
      <c r="AK141" s="427"/>
      <c r="AL141" s="427"/>
      <c r="AM141" s="427"/>
      <c r="AN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BC141" s="428"/>
      <c r="BD141" s="429"/>
      <c r="BE141" s="429"/>
      <c r="BF141" s="427"/>
      <c r="BG141" s="437"/>
      <c r="BH141" s="427"/>
      <c r="BJ141" s="437"/>
      <c r="BK141" s="427"/>
      <c r="BM141" s="426"/>
      <c r="BN141" s="427"/>
      <c r="BO141" s="428"/>
    </row>
    <row r="142" customFormat="false" ht="13.5" hidden="false" customHeight="false" outlineLevel="0" collapsed="false">
      <c r="A142" s="424"/>
      <c r="B142" s="424"/>
      <c r="C142" s="424"/>
      <c r="D142" s="424"/>
      <c r="E142" s="424"/>
      <c r="F142" s="435" t="e">
        <f aca="false">(+B146*100000+C146*1000+E146*100)</f>
        <v>#VALUE!</v>
      </c>
      <c r="G142" s="424"/>
      <c r="H142" s="424"/>
      <c r="I142" s="424"/>
      <c r="J142" s="424"/>
      <c r="K142" s="424"/>
      <c r="L142" s="434" t="s">
        <v>444</v>
      </c>
      <c r="M142" s="424"/>
      <c r="N142" s="424"/>
      <c r="O142" s="424"/>
      <c r="P142" s="438" t="s">
        <v>417</v>
      </c>
      <c r="Q142" s="435" t="n">
        <v>12</v>
      </c>
      <c r="R142" s="434" t="s">
        <v>445</v>
      </c>
      <c r="S142" s="424"/>
      <c r="T142" s="434" t="s">
        <v>446</v>
      </c>
      <c r="U142" s="434" t="s">
        <v>447</v>
      </c>
      <c r="V142" s="436" t="n">
        <f aca="false">AY142</f>
        <v>0</v>
      </c>
      <c r="W142" s="424"/>
      <c r="AC142" s="427"/>
      <c r="AD142" s="427"/>
      <c r="AE142" s="427"/>
      <c r="AG142" s="427"/>
      <c r="AH142" s="427"/>
      <c r="AI142" s="427"/>
      <c r="AJ142" s="427"/>
      <c r="AK142" s="427"/>
      <c r="AL142" s="427"/>
      <c r="AM142" s="427"/>
      <c r="AN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BC142" s="428"/>
      <c r="BD142" s="429"/>
      <c r="BF142" s="427"/>
      <c r="BG142" s="437"/>
      <c r="BH142" s="427"/>
      <c r="BJ142" s="437"/>
      <c r="BK142" s="427"/>
      <c r="BN142" s="427"/>
      <c r="BO142" s="428"/>
    </row>
    <row r="143" customFormat="false" ht="13.5" hidden="false" customHeight="false" outlineLevel="0" collapsed="false">
      <c r="A143" s="436" t="n">
        <f aca="false">TRUNC(+A144)</f>
        <v>811000</v>
      </c>
      <c r="B143" s="424"/>
      <c r="C143" s="424"/>
      <c r="D143" s="424"/>
      <c r="E143" s="440" t="n">
        <f aca="false">TRUNC(+A143/100000000)</f>
        <v>0</v>
      </c>
      <c r="F143" s="424"/>
      <c r="G143" s="424"/>
      <c r="H143" s="424"/>
      <c r="I143" s="424"/>
      <c r="J143" s="424"/>
      <c r="K143" s="424"/>
      <c r="L143" s="424"/>
      <c r="M143" s="424"/>
      <c r="N143" s="424"/>
      <c r="O143" s="424"/>
      <c r="P143" s="438" t="s">
        <v>417</v>
      </c>
      <c r="Q143" s="435" t="n">
        <v>13</v>
      </c>
      <c r="R143" s="434" t="s">
        <v>448</v>
      </c>
      <c r="S143" s="424"/>
      <c r="T143" s="434" t="s">
        <v>449</v>
      </c>
      <c r="U143" s="434" t="s">
        <v>450</v>
      </c>
      <c r="V143" s="436" t="n">
        <f aca="false">AY143</f>
        <v>0</v>
      </c>
      <c r="W143" s="424"/>
      <c r="X143" s="437"/>
      <c r="AC143" s="427"/>
      <c r="AD143" s="427"/>
      <c r="AE143" s="427"/>
      <c r="AG143" s="427"/>
      <c r="AH143" s="427"/>
      <c r="AI143" s="427"/>
      <c r="AJ143" s="427"/>
      <c r="AK143" s="427"/>
      <c r="AL143" s="427"/>
      <c r="AM143" s="427"/>
      <c r="AN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BC143" s="428"/>
      <c r="BD143" s="429"/>
      <c r="BF143" s="427"/>
      <c r="BG143" s="437"/>
      <c r="BH143" s="427"/>
      <c r="BJ143" s="437"/>
      <c r="BM143" s="439"/>
      <c r="BN143" s="439"/>
      <c r="BO143" s="428"/>
    </row>
    <row r="144" customFormat="false" ht="13.5" hidden="false" customHeight="false" outlineLevel="0" collapsed="false">
      <c r="A144" s="441" t="n">
        <f aca="false">'OVB All Suspend'!D14</f>
        <v>811000</v>
      </c>
      <c r="B144" s="434" t="s">
        <v>451</v>
      </c>
      <c r="C144" s="434" t="s">
        <v>452</v>
      </c>
      <c r="D144" s="424"/>
      <c r="E144" s="434" t="s">
        <v>452</v>
      </c>
      <c r="F144" s="424"/>
      <c r="G144" s="424"/>
      <c r="H144" s="424"/>
      <c r="I144" s="440" t="n">
        <f aca="false">TRUNC((+A143-(+F141*1000000))/1000)</f>
        <v>811</v>
      </c>
      <c r="J144" s="424"/>
      <c r="K144" s="440" t="n">
        <f aca="false">(TRUNC((+A143-(+F141*1000000))/1))-I144*1000</f>
        <v>0</v>
      </c>
      <c r="L144" s="424"/>
      <c r="M144" s="424"/>
      <c r="N144" s="424"/>
      <c r="O144" s="424"/>
      <c r="P144" s="438" t="s">
        <v>417</v>
      </c>
      <c r="Q144" s="435" t="n">
        <v>14</v>
      </c>
      <c r="R144" s="434" t="s">
        <v>453</v>
      </c>
      <c r="S144" s="424"/>
      <c r="T144" s="434" t="s">
        <v>454</v>
      </c>
      <c r="U144" s="434" t="s">
        <v>455</v>
      </c>
      <c r="V144" s="436" t="n">
        <f aca="false">AY144</f>
        <v>0</v>
      </c>
      <c r="W144" s="424"/>
      <c r="X144" s="437"/>
      <c r="AC144" s="427"/>
      <c r="AD144" s="427"/>
      <c r="AE144" s="427"/>
      <c r="AG144" s="427"/>
      <c r="AH144" s="427"/>
      <c r="AI144" s="427"/>
      <c r="AJ144" s="427"/>
      <c r="AK144" s="427"/>
      <c r="AL144" s="427"/>
      <c r="AM144" s="427"/>
      <c r="AN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BC144" s="428"/>
      <c r="BD144" s="429"/>
      <c r="BF144" s="427"/>
      <c r="BG144" s="437"/>
      <c r="BH144" s="427"/>
      <c r="BJ144" s="437"/>
      <c r="BK144" s="431"/>
      <c r="BL144" s="427"/>
      <c r="BM144" s="426"/>
      <c r="BN144" s="427"/>
      <c r="BO144" s="428"/>
    </row>
    <row r="145" customFormat="false" ht="13.5" hidden="false" customHeight="false" outlineLevel="0" collapsed="false">
      <c r="A145" s="424"/>
      <c r="B145" s="442" t="s">
        <v>712</v>
      </c>
      <c r="C145" s="442" t="s">
        <v>712</v>
      </c>
      <c r="D145" s="424"/>
      <c r="E145" s="442" t="s">
        <v>712</v>
      </c>
      <c r="F145" s="424"/>
      <c r="G145" s="424"/>
      <c r="H145" s="424"/>
      <c r="I145" s="424"/>
      <c r="J145" s="424"/>
      <c r="K145" s="424"/>
      <c r="L145" s="424"/>
      <c r="M145" s="424"/>
      <c r="N145" s="440" t="n">
        <f aca="false">ROUND(((+A144-A143)*100),1)</f>
        <v>0</v>
      </c>
      <c r="O145" s="424"/>
      <c r="P145" s="438" t="s">
        <v>417</v>
      </c>
      <c r="Q145" s="435" t="n">
        <v>15</v>
      </c>
      <c r="R145" s="434" t="s">
        <v>457</v>
      </c>
      <c r="S145" s="424"/>
      <c r="T145" s="434" t="s">
        <v>458</v>
      </c>
      <c r="U145" s="434" t="s">
        <v>459</v>
      </c>
      <c r="V145" s="436" t="n">
        <f aca="false">AY145</f>
        <v>0</v>
      </c>
      <c r="W145" s="424"/>
      <c r="AC145" s="427"/>
      <c r="AD145" s="427"/>
      <c r="AE145" s="427"/>
      <c r="AG145" s="427"/>
      <c r="AH145" s="427"/>
      <c r="AI145" s="427"/>
      <c r="AJ145" s="427"/>
      <c r="AK145" s="427"/>
      <c r="AL145" s="427"/>
      <c r="AM145" s="427"/>
      <c r="AN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BC145" s="428"/>
      <c r="BD145" s="429"/>
      <c r="BF145" s="427"/>
      <c r="BG145" s="437"/>
      <c r="BH145" s="427"/>
      <c r="BJ145" s="437"/>
      <c r="BM145" s="439"/>
      <c r="BN145" s="439"/>
      <c r="BO145" s="428"/>
    </row>
    <row r="146" customFormat="false" ht="13.5" hidden="false" customHeight="false" outlineLevel="0" collapsed="false">
      <c r="A146" s="424"/>
      <c r="B146" s="440" t="n">
        <f aca="false">TRUNC(+A144/100000000000)</f>
        <v>0</v>
      </c>
      <c r="C146" s="440" t="n">
        <f aca="false">(TRUNC(+A143/1000000000))-B146*100</f>
        <v>0</v>
      </c>
      <c r="D146" s="424"/>
      <c r="E146" s="435" t="str">
        <f aca="false">IF(E143&gt;0,TRUNC(+E143-B146*1000-C146*10),"")</f>
        <v/>
      </c>
      <c r="F146" s="435" t="e">
        <f aca="false">F141-F142</f>
        <v>#VALUE!</v>
      </c>
      <c r="G146" s="435" t="e">
        <f aca="false">G148</f>
        <v>#VALUE!</v>
      </c>
      <c r="H146" s="440" t="n">
        <f aca="false">TRUNC((+A143-(+F141*1000000))/100000)</f>
        <v>8</v>
      </c>
      <c r="I146" s="440" t="n">
        <f aca="false">I144-H146*100</f>
        <v>11</v>
      </c>
      <c r="J146" s="424"/>
      <c r="K146" s="440" t="n">
        <f aca="false">TRUNC(+K144/100)</f>
        <v>0</v>
      </c>
      <c r="L146" s="440" t="n">
        <f aca="false">K144-K146*100</f>
        <v>0</v>
      </c>
      <c r="M146" s="440" t="str">
        <f aca="false">IF(N146&gt;0," &amp; Sen ","")</f>
        <v/>
      </c>
      <c r="N146" s="435" t="n">
        <f aca="false">N145</f>
        <v>0</v>
      </c>
      <c r="O146" s="424"/>
      <c r="P146" s="438" t="s">
        <v>417</v>
      </c>
      <c r="Q146" s="435" t="n">
        <v>16</v>
      </c>
      <c r="R146" s="434" t="s">
        <v>460</v>
      </c>
      <c r="S146" s="424"/>
      <c r="T146" s="434" t="s">
        <v>461</v>
      </c>
      <c r="U146" s="434" t="s">
        <v>462</v>
      </c>
      <c r="V146" s="436" t="n">
        <f aca="false">AY146</f>
        <v>0</v>
      </c>
      <c r="W146" s="424"/>
      <c r="X146" s="437"/>
      <c r="AC146" s="427"/>
      <c r="AD146" s="427"/>
      <c r="AE146" s="427"/>
      <c r="AG146" s="427"/>
      <c r="AH146" s="427"/>
      <c r="AI146" s="427"/>
      <c r="AJ146" s="427"/>
      <c r="AK146" s="427"/>
      <c r="AL146" s="427"/>
      <c r="AM146" s="427"/>
      <c r="AN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BC146" s="428"/>
      <c r="BD146" s="429"/>
      <c r="BF146" s="427"/>
      <c r="BG146" s="437"/>
      <c r="BH146" s="427"/>
      <c r="BJ146" s="437"/>
      <c r="BN146" s="427"/>
      <c r="BO146" s="428"/>
    </row>
    <row r="147" customFormat="false" ht="13.5" hidden="false" customHeight="false" outlineLevel="0" collapsed="false">
      <c r="A147" s="424"/>
      <c r="B147" s="424"/>
      <c r="C147" s="424"/>
      <c r="D147" s="424"/>
      <c r="E147" s="424"/>
      <c r="F147" s="424"/>
      <c r="G147" s="424"/>
      <c r="H147" s="424"/>
      <c r="I147" s="424"/>
      <c r="J147" s="424"/>
      <c r="K147" s="424"/>
      <c r="L147" s="424"/>
      <c r="M147" s="424"/>
      <c r="N147" s="424"/>
      <c r="O147" s="424"/>
      <c r="P147" s="438" t="s">
        <v>417</v>
      </c>
      <c r="Q147" s="435" t="n">
        <v>17</v>
      </c>
      <c r="R147" s="434" t="s">
        <v>463</v>
      </c>
      <c r="S147" s="424"/>
      <c r="T147" s="434" t="s">
        <v>464</v>
      </c>
      <c r="U147" s="434" t="s">
        <v>465</v>
      </c>
      <c r="V147" s="436" t="n">
        <f aca="false">AY147</f>
        <v>0</v>
      </c>
      <c r="W147" s="424"/>
      <c r="AC147" s="427"/>
      <c r="AD147" s="427"/>
      <c r="AE147" s="427"/>
      <c r="AG147" s="427"/>
      <c r="AH147" s="427"/>
      <c r="AI147" s="427"/>
      <c r="AJ147" s="427"/>
      <c r="AK147" s="427"/>
      <c r="AL147" s="427"/>
      <c r="AM147" s="427"/>
      <c r="AN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BC147" s="428"/>
      <c r="BF147" s="437"/>
      <c r="BG147" s="427"/>
      <c r="BH147" s="437"/>
      <c r="BI147" s="427"/>
      <c r="BJ147" s="427"/>
      <c r="BK147" s="431"/>
      <c r="BM147" s="427"/>
      <c r="BN147" s="427"/>
      <c r="BO147" s="428"/>
    </row>
    <row r="148" customFormat="false" ht="13.5" hidden="false" customHeight="false" outlineLevel="0" collapsed="false">
      <c r="A148" s="440" t="n">
        <f aca="false">B146*100000000000</f>
        <v>0</v>
      </c>
      <c r="B148" s="440" t="str">
        <f aca="false">IF(B146&gt;0,VLOOKUP(B146,$Q$7:$T$15,3),"")</f>
        <v/>
      </c>
      <c r="C148" s="440" t="str">
        <f aca="false">IF(C146&gt;0,VLOOKUP(C146,Q131:R229,2),"")</f>
        <v/>
      </c>
      <c r="D148" s="440" t="str">
        <f aca="false">IF(B143+C146&gt;0," Milyar ","")</f>
        <v/>
      </c>
      <c r="E148" s="440" t="e">
        <f aca="false">IF(E146&gt;0,VLOOKUP(E146,$Q$7:$T$15,3),"")</f>
        <v>#N/A</v>
      </c>
      <c r="F148" s="440" t="e">
        <f aca="false">IF(F146&gt;0,VLOOKUP(F146,Q131:R229,2),"")</f>
        <v>#VALUE!</v>
      </c>
      <c r="G148" s="435" t="e">
        <f aca="false">IF(F146+E146&gt;0," Juta","")</f>
        <v>#VALUE!</v>
      </c>
      <c r="H148" s="440" t="str">
        <f aca="false">IF(H146&gt;0,VLOOKUP(H146,$Q$7:$T$15,3),"")</f>
        <v> Delapan ratus</v>
      </c>
      <c r="I148" s="440" t="str">
        <f aca="false">IF(I146=1," Se",IF(I146=0,"",VLOOKUP(I146,Q131:R229,2)))</f>
        <v> Sebelas</v>
      </c>
      <c r="J148" s="435" t="str">
        <f aca="false">IF(I146+H146&gt;0," ribu","")</f>
        <v> ribu</v>
      </c>
      <c r="K148" s="440" t="str">
        <f aca="false">IF(K146&gt;0,VLOOKUP(K146,Q131:S139,3),"")</f>
        <v/>
      </c>
      <c r="L148" s="440" t="str">
        <f aca="false">IF(L146&gt;0,VLOOKUP(L146,Q131:R229,2),"")</f>
        <v/>
      </c>
      <c r="M148" s="440" t="str">
        <f aca="false">IF(N146&gt;0,VLOOKUP(N145,Q130:U229,5)," Rupiah ")</f>
        <v> Rupiah </v>
      </c>
      <c r="N148" s="424"/>
      <c r="O148" s="435" t="str">
        <f aca="false">IF(N146&gt;0," ====","")</f>
        <v/>
      </c>
      <c r="P148" s="435" t="str">
        <f aca="false">IF(N146&gt;0,"-","====")</f>
        <v>====</v>
      </c>
      <c r="Q148" s="435" t="n">
        <v>18</v>
      </c>
      <c r="R148" s="434" t="s">
        <v>466</v>
      </c>
      <c r="S148" s="424"/>
      <c r="T148" s="434" t="s">
        <v>467</v>
      </c>
      <c r="U148" s="434" t="s">
        <v>468</v>
      </c>
      <c r="V148" s="436" t="n">
        <f aca="false">AY148</f>
        <v>0</v>
      </c>
      <c r="W148" s="424"/>
      <c r="X148" s="437"/>
      <c r="AC148" s="427"/>
      <c r="AD148" s="427"/>
      <c r="AE148" s="427"/>
      <c r="AG148" s="427"/>
      <c r="AH148" s="427"/>
      <c r="AI148" s="427"/>
      <c r="AJ148" s="427"/>
      <c r="AK148" s="427"/>
      <c r="AL148" s="427"/>
      <c r="AM148" s="427"/>
      <c r="AN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BC148" s="428"/>
      <c r="BG148" s="427"/>
      <c r="BH148" s="437"/>
      <c r="BJ148" s="427"/>
      <c r="BM148" s="427"/>
      <c r="BN148" s="427"/>
      <c r="BO148" s="428"/>
    </row>
    <row r="149" customFormat="false" ht="13.5" hidden="false" customHeight="false" outlineLevel="0" collapsed="false">
      <c r="A149" s="440"/>
      <c r="B149" s="435" t="str">
        <f aca="false">B148</f>
        <v/>
      </c>
      <c r="C149" s="424"/>
      <c r="D149" s="424"/>
      <c r="E149" s="424"/>
      <c r="F149" s="424"/>
      <c r="G149" s="424"/>
      <c r="H149" s="424"/>
      <c r="I149" s="424"/>
      <c r="J149" s="424"/>
      <c r="K149" s="424"/>
      <c r="L149" s="424"/>
      <c r="M149" s="424"/>
      <c r="N149" s="424"/>
      <c r="O149" s="424"/>
      <c r="P149" s="438" t="s">
        <v>417</v>
      </c>
      <c r="Q149" s="435" t="n">
        <v>19</v>
      </c>
      <c r="R149" s="434" t="s">
        <v>469</v>
      </c>
      <c r="S149" s="424"/>
      <c r="T149" s="434" t="s">
        <v>470</v>
      </c>
      <c r="U149" s="434" t="s">
        <v>471</v>
      </c>
      <c r="V149" s="436" t="n">
        <f aca="false">AY154</f>
        <v>0</v>
      </c>
      <c r="W149" s="424"/>
      <c r="AC149" s="427"/>
      <c r="AD149" s="427"/>
      <c r="AE149" s="427"/>
      <c r="AG149" s="427"/>
      <c r="AH149" s="427"/>
      <c r="AI149" s="427"/>
      <c r="AJ149" s="427"/>
      <c r="AK149" s="427"/>
      <c r="AL149" s="427"/>
      <c r="AM149" s="427"/>
      <c r="AN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BC149" s="428"/>
      <c r="BG149" s="427"/>
      <c r="BH149" s="437"/>
      <c r="BJ149" s="427"/>
      <c r="BK149" s="426"/>
      <c r="BN149" s="427"/>
      <c r="BO149" s="428"/>
    </row>
    <row r="150" customFormat="false" ht="13.5" hidden="false" customHeight="false" outlineLevel="0" collapsed="false">
      <c r="A150" s="440"/>
      <c r="B150" s="435" t="str">
        <f aca="false">C148</f>
        <v/>
      </c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38" t="s">
        <v>417</v>
      </c>
      <c r="Q150" s="435" t="n">
        <v>20</v>
      </c>
      <c r="R150" s="434" t="s">
        <v>472</v>
      </c>
      <c r="S150" s="424"/>
      <c r="T150" s="434" t="s">
        <v>473</v>
      </c>
      <c r="U150" s="434" t="s">
        <v>474</v>
      </c>
      <c r="V150" s="436" t="n">
        <f aca="false">AY155</f>
        <v>0</v>
      </c>
      <c r="W150" s="424"/>
      <c r="AC150" s="427"/>
      <c r="AD150" s="427"/>
      <c r="AE150" s="427"/>
      <c r="AG150" s="427"/>
      <c r="AH150" s="427"/>
      <c r="AI150" s="427"/>
      <c r="AJ150" s="427"/>
      <c r="AK150" s="427"/>
      <c r="AL150" s="427"/>
      <c r="AM150" s="427"/>
      <c r="AN150" s="427"/>
      <c r="AP150" s="427"/>
      <c r="AQ150" s="427"/>
      <c r="AR150" s="427"/>
      <c r="AS150" s="427"/>
      <c r="AT150" s="427"/>
      <c r="AU150" s="427"/>
      <c r="AV150" s="427"/>
      <c r="AW150" s="427"/>
      <c r="AX150" s="427"/>
      <c r="AY150" s="427"/>
      <c r="BC150" s="428"/>
      <c r="BG150" s="427"/>
      <c r="BH150" s="437"/>
      <c r="BJ150" s="427"/>
      <c r="BK150" s="426"/>
      <c r="BN150" s="427"/>
      <c r="BO150" s="428"/>
    </row>
    <row r="151" customFormat="false" ht="13.5" hidden="false" customHeight="false" outlineLevel="0" collapsed="false">
      <c r="A151" s="440"/>
      <c r="B151" s="435" t="str">
        <f aca="false">D148</f>
        <v/>
      </c>
      <c r="C151" s="424"/>
      <c r="D151" s="424"/>
      <c r="E151" s="424"/>
      <c r="F151" s="424"/>
      <c r="G151" s="424"/>
      <c r="H151" s="424"/>
      <c r="I151" s="424"/>
      <c r="J151" s="424"/>
      <c r="K151" s="424"/>
      <c r="L151" s="424"/>
      <c r="M151" s="424"/>
      <c r="N151" s="424"/>
      <c r="O151" s="424"/>
      <c r="P151" s="438" t="s">
        <v>417</v>
      </c>
      <c r="Q151" s="435" t="n">
        <v>21</v>
      </c>
      <c r="R151" s="434" t="s">
        <v>475</v>
      </c>
      <c r="S151" s="424"/>
      <c r="T151" s="434" t="s">
        <v>476</v>
      </c>
      <c r="U151" s="434" t="s">
        <v>477</v>
      </c>
      <c r="V151" s="436" t="n">
        <f aca="false">AY156</f>
        <v>0</v>
      </c>
      <c r="W151" s="424"/>
      <c r="AC151" s="427"/>
      <c r="AD151" s="427"/>
      <c r="AE151" s="427"/>
      <c r="AG151" s="427"/>
      <c r="AH151" s="427"/>
      <c r="AI151" s="427"/>
      <c r="AJ151" s="427"/>
      <c r="AK151" s="427"/>
      <c r="AL151" s="427"/>
      <c r="AM151" s="427"/>
      <c r="AN151" s="427"/>
      <c r="AP151" s="427"/>
      <c r="AQ151" s="427"/>
      <c r="AR151" s="427"/>
      <c r="AS151" s="427"/>
      <c r="AT151" s="427"/>
      <c r="AU151" s="427"/>
      <c r="AV151" s="427"/>
      <c r="AW151" s="427"/>
      <c r="AX151" s="427"/>
      <c r="AY151" s="427"/>
      <c r="BC151" s="428"/>
      <c r="BG151" s="427"/>
      <c r="BH151" s="437"/>
      <c r="BJ151" s="427"/>
      <c r="BN151" s="427"/>
      <c r="BO151" s="428"/>
    </row>
    <row r="152" customFormat="false" ht="13.5" hidden="false" customHeight="false" outlineLevel="0" collapsed="false">
      <c r="A152" s="440"/>
      <c r="B152" s="435" t="e">
        <f aca="false">E148</f>
        <v>#N/A</v>
      </c>
      <c r="C152" s="424"/>
      <c r="D152" s="424"/>
      <c r="E152" s="424"/>
      <c r="F152" s="424"/>
      <c r="G152" s="424"/>
      <c r="H152" s="424"/>
      <c r="I152" s="424"/>
      <c r="J152" s="424"/>
      <c r="K152" s="424"/>
      <c r="L152" s="424"/>
      <c r="M152" s="424"/>
      <c r="N152" s="424"/>
      <c r="O152" s="424"/>
      <c r="P152" s="424"/>
      <c r="Q152" s="435" t="n">
        <v>22</v>
      </c>
      <c r="R152" s="434" t="s">
        <v>478</v>
      </c>
      <c r="S152" s="424"/>
      <c r="T152" s="434" t="s">
        <v>479</v>
      </c>
      <c r="U152" s="434" t="s">
        <v>480</v>
      </c>
      <c r="V152" s="436" t="n">
        <f aca="false">AY157</f>
        <v>0</v>
      </c>
      <c r="W152" s="424"/>
      <c r="AC152" s="427"/>
      <c r="AD152" s="427"/>
      <c r="AE152" s="427"/>
      <c r="AG152" s="427"/>
      <c r="AH152" s="427"/>
      <c r="AI152" s="427"/>
      <c r="AJ152" s="427"/>
      <c r="AK152" s="427"/>
      <c r="AL152" s="427"/>
      <c r="AM152" s="427"/>
      <c r="AN152" s="427"/>
      <c r="AP152" s="427"/>
      <c r="AQ152" s="427"/>
      <c r="AR152" s="427"/>
      <c r="AS152" s="427"/>
      <c r="AT152" s="427"/>
      <c r="AU152" s="427"/>
      <c r="AV152" s="427"/>
      <c r="AW152" s="427"/>
      <c r="AX152" s="427"/>
      <c r="AY152" s="427"/>
      <c r="BC152" s="428"/>
      <c r="BG152" s="427"/>
      <c r="BH152" s="437"/>
      <c r="BJ152" s="427"/>
      <c r="BK152" s="437"/>
      <c r="BL152" s="427"/>
      <c r="BM152" s="429"/>
      <c r="BN152" s="427"/>
      <c r="BO152" s="428"/>
    </row>
    <row r="153" customFormat="false" ht="13.5" hidden="false" customHeight="false" outlineLevel="0" collapsed="false">
      <c r="A153" s="440"/>
      <c r="B153" s="435" t="e">
        <f aca="false">F148</f>
        <v>#VALUE!</v>
      </c>
      <c r="C153" s="424"/>
      <c r="D153" s="424"/>
      <c r="E153" s="424"/>
      <c r="F153" s="424"/>
      <c r="G153" s="424"/>
      <c r="H153" s="424"/>
      <c r="I153" s="424"/>
      <c r="J153" s="424"/>
      <c r="K153" s="424"/>
      <c r="L153" s="424"/>
      <c r="M153" s="424"/>
      <c r="N153" s="424"/>
      <c r="O153" s="424"/>
      <c r="P153" s="438" t="s">
        <v>417</v>
      </c>
      <c r="Q153" s="435" t="n">
        <v>23</v>
      </c>
      <c r="R153" s="434" t="s">
        <v>481</v>
      </c>
      <c r="S153" s="424"/>
      <c r="T153" s="434" t="s">
        <v>482</v>
      </c>
      <c r="U153" s="434" t="s">
        <v>483</v>
      </c>
      <c r="V153" s="436" t="n">
        <f aca="false">AY158</f>
        <v>0</v>
      </c>
      <c r="W153" s="424"/>
      <c r="AC153" s="427"/>
      <c r="AP153" s="427"/>
      <c r="AQ153" s="427"/>
      <c r="AR153" s="427"/>
      <c r="AS153" s="427"/>
      <c r="AT153" s="427"/>
      <c r="AU153" s="427"/>
      <c r="AV153" s="427"/>
      <c r="AW153" s="427"/>
      <c r="AX153" s="427"/>
      <c r="AY153" s="427"/>
      <c r="BC153" s="428"/>
      <c r="BG153" s="427"/>
      <c r="BH153" s="437"/>
      <c r="BJ153" s="427"/>
      <c r="BK153" s="437"/>
      <c r="BL153" s="427"/>
      <c r="BM153" s="429"/>
      <c r="BN153" s="427"/>
      <c r="BO153" s="428"/>
    </row>
    <row r="154" customFormat="false" ht="13.5" hidden="false" customHeight="false" outlineLevel="0" collapsed="false">
      <c r="A154" s="424"/>
      <c r="B154" s="424"/>
      <c r="C154" s="424"/>
      <c r="D154" s="424"/>
      <c r="E154" s="424"/>
      <c r="F154" s="424"/>
      <c r="G154" s="424"/>
      <c r="H154" s="424"/>
      <c r="I154" s="424"/>
      <c r="J154" s="424"/>
      <c r="K154" s="424"/>
      <c r="L154" s="424"/>
      <c r="M154" s="424"/>
      <c r="N154" s="424"/>
      <c r="O154" s="424"/>
      <c r="P154" s="438" t="s">
        <v>417</v>
      </c>
      <c r="Q154" s="435" t="n">
        <v>24</v>
      </c>
      <c r="R154" s="434" t="s">
        <v>484</v>
      </c>
      <c r="S154" s="424"/>
      <c r="T154" s="434" t="s">
        <v>485</v>
      </c>
      <c r="U154" s="434" t="s">
        <v>486</v>
      </c>
      <c r="V154" s="436" t="n">
        <f aca="false">AY159</f>
        <v>0</v>
      </c>
      <c r="W154" s="424"/>
      <c r="AC154" s="427"/>
      <c r="AP154" s="427"/>
      <c r="AQ154" s="427"/>
      <c r="AR154" s="427"/>
      <c r="AS154" s="427"/>
      <c r="AT154" s="427"/>
      <c r="AU154" s="427"/>
      <c r="AV154" s="427"/>
      <c r="AW154" s="427"/>
      <c r="AX154" s="427"/>
      <c r="AY154" s="427"/>
      <c r="BC154" s="428"/>
      <c r="BG154" s="427"/>
      <c r="BH154" s="437"/>
      <c r="BJ154" s="427"/>
      <c r="BK154" s="431"/>
      <c r="BN154" s="427"/>
      <c r="BO154" s="428"/>
    </row>
    <row r="155" customFormat="false" ht="13.5" hidden="false" customHeight="false" outlineLevel="0" collapsed="false">
      <c r="A155" s="424"/>
      <c r="B155" s="424"/>
      <c r="C155" s="424"/>
      <c r="D155" s="424"/>
      <c r="E155" s="424"/>
      <c r="F155" s="424"/>
      <c r="G155" s="424"/>
      <c r="H155" s="424"/>
      <c r="I155" s="424"/>
      <c r="J155" s="424"/>
      <c r="K155" s="424"/>
      <c r="L155" s="424"/>
      <c r="M155" s="424"/>
      <c r="N155" s="424"/>
      <c r="O155" s="424"/>
      <c r="P155" s="438" t="s">
        <v>417</v>
      </c>
      <c r="Q155" s="435" t="n">
        <v>25</v>
      </c>
      <c r="R155" s="434" t="s">
        <v>487</v>
      </c>
      <c r="S155" s="424"/>
      <c r="T155" s="434" t="s">
        <v>488</v>
      </c>
      <c r="U155" s="434" t="s">
        <v>489</v>
      </c>
      <c r="V155" s="436" t="n">
        <f aca="false">AY160</f>
        <v>0</v>
      </c>
      <c r="W155" s="424"/>
      <c r="AC155" s="427"/>
      <c r="AP155" s="427"/>
      <c r="AQ155" s="427"/>
      <c r="AR155" s="427"/>
      <c r="AS155" s="427"/>
      <c r="AT155" s="427"/>
      <c r="AU155" s="427"/>
      <c r="AV155" s="427"/>
      <c r="AW155" s="427"/>
      <c r="AX155" s="427"/>
      <c r="AY155" s="427"/>
      <c r="BC155" s="428"/>
      <c r="BG155" s="427"/>
      <c r="BH155" s="437"/>
      <c r="BJ155" s="427"/>
      <c r="BK155" s="431"/>
      <c r="BN155" s="427"/>
      <c r="BO155" s="428"/>
    </row>
    <row r="156" customFormat="false" ht="13.5" hidden="false" customHeight="false" outlineLevel="0" collapsed="false">
      <c r="A156" s="424"/>
      <c r="B156" s="424"/>
      <c r="C156" s="424"/>
      <c r="D156" s="424"/>
      <c r="E156" s="424"/>
      <c r="F156" s="424"/>
      <c r="G156" s="424"/>
      <c r="H156" s="424"/>
      <c r="I156" s="424"/>
      <c r="J156" s="424"/>
      <c r="K156" s="424"/>
      <c r="L156" s="424"/>
      <c r="M156" s="424"/>
      <c r="N156" s="424"/>
      <c r="O156" s="424"/>
      <c r="P156" s="438" t="s">
        <v>417</v>
      </c>
      <c r="Q156" s="435" t="n">
        <v>26</v>
      </c>
      <c r="R156" s="434" t="s">
        <v>490</v>
      </c>
      <c r="S156" s="424"/>
      <c r="T156" s="434" t="s">
        <v>491</v>
      </c>
      <c r="U156" s="434" t="s">
        <v>492</v>
      </c>
      <c r="V156" s="436" t="n">
        <f aca="false">AY161</f>
        <v>0</v>
      </c>
      <c r="W156" s="424"/>
      <c r="AC156" s="427"/>
      <c r="AP156" s="427"/>
      <c r="AQ156" s="427"/>
      <c r="AR156" s="427"/>
      <c r="AS156" s="427"/>
      <c r="AT156" s="427"/>
      <c r="AU156" s="427"/>
      <c r="AV156" s="427"/>
      <c r="AW156" s="427"/>
      <c r="AX156" s="427"/>
      <c r="AY156" s="427"/>
      <c r="BC156" s="428"/>
      <c r="BG156" s="427"/>
      <c r="BH156" s="437"/>
      <c r="BJ156" s="427"/>
      <c r="BO156" s="428"/>
    </row>
    <row r="157" customFormat="false" ht="13.5" hidden="false" customHeight="false" outlineLevel="0" collapsed="false">
      <c r="A157" s="424"/>
      <c r="B157" s="424"/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  <c r="P157" s="424"/>
      <c r="Q157" s="435" t="n">
        <v>27</v>
      </c>
      <c r="R157" s="434" t="s">
        <v>493</v>
      </c>
      <c r="S157" s="424"/>
      <c r="T157" s="434" t="s">
        <v>494</v>
      </c>
      <c r="U157" s="434" t="s">
        <v>495</v>
      </c>
      <c r="V157" s="436" t="n">
        <f aca="false">AY162</f>
        <v>0</v>
      </c>
      <c r="W157" s="424"/>
      <c r="AC157" s="427"/>
      <c r="AP157" s="427"/>
      <c r="AQ157" s="427"/>
      <c r="AR157" s="427"/>
      <c r="AS157" s="427"/>
      <c r="AT157" s="427"/>
      <c r="AU157" s="427"/>
      <c r="AV157" s="427"/>
      <c r="AW157" s="427"/>
      <c r="AX157" s="427"/>
      <c r="AY157" s="427"/>
      <c r="BC157" s="428"/>
      <c r="BG157" s="427"/>
      <c r="BH157" s="437"/>
      <c r="BJ157" s="427"/>
      <c r="BO157" s="428"/>
    </row>
    <row r="158" customFormat="false" ht="13.5" hidden="false" customHeight="false" outlineLevel="0" collapsed="false">
      <c r="A158" s="424"/>
      <c r="B158" s="424"/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  <c r="P158" s="424"/>
      <c r="Q158" s="435" t="n">
        <v>28</v>
      </c>
      <c r="R158" s="434" t="s">
        <v>496</v>
      </c>
      <c r="S158" s="424"/>
      <c r="T158" s="434" t="s">
        <v>497</v>
      </c>
      <c r="U158" s="434" t="s">
        <v>498</v>
      </c>
      <c r="V158" s="436" t="n">
        <f aca="false">AY163</f>
        <v>0</v>
      </c>
      <c r="W158" s="424"/>
      <c r="AC158" s="427"/>
      <c r="AP158" s="427"/>
      <c r="AQ158" s="427"/>
      <c r="AR158" s="427"/>
      <c r="AS158" s="427"/>
      <c r="AT158" s="427"/>
      <c r="AU158" s="427"/>
      <c r="AV158" s="427"/>
      <c r="AW158" s="427"/>
      <c r="AX158" s="427"/>
      <c r="AY158" s="427"/>
      <c r="BC158" s="428"/>
      <c r="BG158" s="427"/>
      <c r="BH158" s="437"/>
      <c r="BJ158" s="427"/>
      <c r="BO158" s="428"/>
    </row>
    <row r="159" customFormat="false" ht="13.5" hidden="false" customHeight="false" outlineLevel="0" collapsed="false">
      <c r="A159" s="424"/>
      <c r="B159" s="424"/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  <c r="P159" s="424"/>
      <c r="Q159" s="435" t="n">
        <v>29</v>
      </c>
      <c r="R159" s="434" t="s">
        <v>499</v>
      </c>
      <c r="S159" s="424"/>
      <c r="T159" s="434" t="s">
        <v>500</v>
      </c>
      <c r="U159" s="434" t="s">
        <v>501</v>
      </c>
      <c r="V159" s="436" t="n">
        <f aca="false">AY164</f>
        <v>0</v>
      </c>
      <c r="W159" s="424"/>
      <c r="AC159" s="427"/>
      <c r="AP159" s="427"/>
      <c r="AQ159" s="427"/>
      <c r="AR159" s="427"/>
      <c r="AS159" s="427"/>
      <c r="AT159" s="427"/>
      <c r="AU159" s="427"/>
      <c r="AV159" s="427"/>
      <c r="AW159" s="427"/>
      <c r="AX159" s="427"/>
      <c r="AY159" s="427"/>
      <c r="BC159" s="428"/>
      <c r="BG159" s="427"/>
      <c r="BH159" s="437"/>
      <c r="BJ159" s="427"/>
      <c r="BO159" s="428"/>
    </row>
    <row r="160" customFormat="false" ht="13.5" hidden="false" customHeight="false" outlineLevel="0" collapsed="false">
      <c r="A160" s="424"/>
      <c r="B160" s="424"/>
      <c r="C160" s="424"/>
      <c r="D160" s="424"/>
      <c r="E160" s="424"/>
      <c r="F160" s="424"/>
      <c r="G160" s="424"/>
      <c r="H160" s="424"/>
      <c r="I160" s="424"/>
      <c r="J160" s="424"/>
      <c r="K160" s="424"/>
      <c r="L160" s="424"/>
      <c r="M160" s="424"/>
      <c r="N160" s="424"/>
      <c r="O160" s="424"/>
      <c r="P160" s="424"/>
      <c r="Q160" s="435" t="n">
        <v>30</v>
      </c>
      <c r="R160" s="434" t="s">
        <v>502</v>
      </c>
      <c r="S160" s="424"/>
      <c r="T160" s="434" t="s">
        <v>503</v>
      </c>
      <c r="U160" s="434" t="s">
        <v>504</v>
      </c>
      <c r="V160" s="436" t="n">
        <f aca="false">AY165</f>
        <v>0</v>
      </c>
      <c r="W160" s="424"/>
      <c r="AC160" s="427"/>
      <c r="AP160" s="427"/>
      <c r="AQ160" s="427"/>
      <c r="AR160" s="427"/>
      <c r="AS160" s="427"/>
      <c r="AT160" s="427"/>
      <c r="AU160" s="427"/>
      <c r="AV160" s="427"/>
      <c r="AW160" s="427"/>
      <c r="AX160" s="427"/>
      <c r="AY160" s="427"/>
      <c r="BC160" s="428"/>
      <c r="BG160" s="427"/>
      <c r="BH160" s="437"/>
      <c r="BJ160" s="427"/>
      <c r="BO160" s="428"/>
    </row>
    <row r="161" customFormat="false" ht="13.5" hidden="false" customHeight="false" outlineLevel="0" collapsed="false">
      <c r="A161" s="424"/>
      <c r="B161" s="424"/>
      <c r="C161" s="424"/>
      <c r="D161" s="424"/>
      <c r="E161" s="424"/>
      <c r="F161" s="424"/>
      <c r="G161" s="424"/>
      <c r="H161" s="424"/>
      <c r="I161" s="424"/>
      <c r="J161" s="424"/>
      <c r="K161" s="424"/>
      <c r="L161" s="424"/>
      <c r="M161" s="424"/>
      <c r="N161" s="424"/>
      <c r="O161" s="424"/>
      <c r="P161" s="424"/>
      <c r="Q161" s="435" t="n">
        <v>31</v>
      </c>
      <c r="R161" s="434" t="s">
        <v>505</v>
      </c>
      <c r="S161" s="424"/>
      <c r="T161" s="434" t="s">
        <v>506</v>
      </c>
      <c r="U161" s="434" t="s">
        <v>507</v>
      </c>
      <c r="V161" s="436" t="n">
        <f aca="false">AY166</f>
        <v>0</v>
      </c>
      <c r="AC161" s="427"/>
      <c r="AP161" s="427"/>
      <c r="AQ161" s="427"/>
      <c r="AR161" s="427"/>
      <c r="AS161" s="427"/>
      <c r="AT161" s="427"/>
      <c r="AU161" s="427"/>
      <c r="AV161" s="427"/>
      <c r="AW161" s="427"/>
      <c r="AX161" s="427"/>
      <c r="AY161" s="427"/>
      <c r="BC161" s="428"/>
      <c r="BG161" s="427"/>
      <c r="BH161" s="437"/>
      <c r="BJ161" s="427"/>
      <c r="BK161" s="427"/>
      <c r="BL161" s="427"/>
      <c r="BN161" s="427"/>
      <c r="BO161" s="428"/>
    </row>
    <row r="162" customFormat="false" ht="13.5" hidden="false" customHeight="false" outlineLevel="0" collapsed="false">
      <c r="A162" s="424"/>
      <c r="B162" s="424"/>
      <c r="C162" s="424"/>
      <c r="D162" s="424"/>
      <c r="E162" s="424"/>
      <c r="F162" s="424"/>
      <c r="G162" s="424"/>
      <c r="H162" s="424"/>
      <c r="I162" s="424"/>
      <c r="J162" s="424"/>
      <c r="K162" s="424"/>
      <c r="L162" s="424"/>
      <c r="M162" s="424"/>
      <c r="N162" s="424"/>
      <c r="O162" s="424"/>
      <c r="P162" s="424"/>
      <c r="Q162" s="435" t="n">
        <v>32</v>
      </c>
      <c r="R162" s="434" t="s">
        <v>508</v>
      </c>
      <c r="S162" s="424"/>
      <c r="T162" s="434" t="s">
        <v>509</v>
      </c>
      <c r="U162" s="434" t="s">
        <v>510</v>
      </c>
      <c r="V162" s="436" t="n">
        <f aca="false">AY167</f>
        <v>0</v>
      </c>
      <c r="AC162" s="427"/>
      <c r="AP162" s="427"/>
      <c r="AQ162" s="427"/>
      <c r="AR162" s="427"/>
      <c r="AS162" s="427"/>
      <c r="AT162" s="427"/>
      <c r="AU162" s="427"/>
      <c r="AV162" s="427"/>
      <c r="AW162" s="427"/>
      <c r="AX162" s="427"/>
      <c r="AY162" s="427"/>
      <c r="BC162" s="428"/>
      <c r="BG162" s="427"/>
      <c r="BH162" s="437"/>
      <c r="BJ162" s="427"/>
      <c r="BK162" s="427"/>
      <c r="BL162" s="427"/>
      <c r="BN162" s="427"/>
      <c r="BO162" s="428"/>
    </row>
    <row r="163" customFormat="false" ht="13.5" hidden="false" customHeight="false" outlineLevel="0" collapsed="false">
      <c r="A163" s="440"/>
      <c r="B163" s="435" t="e">
        <f aca="false">G148</f>
        <v>#VALUE!</v>
      </c>
      <c r="C163" s="424"/>
      <c r="D163" s="424"/>
      <c r="E163" s="424"/>
      <c r="F163" s="424"/>
      <c r="G163" s="424"/>
      <c r="H163" s="424"/>
      <c r="I163" s="424"/>
      <c r="J163" s="424"/>
      <c r="K163" s="424"/>
      <c r="L163" s="424"/>
      <c r="M163" s="424"/>
      <c r="N163" s="424"/>
      <c r="O163" s="424"/>
      <c r="P163" s="424"/>
      <c r="Q163" s="435" t="n">
        <v>33</v>
      </c>
      <c r="R163" s="434" t="s">
        <v>511</v>
      </c>
      <c r="S163" s="424"/>
      <c r="T163" s="434" t="s">
        <v>512</v>
      </c>
      <c r="U163" s="434" t="s">
        <v>513</v>
      </c>
      <c r="V163" s="436" t="n">
        <f aca="false">AY168</f>
        <v>0</v>
      </c>
      <c r="AC163" s="427"/>
      <c r="AP163" s="427"/>
      <c r="AQ163" s="427"/>
      <c r="AR163" s="427"/>
      <c r="AS163" s="427"/>
      <c r="AT163" s="427"/>
      <c r="AU163" s="427"/>
      <c r="AV163" s="427"/>
      <c r="AW163" s="427"/>
      <c r="AX163" s="427"/>
      <c r="AY163" s="427"/>
      <c r="BC163" s="428"/>
      <c r="BG163" s="427"/>
      <c r="BH163" s="437"/>
      <c r="BJ163" s="427"/>
      <c r="BK163" s="427"/>
      <c r="BL163" s="427"/>
      <c r="BN163" s="427"/>
      <c r="BO163" s="428"/>
    </row>
    <row r="164" customFormat="false" ht="13.5" hidden="false" customHeight="false" outlineLevel="0" collapsed="false">
      <c r="A164" s="440"/>
      <c r="B164" s="435" t="str">
        <f aca="false">H148</f>
        <v> Delapan ratus</v>
      </c>
      <c r="C164" s="424"/>
      <c r="D164" s="424"/>
      <c r="E164" s="424"/>
      <c r="F164" s="424"/>
      <c r="G164" s="424"/>
      <c r="H164" s="424"/>
      <c r="I164" s="424"/>
      <c r="J164" s="424"/>
      <c r="K164" s="424"/>
      <c r="L164" s="424"/>
      <c r="M164" s="424"/>
      <c r="N164" s="424"/>
      <c r="O164" s="424"/>
      <c r="P164" s="424"/>
      <c r="Q164" s="435" t="n">
        <v>34</v>
      </c>
      <c r="R164" s="434" t="s">
        <v>514</v>
      </c>
      <c r="S164" s="424"/>
      <c r="T164" s="434" t="s">
        <v>515</v>
      </c>
      <c r="U164" s="434" t="s">
        <v>516</v>
      </c>
      <c r="V164" s="436" t="n">
        <f aca="false">AY169</f>
        <v>0</v>
      </c>
      <c r="AC164" s="427"/>
      <c r="AP164" s="427"/>
      <c r="AQ164" s="427"/>
      <c r="AR164" s="427"/>
      <c r="AS164" s="427"/>
      <c r="AT164" s="427"/>
      <c r="AU164" s="427"/>
      <c r="AV164" s="427"/>
      <c r="AW164" s="427"/>
      <c r="AX164" s="427"/>
      <c r="AY164" s="427"/>
      <c r="BC164" s="428"/>
      <c r="BG164" s="427"/>
      <c r="BH164" s="437"/>
      <c r="BJ164" s="427"/>
      <c r="BK164" s="427"/>
      <c r="BL164" s="427"/>
      <c r="BN164" s="427"/>
      <c r="BO164" s="428"/>
    </row>
    <row r="165" customFormat="false" ht="13.5" hidden="false" customHeight="false" outlineLevel="0" collapsed="false">
      <c r="A165" s="440"/>
      <c r="B165" s="435" t="str">
        <f aca="false">I148</f>
        <v> Sebelas</v>
      </c>
      <c r="C165" s="424"/>
      <c r="D165" s="424"/>
      <c r="E165" s="424"/>
      <c r="F165" s="424"/>
      <c r="G165" s="424"/>
      <c r="H165" s="424"/>
      <c r="I165" s="424"/>
      <c r="J165" s="424"/>
      <c r="K165" s="424"/>
      <c r="L165" s="424"/>
      <c r="M165" s="424"/>
      <c r="N165" s="424"/>
      <c r="O165" s="424"/>
      <c r="P165" s="424"/>
      <c r="Q165" s="435" t="n">
        <v>35</v>
      </c>
      <c r="R165" s="434" t="s">
        <v>517</v>
      </c>
      <c r="S165" s="424"/>
      <c r="T165" s="434" t="s">
        <v>518</v>
      </c>
      <c r="U165" s="434" t="s">
        <v>519</v>
      </c>
      <c r="V165" s="436" t="n">
        <f aca="false">AY170</f>
        <v>0</v>
      </c>
      <c r="AC165" s="427"/>
      <c r="AP165" s="427"/>
      <c r="AQ165" s="427"/>
      <c r="AR165" s="427"/>
      <c r="AS165" s="427"/>
      <c r="AT165" s="427"/>
      <c r="AU165" s="427"/>
      <c r="AV165" s="427"/>
      <c r="AW165" s="427"/>
      <c r="AX165" s="427"/>
      <c r="AY165" s="427"/>
      <c r="BC165" s="428"/>
      <c r="BG165" s="427"/>
      <c r="BH165" s="437"/>
      <c r="BJ165" s="427"/>
      <c r="BK165" s="427"/>
      <c r="BL165" s="427"/>
      <c r="BN165" s="427"/>
      <c r="BO165" s="428"/>
    </row>
    <row r="166" customFormat="false" ht="13.5" hidden="false" customHeight="false" outlineLevel="0" collapsed="false">
      <c r="A166" s="440"/>
      <c r="B166" s="435" t="str">
        <f aca="false">J148</f>
        <v> ribu</v>
      </c>
      <c r="C166" s="424"/>
      <c r="D166" s="424"/>
      <c r="E166" s="424"/>
      <c r="F166" s="424"/>
      <c r="G166" s="424"/>
      <c r="H166" s="424"/>
      <c r="I166" s="424"/>
      <c r="J166" s="424"/>
      <c r="K166" s="424"/>
      <c r="L166" s="424"/>
      <c r="M166" s="424"/>
      <c r="N166" s="424"/>
      <c r="O166" s="424"/>
      <c r="P166" s="424"/>
      <c r="Q166" s="435" t="n">
        <v>36</v>
      </c>
      <c r="R166" s="434" t="s">
        <v>520</v>
      </c>
      <c r="S166" s="424"/>
      <c r="T166" s="434" t="s">
        <v>521</v>
      </c>
      <c r="U166" s="434" t="s">
        <v>522</v>
      </c>
      <c r="V166" s="436" t="n">
        <f aca="false">AY171</f>
        <v>0</v>
      </c>
      <c r="AC166" s="427"/>
      <c r="AP166" s="427"/>
      <c r="AQ166" s="427"/>
      <c r="AR166" s="427"/>
      <c r="AS166" s="427"/>
      <c r="AT166" s="427"/>
      <c r="AU166" s="427"/>
      <c r="AV166" s="427"/>
      <c r="AW166" s="427"/>
      <c r="AX166" s="427"/>
      <c r="AY166" s="427"/>
      <c r="BC166" s="428"/>
      <c r="BN166" s="427"/>
      <c r="BO166" s="428"/>
    </row>
    <row r="167" customFormat="false" ht="13.5" hidden="false" customHeight="false" outlineLevel="0" collapsed="false">
      <c r="A167" s="440"/>
      <c r="B167" s="440" t="str">
        <f aca="false">K148</f>
        <v/>
      </c>
      <c r="C167" s="42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35" t="n">
        <v>37</v>
      </c>
      <c r="R167" s="434" t="s">
        <v>523</v>
      </c>
      <c r="S167" s="424"/>
      <c r="T167" s="434" t="s">
        <v>524</v>
      </c>
      <c r="U167" s="434" t="s">
        <v>525</v>
      </c>
      <c r="V167" s="436" t="n">
        <f aca="false">AY172</f>
        <v>0</v>
      </c>
      <c r="AC167" s="427"/>
      <c r="AP167" s="427"/>
      <c r="AQ167" s="427"/>
      <c r="AR167" s="427"/>
      <c r="AS167" s="427"/>
      <c r="AT167" s="427"/>
      <c r="AU167" s="427"/>
      <c r="AV167" s="427"/>
      <c r="AW167" s="427"/>
      <c r="AX167" s="427"/>
      <c r="AY167" s="427"/>
      <c r="BC167" s="428"/>
      <c r="BN167" s="427"/>
      <c r="BO167" s="428"/>
    </row>
    <row r="168" customFormat="false" ht="13.5" hidden="false" customHeight="false" outlineLevel="0" collapsed="false">
      <c r="A168" s="440"/>
      <c r="B168" s="435" t="str">
        <f aca="false">L148</f>
        <v/>
      </c>
      <c r="C168" s="424"/>
      <c r="D168" s="424"/>
      <c r="E168" s="424"/>
      <c r="F168" s="424"/>
      <c r="G168" s="424"/>
      <c r="H168" s="424"/>
      <c r="I168" s="424"/>
      <c r="J168" s="424"/>
      <c r="K168" s="424"/>
      <c r="L168" s="424"/>
      <c r="M168" s="424"/>
      <c r="N168" s="424"/>
      <c r="O168" s="424"/>
      <c r="P168" s="424"/>
      <c r="Q168" s="435" t="n">
        <v>38</v>
      </c>
      <c r="R168" s="434" t="s">
        <v>526</v>
      </c>
      <c r="S168" s="424"/>
      <c r="T168" s="434" t="s">
        <v>527</v>
      </c>
      <c r="U168" s="434" t="s">
        <v>528</v>
      </c>
      <c r="V168" s="436" t="n">
        <f aca="false">AY173</f>
        <v>0</v>
      </c>
      <c r="AC168" s="427"/>
      <c r="AP168" s="427"/>
      <c r="AQ168" s="427"/>
      <c r="AR168" s="427"/>
      <c r="AS168" s="427"/>
      <c r="AT168" s="427"/>
      <c r="AU168" s="427"/>
      <c r="AV168" s="427"/>
      <c r="AW168" s="427"/>
      <c r="AX168" s="427"/>
      <c r="AY168" s="427"/>
      <c r="BC168" s="428"/>
      <c r="BG168" s="427"/>
      <c r="BH168" s="437"/>
      <c r="BJ168" s="427"/>
      <c r="BK168" s="427"/>
      <c r="BL168" s="427"/>
      <c r="BN168" s="427"/>
      <c r="BO168" s="428"/>
    </row>
    <row r="169" customFormat="false" ht="13.5" hidden="false" customHeight="false" outlineLevel="0" collapsed="false">
      <c r="A169" s="440"/>
      <c r="B169" s="435" t="str">
        <f aca="false">M148</f>
        <v> Rupiah </v>
      </c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  <c r="M169" s="424"/>
      <c r="N169" s="424"/>
      <c r="O169" s="424"/>
      <c r="P169" s="424"/>
      <c r="Q169" s="435" t="n">
        <v>39</v>
      </c>
      <c r="R169" s="434" t="s">
        <v>529</v>
      </c>
      <c r="S169" s="424"/>
      <c r="T169" s="434" t="s">
        <v>530</v>
      </c>
      <c r="U169" s="434" t="s">
        <v>531</v>
      </c>
      <c r="V169" s="436" t="n">
        <f aca="false">AY174</f>
        <v>0</v>
      </c>
      <c r="AC169" s="427"/>
      <c r="AP169" s="427"/>
      <c r="AQ169" s="427"/>
      <c r="AR169" s="427"/>
      <c r="AS169" s="427"/>
      <c r="AT169" s="427"/>
      <c r="AU169" s="427"/>
      <c r="AV169" s="427"/>
      <c r="AW169" s="427"/>
      <c r="AX169" s="427"/>
      <c r="AY169" s="427"/>
      <c r="BC169" s="428"/>
      <c r="BG169" s="427"/>
      <c r="BH169" s="437"/>
      <c r="BJ169" s="427"/>
      <c r="BK169" s="427"/>
      <c r="BL169" s="427"/>
      <c r="BN169" s="427"/>
      <c r="BO169" s="428"/>
    </row>
    <row r="170" customFormat="false" ht="13.5" hidden="false" customHeight="false" outlineLevel="0" collapsed="false">
      <c r="A170" s="436" t="e">
        <f aca="false">+#REF!</f>
        <v>#REF!</v>
      </c>
      <c r="B170" s="435" t="str">
        <f aca="false">O148</f>
        <v/>
      </c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  <c r="M170" s="424"/>
      <c r="N170" s="424"/>
      <c r="O170" s="424"/>
      <c r="P170" s="424"/>
      <c r="Q170" s="435" t="n">
        <v>40</v>
      </c>
      <c r="R170" s="434" t="s">
        <v>532</v>
      </c>
      <c r="S170" s="424"/>
      <c r="T170" s="434" t="s">
        <v>533</v>
      </c>
      <c r="U170" s="434" t="s">
        <v>534</v>
      </c>
      <c r="V170" s="436" t="n">
        <f aca="false">AY175</f>
        <v>0</v>
      </c>
      <c r="AC170" s="427"/>
      <c r="AP170" s="427"/>
      <c r="AQ170" s="427"/>
      <c r="AR170" s="427"/>
      <c r="AS170" s="427"/>
      <c r="AT170" s="427"/>
      <c r="AU170" s="427"/>
      <c r="AV170" s="427"/>
      <c r="AW170" s="427"/>
      <c r="AX170" s="427"/>
      <c r="AY170" s="427"/>
      <c r="BC170" s="428"/>
      <c r="BG170" s="427"/>
      <c r="BH170" s="437"/>
      <c r="BJ170" s="427"/>
      <c r="BK170" s="427"/>
      <c r="BL170" s="427"/>
      <c r="BN170" s="427"/>
      <c r="BO170" s="428"/>
    </row>
    <row r="171" customFormat="false" ht="13.5" hidden="false" customHeight="false" outlineLevel="0" collapsed="false">
      <c r="A171" s="440"/>
      <c r="B171" s="435" t="str">
        <f aca="false">IF(N146&gt;0,"-","====")</f>
        <v>====</v>
      </c>
      <c r="C171" s="424"/>
      <c r="D171" s="424"/>
      <c r="E171" s="424"/>
      <c r="F171" s="424"/>
      <c r="G171" s="424"/>
      <c r="H171" s="424"/>
      <c r="I171" s="424"/>
      <c r="J171" s="424"/>
      <c r="K171" s="424"/>
      <c r="L171" s="424"/>
      <c r="M171" s="424"/>
      <c r="N171" s="424"/>
      <c r="O171" s="424"/>
      <c r="P171" s="424"/>
      <c r="Q171" s="435" t="n">
        <v>41</v>
      </c>
      <c r="R171" s="434" t="s">
        <v>535</v>
      </c>
      <c r="S171" s="424"/>
      <c r="T171" s="434" t="s">
        <v>536</v>
      </c>
      <c r="U171" s="434" t="s">
        <v>537</v>
      </c>
      <c r="V171" s="436" t="n">
        <f aca="false">AY176</f>
        <v>0</v>
      </c>
      <c r="AC171" s="427"/>
      <c r="AP171" s="427"/>
      <c r="AQ171" s="427"/>
      <c r="AR171" s="427"/>
      <c r="AS171" s="427"/>
      <c r="AT171" s="427"/>
      <c r="AU171" s="427"/>
      <c r="AV171" s="427"/>
      <c r="AW171" s="427"/>
      <c r="AX171" s="427"/>
      <c r="AY171" s="427"/>
      <c r="BC171" s="428"/>
      <c r="BG171" s="427"/>
      <c r="BH171" s="437"/>
      <c r="BJ171" s="427"/>
      <c r="BK171" s="427"/>
      <c r="BL171" s="427"/>
      <c r="BN171" s="427"/>
      <c r="BO171" s="428"/>
    </row>
    <row r="172" customFormat="false" ht="13.5" hidden="false" customHeight="false" outlineLevel="0" collapsed="false">
      <c r="A172" s="435" t="e">
        <f aca="false">B148&amp;C148&amp;D148&amp;E148&amp;F148&amp;G148&amp;H148&amp;I148&amp;J148&amp;K148&amp;L148&amp;M148&amp;O148</f>
        <v>#N/A</v>
      </c>
      <c r="B172" s="424"/>
      <c r="C172" s="424"/>
      <c r="D172" s="424"/>
      <c r="E172" s="424"/>
      <c r="F172" s="424"/>
      <c r="G172" s="424"/>
      <c r="H172" s="424"/>
      <c r="I172" s="424"/>
      <c r="J172" s="424"/>
      <c r="K172" s="424"/>
      <c r="L172" s="424"/>
      <c r="M172" s="424"/>
      <c r="N172" s="424"/>
      <c r="O172" s="424"/>
      <c r="P172" s="424"/>
      <c r="Q172" s="435" t="n">
        <v>42</v>
      </c>
      <c r="R172" s="434" t="s">
        <v>538</v>
      </c>
      <c r="S172" s="424"/>
      <c r="T172" s="434" t="s">
        <v>539</v>
      </c>
      <c r="U172" s="434" t="s">
        <v>540</v>
      </c>
      <c r="V172" s="436" t="n">
        <f aca="false">AY177</f>
        <v>0</v>
      </c>
      <c r="AC172" s="427"/>
      <c r="AP172" s="427"/>
      <c r="AQ172" s="427"/>
      <c r="AR172" s="427"/>
      <c r="AS172" s="427"/>
      <c r="AT172" s="427"/>
      <c r="AU172" s="427"/>
      <c r="AV172" s="427"/>
      <c r="AW172" s="427"/>
      <c r="AX172" s="427"/>
      <c r="AY172" s="427"/>
      <c r="BC172" s="428"/>
      <c r="BG172" s="427"/>
      <c r="BH172" s="437"/>
      <c r="BJ172" s="427"/>
      <c r="BK172" s="427"/>
      <c r="BL172" s="427"/>
      <c r="BN172" s="427"/>
      <c r="BO172" s="428"/>
    </row>
    <row r="173" customFormat="false" ht="13.5" hidden="false" customHeight="false" outlineLevel="0" collapsed="false">
      <c r="A173" s="440" t="str">
        <f aca="false">I148&amp;J148&amp;K148&amp;L148&amp;M148&amp;O148</f>
        <v> Sebelas ribu Rupiah </v>
      </c>
      <c r="B173" s="424"/>
      <c r="C173" s="424"/>
      <c r="D173" s="424"/>
      <c r="E173" s="424"/>
      <c r="F173" s="424"/>
      <c r="G173" s="424"/>
      <c r="H173" s="424"/>
      <c r="I173" s="424"/>
      <c r="J173" s="424"/>
      <c r="K173" s="424"/>
      <c r="L173" s="424"/>
      <c r="M173" s="424"/>
      <c r="N173" s="424"/>
      <c r="O173" s="424"/>
      <c r="P173" s="424"/>
      <c r="Q173" s="435" t="n">
        <v>43</v>
      </c>
      <c r="R173" s="434" t="s">
        <v>541</v>
      </c>
      <c r="S173" s="424"/>
      <c r="T173" s="434" t="s">
        <v>542</v>
      </c>
      <c r="U173" s="434" t="s">
        <v>543</v>
      </c>
      <c r="V173" s="436" t="n">
        <f aca="false">AY178</f>
        <v>0</v>
      </c>
      <c r="AC173" s="427"/>
      <c r="AP173" s="427"/>
      <c r="AQ173" s="427"/>
      <c r="AR173" s="427"/>
      <c r="AS173" s="427"/>
      <c r="AT173" s="427"/>
      <c r="AU173" s="427"/>
      <c r="AV173" s="427"/>
      <c r="AW173" s="427"/>
      <c r="AX173" s="427"/>
      <c r="AY173" s="427"/>
      <c r="BC173" s="428"/>
      <c r="BG173" s="427"/>
      <c r="BH173" s="437"/>
      <c r="BJ173" s="427"/>
      <c r="BK173" s="427"/>
      <c r="BL173" s="427"/>
      <c r="BN173" s="427"/>
      <c r="BO173" s="428"/>
    </row>
    <row r="174" customFormat="false" ht="13.5" hidden="false" customHeight="false" outlineLevel="0" collapsed="false">
      <c r="A174" s="440"/>
      <c r="B174" s="424"/>
      <c r="C174" s="424"/>
      <c r="D174" s="424"/>
      <c r="E174" s="424"/>
      <c r="F174" s="424"/>
      <c r="G174" s="424"/>
      <c r="H174" s="424"/>
      <c r="I174" s="424"/>
      <c r="J174" s="424"/>
      <c r="K174" s="424"/>
      <c r="L174" s="424"/>
      <c r="M174" s="424"/>
      <c r="N174" s="424"/>
      <c r="O174" s="424"/>
      <c r="P174" s="424"/>
      <c r="Q174" s="435" t="n">
        <v>44</v>
      </c>
      <c r="R174" s="434" t="s">
        <v>544</v>
      </c>
      <c r="S174" s="424"/>
      <c r="T174" s="434" t="s">
        <v>545</v>
      </c>
      <c r="U174" s="434" t="s">
        <v>546</v>
      </c>
      <c r="V174" s="436" t="n">
        <f aca="false">AY179</f>
        <v>0</v>
      </c>
      <c r="AC174" s="427"/>
      <c r="AP174" s="427"/>
      <c r="AQ174" s="427"/>
      <c r="AR174" s="427"/>
      <c r="AS174" s="427"/>
      <c r="AT174" s="427"/>
      <c r="AU174" s="427"/>
      <c r="AV174" s="427"/>
      <c r="AW174" s="427"/>
      <c r="AX174" s="427"/>
      <c r="AY174" s="427"/>
      <c r="BC174" s="428"/>
      <c r="BG174" s="427"/>
      <c r="BH174" s="437"/>
      <c r="BJ174" s="427"/>
      <c r="BK174" s="427"/>
      <c r="BL174" s="427"/>
      <c r="BN174" s="427"/>
      <c r="BO174" s="428"/>
    </row>
    <row r="175" customFormat="false" ht="13.5" hidden="false" customHeight="false" outlineLevel="0" collapsed="false">
      <c r="A175" s="440"/>
      <c r="B175" s="424"/>
      <c r="C175" s="424"/>
      <c r="D175" s="424"/>
      <c r="E175" s="424"/>
      <c r="F175" s="424"/>
      <c r="G175" s="424"/>
      <c r="H175" s="424"/>
      <c r="I175" s="424"/>
      <c r="J175" s="424"/>
      <c r="K175" s="424"/>
      <c r="L175" s="424"/>
      <c r="M175" s="424"/>
      <c r="N175" s="424"/>
      <c r="O175" s="424"/>
      <c r="P175" s="424"/>
      <c r="Q175" s="435" t="n">
        <v>45</v>
      </c>
      <c r="R175" s="434" t="s">
        <v>547</v>
      </c>
      <c r="S175" s="424"/>
      <c r="T175" s="434" t="s">
        <v>548</v>
      </c>
      <c r="U175" s="434" t="s">
        <v>549</v>
      </c>
      <c r="V175" s="436" t="n">
        <f aca="false">AY180</f>
        <v>0</v>
      </c>
      <c r="AP175" s="427"/>
      <c r="AQ175" s="427"/>
      <c r="AR175" s="427"/>
      <c r="AS175" s="427"/>
      <c r="AT175" s="427"/>
      <c r="AU175" s="427"/>
      <c r="AV175" s="427"/>
      <c r="AW175" s="427"/>
      <c r="AX175" s="427"/>
      <c r="AY175" s="427"/>
      <c r="BC175" s="428"/>
      <c r="BG175" s="427"/>
      <c r="BH175" s="437"/>
      <c r="BJ175" s="427"/>
      <c r="BK175" s="427"/>
      <c r="BL175" s="427"/>
      <c r="BN175" s="427"/>
      <c r="BO175" s="428"/>
    </row>
    <row r="176" customFormat="false" ht="13.5" hidden="false" customHeight="false" outlineLevel="0" collapsed="false">
      <c r="A176" s="440"/>
      <c r="B176" s="424"/>
      <c r="C176" s="424"/>
      <c r="D176" s="424"/>
      <c r="E176" s="424"/>
      <c r="F176" s="424"/>
      <c r="G176" s="424"/>
      <c r="H176" s="424"/>
      <c r="I176" s="424"/>
      <c r="J176" s="424"/>
      <c r="K176" s="424"/>
      <c r="L176" s="424"/>
      <c r="M176" s="424"/>
      <c r="N176" s="424"/>
      <c r="O176" s="424"/>
      <c r="P176" s="424"/>
      <c r="Q176" s="435" t="n">
        <v>46</v>
      </c>
      <c r="R176" s="434" t="s">
        <v>550</v>
      </c>
      <c r="S176" s="424"/>
      <c r="T176" s="434" t="s">
        <v>551</v>
      </c>
      <c r="U176" s="434" t="s">
        <v>552</v>
      </c>
      <c r="V176" s="436" t="n">
        <f aca="false">AY181</f>
        <v>0</v>
      </c>
      <c r="AP176" s="427"/>
      <c r="AQ176" s="427"/>
      <c r="AR176" s="427"/>
      <c r="AS176" s="427"/>
      <c r="AT176" s="427"/>
      <c r="AU176" s="427"/>
      <c r="AV176" s="427"/>
      <c r="AW176" s="427"/>
      <c r="AX176" s="427"/>
      <c r="AY176" s="427"/>
      <c r="BC176" s="428"/>
      <c r="BG176" s="427"/>
      <c r="BH176" s="437"/>
      <c r="BJ176" s="427"/>
      <c r="BK176" s="427"/>
      <c r="BL176" s="427"/>
      <c r="BN176" s="427"/>
      <c r="BO176" s="428"/>
    </row>
    <row r="177" customFormat="false" ht="13.5" hidden="false" customHeight="false" outlineLevel="0" collapsed="false">
      <c r="A177" s="440"/>
      <c r="B177" s="424"/>
      <c r="C177" s="424"/>
      <c r="D177" s="424"/>
      <c r="E177" s="424"/>
      <c r="F177" s="424"/>
      <c r="G177" s="424"/>
      <c r="H177" s="424"/>
      <c r="I177" s="424"/>
      <c r="J177" s="424"/>
      <c r="K177" s="424"/>
      <c r="L177" s="424"/>
      <c r="M177" s="424"/>
      <c r="N177" s="424"/>
      <c r="O177" s="424"/>
      <c r="P177" s="424"/>
      <c r="Q177" s="435" t="n">
        <v>47</v>
      </c>
      <c r="R177" s="434" t="s">
        <v>553</v>
      </c>
      <c r="S177" s="424"/>
      <c r="T177" s="434" t="s">
        <v>554</v>
      </c>
      <c r="U177" s="434" t="s">
        <v>555</v>
      </c>
      <c r="V177" s="436" t="n">
        <f aca="false">AY182</f>
        <v>0</v>
      </c>
      <c r="AP177" s="427"/>
      <c r="AQ177" s="427"/>
      <c r="AR177" s="427"/>
      <c r="AS177" s="427"/>
      <c r="AT177" s="427"/>
      <c r="AU177" s="427"/>
      <c r="AV177" s="427"/>
      <c r="AW177" s="427"/>
      <c r="AX177" s="427"/>
      <c r="AY177" s="427"/>
      <c r="BC177" s="428"/>
      <c r="BG177" s="427"/>
      <c r="BH177" s="437"/>
      <c r="BJ177" s="427"/>
      <c r="BK177" s="427"/>
      <c r="BL177" s="427"/>
      <c r="BN177" s="427"/>
      <c r="BO177" s="428"/>
    </row>
    <row r="178" customFormat="false" ht="13.5" hidden="false" customHeight="false" outlineLevel="0" collapsed="false">
      <c r="A178" s="424"/>
      <c r="B178" s="424"/>
      <c r="C178" s="424"/>
      <c r="D178" s="424"/>
      <c r="E178" s="424"/>
      <c r="F178" s="424"/>
      <c r="G178" s="424"/>
      <c r="H178" s="424"/>
      <c r="I178" s="424"/>
      <c r="J178" s="424"/>
      <c r="K178" s="424"/>
      <c r="L178" s="424"/>
      <c r="M178" s="424"/>
      <c r="N178" s="424"/>
      <c r="O178" s="424"/>
      <c r="P178" s="424"/>
      <c r="Q178" s="435" t="n">
        <v>48</v>
      </c>
      <c r="R178" s="434" t="s">
        <v>556</v>
      </c>
      <c r="S178" s="424"/>
      <c r="T178" s="434" t="s">
        <v>557</v>
      </c>
      <c r="U178" s="434" t="s">
        <v>558</v>
      </c>
      <c r="V178" s="436" t="n">
        <f aca="false">AY183</f>
        <v>0</v>
      </c>
      <c r="AP178" s="427"/>
      <c r="AQ178" s="427"/>
      <c r="AR178" s="427"/>
      <c r="AS178" s="427"/>
      <c r="AT178" s="427"/>
      <c r="AU178" s="427"/>
      <c r="AV178" s="427"/>
      <c r="AW178" s="427"/>
      <c r="AX178" s="427"/>
      <c r="AY178" s="427"/>
      <c r="BC178" s="428"/>
      <c r="BG178" s="427"/>
      <c r="BH178" s="437"/>
      <c r="BJ178" s="427"/>
      <c r="BK178" s="427"/>
      <c r="BL178" s="427"/>
      <c r="BN178" s="427"/>
      <c r="BO178" s="428"/>
    </row>
    <row r="179" customFormat="false" ht="13.5" hidden="false" customHeight="false" outlineLevel="0" collapsed="false">
      <c r="A179" s="424"/>
      <c r="B179" s="424"/>
      <c r="C179" s="424"/>
      <c r="D179" s="424"/>
      <c r="E179" s="424"/>
      <c r="F179" s="424"/>
      <c r="G179" s="424"/>
      <c r="H179" s="424"/>
      <c r="I179" s="424"/>
      <c r="J179" s="424"/>
      <c r="K179" s="424"/>
      <c r="L179" s="424"/>
      <c r="M179" s="424"/>
      <c r="N179" s="424"/>
      <c r="O179" s="424"/>
      <c r="P179" s="424"/>
      <c r="Q179" s="435" t="n">
        <v>49</v>
      </c>
      <c r="R179" s="434" t="s">
        <v>559</v>
      </c>
      <c r="S179" s="424"/>
      <c r="T179" s="434" t="s">
        <v>560</v>
      </c>
      <c r="U179" s="434" t="s">
        <v>561</v>
      </c>
      <c r="V179" s="436" t="n">
        <f aca="false">AY184</f>
        <v>0</v>
      </c>
      <c r="AP179" s="427"/>
      <c r="AQ179" s="427"/>
      <c r="AR179" s="427"/>
      <c r="AS179" s="427"/>
      <c r="AT179" s="427"/>
      <c r="AU179" s="427"/>
      <c r="AV179" s="427"/>
      <c r="AW179" s="427"/>
      <c r="AX179" s="427"/>
      <c r="AY179" s="427"/>
      <c r="BC179" s="428"/>
      <c r="BG179" s="427"/>
      <c r="BH179" s="437"/>
      <c r="BJ179" s="427"/>
      <c r="BK179" s="427"/>
      <c r="BL179" s="427"/>
      <c r="BN179" s="427"/>
      <c r="BO179" s="428"/>
    </row>
    <row r="180" customFormat="false" ht="13.5" hidden="false" customHeight="false" outlineLevel="0" collapsed="false">
      <c r="A180" s="424"/>
      <c r="B180" s="424"/>
      <c r="C180" s="424"/>
      <c r="D180" s="424"/>
      <c r="E180" s="424"/>
      <c r="F180" s="424"/>
      <c r="G180" s="424"/>
      <c r="H180" s="424"/>
      <c r="I180" s="424"/>
      <c r="J180" s="424"/>
      <c r="K180" s="424"/>
      <c r="L180" s="424"/>
      <c r="M180" s="424"/>
      <c r="N180" s="424"/>
      <c r="O180" s="424"/>
      <c r="P180" s="424"/>
      <c r="Q180" s="435" t="n">
        <v>50</v>
      </c>
      <c r="R180" s="434" t="s">
        <v>562</v>
      </c>
      <c r="S180" s="424"/>
      <c r="T180" s="434" t="s">
        <v>563</v>
      </c>
      <c r="U180" s="434" t="s">
        <v>564</v>
      </c>
      <c r="V180" s="436" t="n">
        <f aca="false">AY185</f>
        <v>0</v>
      </c>
      <c r="AP180" s="427"/>
      <c r="AQ180" s="427"/>
      <c r="AR180" s="427"/>
      <c r="AS180" s="427"/>
      <c r="AT180" s="427"/>
      <c r="AU180" s="427"/>
      <c r="AV180" s="427"/>
      <c r="AW180" s="427"/>
      <c r="AX180" s="427"/>
      <c r="AY180" s="427"/>
      <c r="BC180" s="428"/>
      <c r="BG180" s="427"/>
      <c r="BH180" s="437"/>
      <c r="BJ180" s="427"/>
      <c r="BK180" s="427"/>
      <c r="BL180" s="427"/>
      <c r="BN180" s="427"/>
      <c r="BO180" s="428"/>
    </row>
    <row r="181" customFormat="false" ht="13.5" hidden="false" customHeight="false" outlineLevel="0" collapsed="false">
      <c r="A181" s="424"/>
      <c r="B181" s="424"/>
      <c r="C181" s="424"/>
      <c r="D181" s="424"/>
      <c r="E181" s="424"/>
      <c r="F181" s="424"/>
      <c r="G181" s="424"/>
      <c r="H181" s="424"/>
      <c r="I181" s="424"/>
      <c r="J181" s="424"/>
      <c r="K181" s="424"/>
      <c r="L181" s="424"/>
      <c r="M181" s="424"/>
      <c r="N181" s="424"/>
      <c r="O181" s="424"/>
      <c r="P181" s="424"/>
      <c r="Q181" s="435" t="n">
        <v>51</v>
      </c>
      <c r="R181" s="434" t="s">
        <v>565</v>
      </c>
      <c r="S181" s="424"/>
      <c r="T181" s="434" t="s">
        <v>566</v>
      </c>
      <c r="U181" s="434" t="s">
        <v>567</v>
      </c>
      <c r="V181" s="436" t="n">
        <f aca="false">AY186</f>
        <v>0</v>
      </c>
      <c r="AP181" s="427"/>
      <c r="AQ181" s="427"/>
      <c r="AR181" s="427"/>
      <c r="AS181" s="427"/>
      <c r="AT181" s="427"/>
      <c r="AU181" s="427"/>
      <c r="AV181" s="427"/>
      <c r="AW181" s="427"/>
      <c r="AX181" s="427"/>
      <c r="AY181" s="427"/>
      <c r="BC181" s="428"/>
      <c r="BG181" s="427"/>
      <c r="BH181" s="437"/>
      <c r="BJ181" s="427"/>
      <c r="BK181" s="427"/>
      <c r="BL181" s="427"/>
      <c r="BN181" s="427"/>
      <c r="BO181" s="428"/>
    </row>
    <row r="182" customFormat="false" ht="13.5" hidden="false" customHeight="false" outlineLevel="0" collapsed="false">
      <c r="A182" s="424"/>
      <c r="B182" s="424"/>
      <c r="C182" s="424"/>
      <c r="D182" s="424"/>
      <c r="E182" s="424"/>
      <c r="F182" s="424"/>
      <c r="G182" s="424"/>
      <c r="H182" s="424"/>
      <c r="I182" s="424"/>
      <c r="J182" s="424"/>
      <c r="K182" s="424"/>
      <c r="L182" s="424"/>
      <c r="M182" s="424"/>
      <c r="N182" s="424"/>
      <c r="O182" s="424"/>
      <c r="P182" s="424"/>
      <c r="Q182" s="435" t="n">
        <v>52</v>
      </c>
      <c r="R182" s="434" t="s">
        <v>568</v>
      </c>
      <c r="S182" s="424"/>
      <c r="T182" s="434" t="s">
        <v>569</v>
      </c>
      <c r="U182" s="434" t="s">
        <v>570</v>
      </c>
      <c r="V182" s="436" t="n">
        <f aca="false">AY187</f>
        <v>0</v>
      </c>
      <c r="AP182" s="427"/>
      <c r="AQ182" s="427"/>
      <c r="AR182" s="427"/>
      <c r="AS182" s="427"/>
      <c r="AT182" s="427"/>
      <c r="AU182" s="427"/>
      <c r="AV182" s="427"/>
      <c r="AW182" s="427"/>
      <c r="AX182" s="427"/>
      <c r="BC182" s="428"/>
      <c r="BH182" s="437"/>
      <c r="BN182" s="427"/>
      <c r="BO182" s="428"/>
    </row>
    <row r="183" customFormat="false" ht="13.5" hidden="false" customHeight="false" outlineLevel="0" collapsed="false">
      <c r="A183" s="424"/>
      <c r="B183" s="424"/>
      <c r="C183" s="424"/>
      <c r="D183" s="424"/>
      <c r="E183" s="424"/>
      <c r="F183" s="424"/>
      <c r="G183" s="424"/>
      <c r="H183" s="424"/>
      <c r="I183" s="424"/>
      <c r="J183" s="424"/>
      <c r="K183" s="424"/>
      <c r="L183" s="424"/>
      <c r="M183" s="424"/>
      <c r="N183" s="424"/>
      <c r="O183" s="424"/>
      <c r="P183" s="424"/>
      <c r="Q183" s="435" t="n">
        <v>53</v>
      </c>
      <c r="R183" s="434" t="s">
        <v>571</v>
      </c>
      <c r="S183" s="424"/>
      <c r="T183" s="434" t="s">
        <v>572</v>
      </c>
      <c r="U183" s="434" t="s">
        <v>573</v>
      </c>
      <c r="V183" s="436" t="n">
        <f aca="false">AY188</f>
        <v>0</v>
      </c>
      <c r="AP183" s="427"/>
      <c r="AQ183" s="427"/>
      <c r="AR183" s="427"/>
      <c r="AS183" s="427"/>
      <c r="AT183" s="427"/>
      <c r="AU183" s="427"/>
      <c r="AV183" s="427"/>
      <c r="AW183" s="427"/>
      <c r="AX183" s="427"/>
      <c r="BC183" s="428"/>
      <c r="BH183" s="437"/>
      <c r="BN183" s="427"/>
      <c r="BO183" s="428"/>
    </row>
    <row r="184" customFormat="false" ht="13.5" hidden="false" customHeight="false" outlineLevel="0" collapsed="false">
      <c r="A184" s="424"/>
      <c r="B184" s="424"/>
      <c r="C184" s="424"/>
      <c r="D184" s="424"/>
      <c r="E184" s="424"/>
      <c r="F184" s="424"/>
      <c r="G184" s="424"/>
      <c r="H184" s="424"/>
      <c r="I184" s="424"/>
      <c r="J184" s="424"/>
      <c r="K184" s="424"/>
      <c r="L184" s="424"/>
      <c r="M184" s="424"/>
      <c r="N184" s="424"/>
      <c r="O184" s="424"/>
      <c r="P184" s="424"/>
      <c r="Q184" s="435" t="n">
        <v>54</v>
      </c>
      <c r="R184" s="434" t="s">
        <v>574</v>
      </c>
      <c r="S184" s="424"/>
      <c r="T184" s="434" t="s">
        <v>575</v>
      </c>
      <c r="U184" s="434" t="s">
        <v>576</v>
      </c>
      <c r="V184" s="436" t="n">
        <f aca="false">AY189</f>
        <v>0</v>
      </c>
      <c r="AP184" s="427"/>
      <c r="AQ184" s="427"/>
      <c r="AR184" s="427"/>
      <c r="AS184" s="427"/>
      <c r="AT184" s="427"/>
      <c r="AU184" s="427"/>
      <c r="AV184" s="427"/>
      <c r="AW184" s="427"/>
      <c r="AX184" s="427"/>
      <c r="BC184" s="428"/>
      <c r="BH184" s="437"/>
      <c r="BN184" s="427"/>
      <c r="BO184" s="428"/>
    </row>
    <row r="185" customFormat="false" ht="13.5" hidden="false" customHeight="false" outlineLevel="0" collapsed="false">
      <c r="A185" s="424"/>
      <c r="B185" s="424"/>
      <c r="C185" s="424"/>
      <c r="D185" s="424"/>
      <c r="E185" s="424"/>
      <c r="F185" s="424"/>
      <c r="G185" s="424"/>
      <c r="H185" s="424"/>
      <c r="I185" s="424"/>
      <c r="J185" s="424"/>
      <c r="K185" s="424"/>
      <c r="L185" s="424"/>
      <c r="M185" s="424"/>
      <c r="N185" s="424"/>
      <c r="O185" s="424"/>
      <c r="P185" s="424"/>
      <c r="Q185" s="435" t="n">
        <v>55</v>
      </c>
      <c r="R185" s="434" t="s">
        <v>577</v>
      </c>
      <c r="S185" s="424"/>
      <c r="T185" s="434" t="s">
        <v>578</v>
      </c>
      <c r="U185" s="434" t="s">
        <v>579</v>
      </c>
      <c r="V185" s="436" t="n">
        <f aca="false">AY190</f>
        <v>0</v>
      </c>
      <c r="AP185" s="427"/>
      <c r="AQ185" s="427"/>
      <c r="AR185" s="427"/>
      <c r="AS185" s="427"/>
      <c r="AT185" s="427"/>
      <c r="AU185" s="427"/>
      <c r="AV185" s="427"/>
      <c r="AW185" s="427"/>
      <c r="AX185" s="427"/>
      <c r="BC185" s="428"/>
      <c r="BH185" s="437"/>
      <c r="BN185" s="427"/>
      <c r="BO185" s="428"/>
    </row>
    <row r="186" customFormat="false" ht="13.5" hidden="false" customHeight="false" outlineLevel="0" collapsed="false">
      <c r="A186" s="424"/>
      <c r="B186" s="424"/>
      <c r="C186" s="424"/>
      <c r="D186" s="424"/>
      <c r="E186" s="424"/>
      <c r="F186" s="424"/>
      <c r="G186" s="424"/>
      <c r="H186" s="424"/>
      <c r="I186" s="424"/>
      <c r="J186" s="424"/>
      <c r="K186" s="424"/>
      <c r="L186" s="424"/>
      <c r="M186" s="424"/>
      <c r="N186" s="424"/>
      <c r="O186" s="424"/>
      <c r="P186" s="424"/>
      <c r="Q186" s="435" t="n">
        <v>56</v>
      </c>
      <c r="R186" s="434" t="s">
        <v>580</v>
      </c>
      <c r="S186" s="424"/>
      <c r="T186" s="434" t="s">
        <v>581</v>
      </c>
      <c r="U186" s="434" t="s">
        <v>582</v>
      </c>
      <c r="V186" s="436" t="n">
        <f aca="false">AY191</f>
        <v>0</v>
      </c>
      <c r="AP186" s="427"/>
      <c r="AQ186" s="427"/>
      <c r="AR186" s="427"/>
      <c r="AS186" s="427"/>
      <c r="AT186" s="427"/>
      <c r="AU186" s="427"/>
      <c r="AV186" s="427"/>
      <c r="AW186" s="427"/>
      <c r="AX186" s="427"/>
      <c r="BC186" s="428"/>
      <c r="BH186" s="437"/>
      <c r="BN186" s="427"/>
      <c r="BO186" s="428"/>
    </row>
    <row r="187" customFormat="false" ht="13.5" hidden="false" customHeight="false" outlineLevel="0" collapsed="false">
      <c r="A187" s="424"/>
      <c r="B187" s="424"/>
      <c r="C187" s="424"/>
      <c r="D187" s="424"/>
      <c r="E187" s="424"/>
      <c r="F187" s="424"/>
      <c r="G187" s="424"/>
      <c r="H187" s="424"/>
      <c r="I187" s="424"/>
      <c r="J187" s="424"/>
      <c r="K187" s="424"/>
      <c r="L187" s="424"/>
      <c r="M187" s="424"/>
      <c r="N187" s="424"/>
      <c r="O187" s="424"/>
      <c r="P187" s="424"/>
      <c r="Q187" s="435" t="n">
        <v>57</v>
      </c>
      <c r="R187" s="434" t="s">
        <v>583</v>
      </c>
      <c r="S187" s="424"/>
      <c r="T187" s="434" t="s">
        <v>584</v>
      </c>
      <c r="U187" s="434" t="s">
        <v>585</v>
      </c>
      <c r="V187" s="436" t="n">
        <f aca="false">AY192</f>
        <v>0</v>
      </c>
      <c r="AP187" s="427"/>
      <c r="AQ187" s="427"/>
      <c r="AR187" s="427"/>
      <c r="AS187" s="427"/>
      <c r="AT187" s="427"/>
      <c r="AU187" s="427"/>
      <c r="AV187" s="427"/>
      <c r="AW187" s="427"/>
      <c r="AX187" s="427"/>
      <c r="BC187" s="428"/>
      <c r="BH187" s="437"/>
      <c r="BN187" s="427"/>
      <c r="BO187" s="428"/>
    </row>
    <row r="188" customFormat="false" ht="13.5" hidden="false" customHeight="false" outlineLevel="0" collapsed="false">
      <c r="A188" s="424"/>
      <c r="B188" s="424"/>
      <c r="C188" s="424"/>
      <c r="D188" s="424"/>
      <c r="E188" s="424"/>
      <c r="F188" s="424"/>
      <c r="G188" s="424"/>
      <c r="H188" s="424"/>
      <c r="I188" s="424"/>
      <c r="J188" s="424"/>
      <c r="K188" s="424"/>
      <c r="L188" s="424"/>
      <c r="M188" s="424"/>
      <c r="N188" s="424"/>
      <c r="O188" s="424"/>
      <c r="P188" s="424"/>
      <c r="Q188" s="435" t="n">
        <v>58</v>
      </c>
      <c r="R188" s="434" t="s">
        <v>586</v>
      </c>
      <c r="S188" s="424"/>
      <c r="T188" s="434" t="s">
        <v>587</v>
      </c>
      <c r="U188" s="434" t="s">
        <v>588</v>
      </c>
      <c r="V188" s="436" t="n">
        <f aca="false">AY193</f>
        <v>0</v>
      </c>
      <c r="AP188" s="427"/>
      <c r="AQ188" s="427"/>
      <c r="AR188" s="427"/>
      <c r="AS188" s="427"/>
      <c r="AT188" s="427"/>
      <c r="AU188" s="427"/>
      <c r="AV188" s="427"/>
      <c r="AW188" s="427"/>
      <c r="AX188" s="427"/>
      <c r="BC188" s="428"/>
      <c r="BH188" s="437"/>
      <c r="BN188" s="427"/>
      <c r="BO188" s="428"/>
    </row>
    <row r="189" customFormat="false" ht="13.5" hidden="false" customHeight="false" outlineLevel="0" collapsed="false">
      <c r="A189" s="424"/>
      <c r="B189" s="424"/>
      <c r="C189" s="424"/>
      <c r="D189" s="424"/>
      <c r="E189" s="424"/>
      <c r="F189" s="424"/>
      <c r="G189" s="424"/>
      <c r="H189" s="424"/>
      <c r="I189" s="424"/>
      <c r="J189" s="424"/>
      <c r="K189" s="424"/>
      <c r="L189" s="424"/>
      <c r="M189" s="424"/>
      <c r="N189" s="424"/>
      <c r="O189" s="424"/>
      <c r="P189" s="424"/>
      <c r="Q189" s="435" t="n">
        <v>59</v>
      </c>
      <c r="R189" s="434" t="s">
        <v>589</v>
      </c>
      <c r="S189" s="424"/>
      <c r="T189" s="434" t="s">
        <v>590</v>
      </c>
      <c r="U189" s="434" t="s">
        <v>591</v>
      </c>
      <c r="V189" s="436" t="n">
        <f aca="false">AY194</f>
        <v>0</v>
      </c>
      <c r="AP189" s="427"/>
      <c r="AQ189" s="427"/>
      <c r="AR189" s="427"/>
      <c r="AS189" s="427"/>
      <c r="AT189" s="427"/>
      <c r="AU189" s="427"/>
      <c r="AV189" s="427"/>
      <c r="AW189" s="427"/>
      <c r="AX189" s="427"/>
      <c r="BC189" s="428"/>
      <c r="BH189" s="437"/>
      <c r="BN189" s="427"/>
      <c r="BO189" s="428"/>
    </row>
    <row r="190" customFormat="false" ht="13.5" hidden="false" customHeight="false" outlineLevel="0" collapsed="false">
      <c r="A190" s="424"/>
      <c r="B190" s="424"/>
      <c r="C190" s="424"/>
      <c r="D190" s="424"/>
      <c r="E190" s="424"/>
      <c r="F190" s="424"/>
      <c r="G190" s="424"/>
      <c r="H190" s="424"/>
      <c r="I190" s="424"/>
      <c r="J190" s="424"/>
      <c r="K190" s="424"/>
      <c r="L190" s="424"/>
      <c r="M190" s="424"/>
      <c r="N190" s="424"/>
      <c r="O190" s="424"/>
      <c r="P190" s="424"/>
      <c r="Q190" s="435" t="n">
        <v>60</v>
      </c>
      <c r="R190" s="434" t="s">
        <v>592</v>
      </c>
      <c r="S190" s="424"/>
      <c r="T190" s="434" t="s">
        <v>593</v>
      </c>
      <c r="U190" s="434" t="s">
        <v>594</v>
      </c>
      <c r="V190" s="436" t="n">
        <f aca="false">AY195</f>
        <v>0</v>
      </c>
      <c r="AP190" s="427"/>
      <c r="AQ190" s="427"/>
      <c r="AR190" s="427"/>
      <c r="AS190" s="427"/>
      <c r="AT190" s="427"/>
      <c r="AU190" s="427"/>
      <c r="AV190" s="427"/>
      <c r="AW190" s="427"/>
      <c r="AX190" s="427"/>
      <c r="BC190" s="428"/>
      <c r="BH190" s="437"/>
      <c r="BN190" s="427"/>
      <c r="BO190" s="428"/>
    </row>
    <row r="191" customFormat="false" ht="13.5" hidden="false" customHeight="false" outlineLevel="0" collapsed="false">
      <c r="A191" s="424"/>
      <c r="B191" s="424"/>
      <c r="C191" s="424"/>
      <c r="D191" s="424"/>
      <c r="E191" s="424"/>
      <c r="F191" s="424"/>
      <c r="G191" s="424"/>
      <c r="H191" s="424"/>
      <c r="I191" s="424"/>
      <c r="J191" s="424"/>
      <c r="K191" s="424"/>
      <c r="L191" s="424"/>
      <c r="M191" s="424"/>
      <c r="N191" s="424"/>
      <c r="O191" s="424"/>
      <c r="P191" s="424"/>
      <c r="Q191" s="435" t="n">
        <v>61</v>
      </c>
      <c r="R191" s="434" t="s">
        <v>595</v>
      </c>
      <c r="S191" s="424"/>
      <c r="T191" s="434" t="s">
        <v>596</v>
      </c>
      <c r="U191" s="434" t="s">
        <v>597</v>
      </c>
      <c r="V191" s="436" t="n">
        <f aca="false">AY196</f>
        <v>0</v>
      </c>
      <c r="AP191" s="427"/>
      <c r="AQ191" s="427"/>
      <c r="AR191" s="427"/>
      <c r="AS191" s="427"/>
      <c r="AT191" s="427"/>
      <c r="AU191" s="427"/>
      <c r="AV191" s="427"/>
      <c r="AW191" s="427"/>
      <c r="AX191" s="427"/>
      <c r="BC191" s="428"/>
      <c r="BH191" s="437"/>
      <c r="BN191" s="427"/>
      <c r="BO191" s="428"/>
    </row>
    <row r="192" customFormat="false" ht="13.5" hidden="false" customHeight="false" outlineLevel="0" collapsed="false">
      <c r="A192" s="424"/>
      <c r="B192" s="424"/>
      <c r="C192" s="424"/>
      <c r="D192" s="424"/>
      <c r="E192" s="424"/>
      <c r="F192" s="424"/>
      <c r="G192" s="424"/>
      <c r="H192" s="424"/>
      <c r="I192" s="424"/>
      <c r="J192" s="424"/>
      <c r="K192" s="424"/>
      <c r="L192" s="424"/>
      <c r="M192" s="424"/>
      <c r="N192" s="424"/>
      <c r="O192" s="424"/>
      <c r="P192" s="424"/>
      <c r="Q192" s="435" t="n">
        <v>62</v>
      </c>
      <c r="R192" s="434" t="s">
        <v>598</v>
      </c>
      <c r="S192" s="424"/>
      <c r="T192" s="434" t="s">
        <v>599</v>
      </c>
      <c r="U192" s="434" t="s">
        <v>600</v>
      </c>
      <c r="V192" s="436" t="n">
        <f aca="false">AY197</f>
        <v>0</v>
      </c>
      <c r="AP192" s="427"/>
      <c r="AQ192" s="427"/>
      <c r="AR192" s="427"/>
      <c r="AS192" s="427"/>
      <c r="AT192" s="427"/>
      <c r="AU192" s="427"/>
      <c r="AV192" s="427"/>
      <c r="AW192" s="427"/>
      <c r="AX192" s="427"/>
      <c r="BC192" s="428"/>
      <c r="BH192" s="437"/>
      <c r="BN192" s="427"/>
      <c r="BO192" s="428"/>
    </row>
    <row r="193" customFormat="false" ht="13.5" hidden="false" customHeight="false" outlineLevel="0" collapsed="false">
      <c r="A193" s="424"/>
      <c r="B193" s="424"/>
      <c r="C193" s="424"/>
      <c r="D193" s="424"/>
      <c r="E193" s="424"/>
      <c r="F193" s="424"/>
      <c r="G193" s="424"/>
      <c r="H193" s="424"/>
      <c r="I193" s="424"/>
      <c r="J193" s="424"/>
      <c r="K193" s="424"/>
      <c r="L193" s="424"/>
      <c r="M193" s="424"/>
      <c r="N193" s="424"/>
      <c r="O193" s="424"/>
      <c r="P193" s="424"/>
      <c r="Q193" s="435" t="n">
        <v>63</v>
      </c>
      <c r="R193" s="434" t="s">
        <v>601</v>
      </c>
      <c r="S193" s="424"/>
      <c r="T193" s="434" t="s">
        <v>602</v>
      </c>
      <c r="U193" s="434" t="s">
        <v>603</v>
      </c>
      <c r="V193" s="436" t="n">
        <f aca="false">AY198</f>
        <v>0</v>
      </c>
      <c r="AP193" s="427"/>
      <c r="AQ193" s="427"/>
      <c r="AR193" s="427"/>
      <c r="AS193" s="427"/>
      <c r="AT193" s="427"/>
      <c r="AU193" s="427"/>
      <c r="AV193" s="427"/>
      <c r="AW193" s="427"/>
      <c r="AX193" s="427"/>
      <c r="BC193" s="428"/>
      <c r="BH193" s="437"/>
      <c r="BN193" s="427"/>
      <c r="BO193" s="428"/>
    </row>
    <row r="194" customFormat="false" ht="13.5" hidden="false" customHeight="false" outlineLevel="0" collapsed="false">
      <c r="A194" s="424"/>
      <c r="B194" s="424"/>
      <c r="C194" s="424"/>
      <c r="D194" s="424"/>
      <c r="E194" s="424"/>
      <c r="F194" s="424"/>
      <c r="G194" s="424"/>
      <c r="H194" s="424"/>
      <c r="I194" s="424"/>
      <c r="J194" s="424"/>
      <c r="K194" s="424"/>
      <c r="L194" s="424"/>
      <c r="M194" s="424"/>
      <c r="N194" s="424"/>
      <c r="O194" s="424"/>
      <c r="P194" s="424"/>
      <c r="Q194" s="435" t="n">
        <v>64</v>
      </c>
      <c r="R194" s="434" t="s">
        <v>604</v>
      </c>
      <c r="S194" s="424"/>
      <c r="T194" s="434" t="s">
        <v>605</v>
      </c>
      <c r="U194" s="434" t="s">
        <v>606</v>
      </c>
      <c r="V194" s="436" t="n">
        <f aca="false">AY199</f>
        <v>0</v>
      </c>
      <c r="AP194" s="427"/>
      <c r="AQ194" s="427"/>
      <c r="AR194" s="427"/>
      <c r="AS194" s="427"/>
      <c r="AT194" s="427"/>
      <c r="AU194" s="427"/>
      <c r="AV194" s="427"/>
      <c r="AW194" s="427"/>
      <c r="AX194" s="427"/>
      <c r="BC194" s="428"/>
      <c r="BH194" s="437"/>
      <c r="BN194" s="427"/>
      <c r="BO194" s="428"/>
    </row>
    <row r="195" customFormat="false" ht="13.5" hidden="false" customHeight="false" outlineLevel="0" collapsed="false">
      <c r="A195" s="424"/>
      <c r="B195" s="424"/>
      <c r="C195" s="424"/>
      <c r="D195" s="424"/>
      <c r="E195" s="424"/>
      <c r="F195" s="424"/>
      <c r="G195" s="424"/>
      <c r="H195" s="424"/>
      <c r="I195" s="424"/>
      <c r="J195" s="424"/>
      <c r="K195" s="424"/>
      <c r="L195" s="424"/>
      <c r="M195" s="424"/>
      <c r="N195" s="424"/>
      <c r="O195" s="424"/>
      <c r="P195" s="424"/>
      <c r="Q195" s="435" t="n">
        <v>65</v>
      </c>
      <c r="R195" s="434" t="s">
        <v>607</v>
      </c>
      <c r="S195" s="424"/>
      <c r="T195" s="434" t="s">
        <v>608</v>
      </c>
      <c r="U195" s="434" t="s">
        <v>609</v>
      </c>
      <c r="V195" s="436" t="n">
        <f aca="false">AY200</f>
        <v>0</v>
      </c>
      <c r="AP195" s="427"/>
      <c r="AQ195" s="427"/>
      <c r="AR195" s="427"/>
      <c r="AS195" s="427"/>
      <c r="AT195" s="427"/>
      <c r="AU195" s="427"/>
      <c r="AV195" s="427"/>
      <c r="AW195" s="427"/>
      <c r="AX195" s="427"/>
      <c r="BC195" s="428"/>
      <c r="BH195" s="437"/>
      <c r="BN195" s="427"/>
      <c r="BO195" s="428"/>
    </row>
    <row r="196" customFormat="false" ht="13.5" hidden="false" customHeight="false" outlineLevel="0" collapsed="false">
      <c r="A196" s="424"/>
      <c r="B196" s="424"/>
      <c r="C196" s="424"/>
      <c r="D196" s="424"/>
      <c r="E196" s="424"/>
      <c r="F196" s="424"/>
      <c r="G196" s="424"/>
      <c r="H196" s="424"/>
      <c r="I196" s="424"/>
      <c r="J196" s="424"/>
      <c r="K196" s="424"/>
      <c r="L196" s="424"/>
      <c r="M196" s="424"/>
      <c r="N196" s="424"/>
      <c r="O196" s="424"/>
      <c r="P196" s="424"/>
      <c r="Q196" s="435" t="n">
        <v>66</v>
      </c>
      <c r="R196" s="434" t="s">
        <v>610</v>
      </c>
      <c r="S196" s="424"/>
      <c r="T196" s="434" t="s">
        <v>611</v>
      </c>
      <c r="U196" s="434" t="s">
        <v>612</v>
      </c>
      <c r="V196" s="436" t="n">
        <f aca="false">AY201</f>
        <v>0</v>
      </c>
      <c r="AP196" s="427"/>
      <c r="AQ196" s="427"/>
      <c r="AR196" s="427"/>
      <c r="AS196" s="427"/>
      <c r="AT196" s="427"/>
      <c r="AU196" s="427"/>
      <c r="AV196" s="427"/>
      <c r="AW196" s="427"/>
      <c r="AX196" s="427"/>
      <c r="BC196" s="428"/>
      <c r="BH196" s="437"/>
      <c r="BN196" s="427"/>
      <c r="BO196" s="428"/>
    </row>
    <row r="197" customFormat="false" ht="13.5" hidden="false" customHeight="false" outlineLevel="0" collapsed="false">
      <c r="A197" s="424"/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  <c r="M197" s="424"/>
      <c r="N197" s="424"/>
      <c r="O197" s="424"/>
      <c r="P197" s="424"/>
      <c r="Q197" s="435" t="n">
        <v>67</v>
      </c>
      <c r="R197" s="434" t="s">
        <v>613</v>
      </c>
      <c r="S197" s="424"/>
      <c r="T197" s="434" t="s">
        <v>614</v>
      </c>
      <c r="U197" s="434" t="s">
        <v>615</v>
      </c>
      <c r="V197" s="436" t="n">
        <f aca="false">AY202</f>
        <v>0</v>
      </c>
      <c r="AP197" s="427"/>
      <c r="AQ197" s="427"/>
      <c r="AR197" s="427"/>
      <c r="AS197" s="427"/>
      <c r="AT197" s="427"/>
      <c r="AU197" s="427"/>
      <c r="AV197" s="427"/>
      <c r="AW197" s="427"/>
      <c r="AX197" s="427"/>
      <c r="BC197" s="428"/>
      <c r="BH197" s="437"/>
      <c r="BN197" s="427"/>
      <c r="BO197" s="428"/>
    </row>
    <row r="198" customFormat="false" ht="13.5" hidden="false" customHeight="false" outlineLevel="0" collapsed="false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24"/>
      <c r="Q198" s="435" t="n">
        <v>68</v>
      </c>
      <c r="R198" s="434" t="s">
        <v>616</v>
      </c>
      <c r="S198" s="424"/>
      <c r="T198" s="434" t="s">
        <v>617</v>
      </c>
      <c r="U198" s="434" t="s">
        <v>618</v>
      </c>
      <c r="V198" s="436" t="n">
        <f aca="false">AY203</f>
        <v>0</v>
      </c>
      <c r="AP198" s="427"/>
      <c r="AQ198" s="427"/>
      <c r="AR198" s="427"/>
      <c r="AS198" s="427"/>
      <c r="AT198" s="427"/>
      <c r="AU198" s="427"/>
      <c r="AV198" s="427"/>
      <c r="AW198" s="427"/>
      <c r="AX198" s="427"/>
      <c r="BC198" s="428"/>
      <c r="BH198" s="437"/>
      <c r="BN198" s="427"/>
      <c r="BO198" s="428"/>
    </row>
    <row r="199" customFormat="false" ht="13.5" hidden="false" customHeight="false" outlineLevel="0" collapsed="false">
      <c r="A199" s="424"/>
      <c r="B199" s="424"/>
      <c r="C199" s="424"/>
      <c r="D199" s="424"/>
      <c r="E199" s="424"/>
      <c r="F199" s="424"/>
      <c r="G199" s="424"/>
      <c r="H199" s="424"/>
      <c r="I199" s="424"/>
      <c r="J199" s="424"/>
      <c r="K199" s="424"/>
      <c r="L199" s="424"/>
      <c r="M199" s="424"/>
      <c r="N199" s="424"/>
      <c r="O199" s="424"/>
      <c r="P199" s="424"/>
      <c r="Q199" s="435" t="n">
        <v>69</v>
      </c>
      <c r="R199" s="434" t="s">
        <v>619</v>
      </c>
      <c r="S199" s="424"/>
      <c r="T199" s="434" t="s">
        <v>620</v>
      </c>
      <c r="U199" s="434" t="s">
        <v>621</v>
      </c>
      <c r="V199" s="436" t="n">
        <f aca="false">AY204</f>
        <v>0</v>
      </c>
      <c r="AP199" s="427"/>
      <c r="AQ199" s="427"/>
      <c r="AR199" s="427"/>
      <c r="AS199" s="427"/>
      <c r="AT199" s="427"/>
      <c r="AU199" s="427"/>
      <c r="AV199" s="427"/>
      <c r="AW199" s="427"/>
      <c r="AX199" s="427"/>
      <c r="BC199" s="428"/>
      <c r="BH199" s="437"/>
      <c r="BN199" s="427"/>
      <c r="BO199" s="428"/>
    </row>
    <row r="200" customFormat="false" ht="13.5" hidden="false" customHeight="false" outlineLevel="0" collapsed="false">
      <c r="A200" s="424"/>
      <c r="B200" s="424"/>
      <c r="C200" s="424"/>
      <c r="D200" s="424"/>
      <c r="E200" s="424"/>
      <c r="F200" s="424"/>
      <c r="G200" s="424"/>
      <c r="H200" s="424"/>
      <c r="I200" s="424"/>
      <c r="J200" s="424"/>
      <c r="K200" s="424"/>
      <c r="L200" s="424"/>
      <c r="M200" s="424"/>
      <c r="N200" s="424"/>
      <c r="O200" s="424"/>
      <c r="P200" s="424"/>
      <c r="Q200" s="435" t="n">
        <v>70</v>
      </c>
      <c r="R200" s="434" t="s">
        <v>622</v>
      </c>
      <c r="S200" s="424"/>
      <c r="T200" s="434" t="s">
        <v>623</v>
      </c>
      <c r="U200" s="434" t="s">
        <v>624</v>
      </c>
      <c r="V200" s="436" t="n">
        <f aca="false">AY205</f>
        <v>0</v>
      </c>
      <c r="AP200" s="427"/>
      <c r="AQ200" s="427"/>
      <c r="AR200" s="427"/>
      <c r="AS200" s="427"/>
      <c r="AT200" s="427"/>
      <c r="AU200" s="427"/>
      <c r="AV200" s="427"/>
      <c r="AW200" s="427"/>
      <c r="AX200" s="427"/>
      <c r="BC200" s="428"/>
      <c r="BH200" s="437"/>
      <c r="BN200" s="427"/>
      <c r="BO200" s="428"/>
    </row>
    <row r="201" customFormat="false" ht="13.5" hidden="false" customHeight="false" outlineLevel="0" collapsed="false">
      <c r="A201" s="424"/>
      <c r="B201" s="424"/>
      <c r="C201" s="424"/>
      <c r="D201" s="424"/>
      <c r="E201" s="424"/>
      <c r="F201" s="424"/>
      <c r="G201" s="424"/>
      <c r="H201" s="424"/>
      <c r="I201" s="424"/>
      <c r="J201" s="424"/>
      <c r="K201" s="424"/>
      <c r="L201" s="424"/>
      <c r="M201" s="424"/>
      <c r="N201" s="424"/>
      <c r="O201" s="424"/>
      <c r="P201" s="424"/>
      <c r="Q201" s="435" t="n">
        <v>71</v>
      </c>
      <c r="R201" s="434" t="s">
        <v>625</v>
      </c>
      <c r="S201" s="424"/>
      <c r="T201" s="434" t="s">
        <v>626</v>
      </c>
      <c r="U201" s="434" t="s">
        <v>627</v>
      </c>
      <c r="V201" s="436" t="n">
        <f aca="false">AY206</f>
        <v>0</v>
      </c>
      <c r="AP201" s="427"/>
      <c r="AQ201" s="427"/>
      <c r="AR201" s="427"/>
      <c r="AS201" s="427"/>
      <c r="AT201" s="427"/>
      <c r="AU201" s="427"/>
      <c r="AV201" s="427"/>
      <c r="AW201" s="427"/>
      <c r="AX201" s="427"/>
      <c r="BC201" s="428"/>
      <c r="BH201" s="437"/>
      <c r="BN201" s="427"/>
      <c r="BO201" s="428"/>
    </row>
    <row r="202" customFormat="false" ht="13.5" hidden="false" customHeight="false" outlineLevel="0" collapsed="false">
      <c r="A202" s="424"/>
      <c r="B202" s="424"/>
      <c r="C202" s="424"/>
      <c r="D202" s="424"/>
      <c r="E202" s="424"/>
      <c r="F202" s="424"/>
      <c r="G202" s="424"/>
      <c r="H202" s="424"/>
      <c r="I202" s="424"/>
      <c r="J202" s="424"/>
      <c r="K202" s="424"/>
      <c r="L202" s="424"/>
      <c r="M202" s="424"/>
      <c r="N202" s="424"/>
      <c r="O202" s="424"/>
      <c r="P202" s="424"/>
      <c r="Q202" s="435" t="n">
        <v>72</v>
      </c>
      <c r="R202" s="434" t="s">
        <v>628</v>
      </c>
      <c r="S202" s="424"/>
      <c r="T202" s="434" t="s">
        <v>629</v>
      </c>
      <c r="U202" s="434" t="s">
        <v>630</v>
      </c>
      <c r="V202" s="436" t="n">
        <f aca="false">AY207</f>
        <v>0</v>
      </c>
      <c r="AP202" s="427"/>
      <c r="AQ202" s="427"/>
      <c r="AR202" s="427"/>
      <c r="AS202" s="427"/>
      <c r="AT202" s="427"/>
      <c r="AU202" s="427"/>
      <c r="AV202" s="427"/>
      <c r="AW202" s="427"/>
      <c r="AX202" s="427"/>
      <c r="BC202" s="428"/>
      <c r="BH202" s="437"/>
      <c r="BN202" s="427"/>
      <c r="BO202" s="428"/>
    </row>
    <row r="203" customFormat="false" ht="13.5" hidden="false" customHeight="false" outlineLevel="0" collapsed="false">
      <c r="A203" s="424"/>
      <c r="B203" s="424"/>
      <c r="C203" s="424"/>
      <c r="D203" s="424"/>
      <c r="E203" s="424"/>
      <c r="F203" s="424"/>
      <c r="G203" s="424"/>
      <c r="H203" s="424"/>
      <c r="I203" s="424"/>
      <c r="J203" s="424"/>
      <c r="K203" s="424"/>
      <c r="L203" s="424"/>
      <c r="M203" s="424"/>
      <c r="N203" s="424"/>
      <c r="O203" s="424"/>
      <c r="P203" s="424"/>
      <c r="Q203" s="435" t="n">
        <v>73</v>
      </c>
      <c r="R203" s="434" t="s">
        <v>631</v>
      </c>
      <c r="S203" s="424"/>
      <c r="T203" s="434" t="s">
        <v>632</v>
      </c>
      <c r="U203" s="434" t="s">
        <v>633</v>
      </c>
      <c r="V203" s="436" t="n">
        <f aca="false">AY208</f>
        <v>0</v>
      </c>
      <c r="AP203" s="427"/>
      <c r="AQ203" s="427"/>
      <c r="AR203" s="427"/>
      <c r="AS203" s="427"/>
      <c r="AT203" s="427"/>
      <c r="AU203" s="427"/>
      <c r="AV203" s="427"/>
      <c r="AW203" s="427"/>
      <c r="AX203" s="427"/>
      <c r="BC203" s="428"/>
      <c r="BH203" s="437"/>
      <c r="BN203" s="427"/>
      <c r="BO203" s="428"/>
    </row>
    <row r="204" customFormat="false" ht="13.5" hidden="false" customHeight="false" outlineLevel="0" collapsed="false">
      <c r="A204" s="424"/>
      <c r="B204" s="424"/>
      <c r="C204" s="424"/>
      <c r="D204" s="424"/>
      <c r="E204" s="424"/>
      <c r="F204" s="424"/>
      <c r="G204" s="424"/>
      <c r="H204" s="424"/>
      <c r="I204" s="424"/>
      <c r="J204" s="424"/>
      <c r="K204" s="424"/>
      <c r="L204" s="424"/>
      <c r="M204" s="424"/>
      <c r="N204" s="424"/>
      <c r="O204" s="424"/>
      <c r="P204" s="424"/>
      <c r="Q204" s="435" t="n">
        <v>74</v>
      </c>
      <c r="R204" s="434" t="s">
        <v>634</v>
      </c>
      <c r="S204" s="424"/>
      <c r="T204" s="434" t="s">
        <v>635</v>
      </c>
      <c r="U204" s="434" t="s">
        <v>636</v>
      </c>
      <c r="V204" s="436" t="n">
        <f aca="false">AY209</f>
        <v>0</v>
      </c>
      <c r="AP204" s="427"/>
      <c r="AQ204" s="427"/>
      <c r="AR204" s="427"/>
      <c r="AS204" s="427"/>
      <c r="AT204" s="427"/>
      <c r="AU204" s="427"/>
      <c r="AV204" s="427"/>
      <c r="AW204" s="427"/>
      <c r="AX204" s="427"/>
      <c r="BC204" s="428"/>
      <c r="BH204" s="437"/>
      <c r="BN204" s="427"/>
      <c r="BO204" s="428"/>
    </row>
    <row r="205" customFormat="false" ht="13.5" hidden="false" customHeight="false" outlineLevel="0" collapsed="false">
      <c r="A205" s="424"/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24"/>
      <c r="Q205" s="435" t="n">
        <v>75</v>
      </c>
      <c r="R205" s="434" t="s">
        <v>637</v>
      </c>
      <c r="S205" s="424"/>
      <c r="T205" s="434" t="s">
        <v>638</v>
      </c>
      <c r="U205" s="434" t="s">
        <v>639</v>
      </c>
      <c r="V205" s="436" t="n">
        <f aca="false">AY210</f>
        <v>0</v>
      </c>
      <c r="AP205" s="427"/>
      <c r="AQ205" s="427"/>
      <c r="AR205" s="427"/>
      <c r="AS205" s="427"/>
      <c r="AT205" s="427"/>
      <c r="AU205" s="427"/>
      <c r="AV205" s="427"/>
      <c r="AW205" s="427"/>
      <c r="AX205" s="427"/>
      <c r="BC205" s="428"/>
      <c r="BH205" s="437"/>
      <c r="BN205" s="427"/>
      <c r="BO205" s="428"/>
    </row>
    <row r="206" customFormat="false" ht="13.5" hidden="false" customHeight="false" outlineLevel="0" collapsed="false">
      <c r="A206" s="424"/>
      <c r="B206" s="424"/>
      <c r="C206" s="424"/>
      <c r="D206" s="424"/>
      <c r="E206" s="424"/>
      <c r="F206" s="424"/>
      <c r="G206" s="424"/>
      <c r="H206" s="424"/>
      <c r="I206" s="424"/>
      <c r="J206" s="424"/>
      <c r="K206" s="424"/>
      <c r="L206" s="424"/>
      <c r="M206" s="424"/>
      <c r="N206" s="424"/>
      <c r="O206" s="424"/>
      <c r="P206" s="424"/>
      <c r="Q206" s="435" t="n">
        <v>76</v>
      </c>
      <c r="R206" s="434" t="s">
        <v>640</v>
      </c>
      <c r="S206" s="424"/>
      <c r="T206" s="434" t="s">
        <v>641</v>
      </c>
      <c r="U206" s="434" t="s">
        <v>642</v>
      </c>
      <c r="V206" s="436" t="n">
        <f aca="false">AY211</f>
        <v>0</v>
      </c>
      <c r="AP206" s="427"/>
      <c r="AQ206" s="427"/>
      <c r="AR206" s="427"/>
      <c r="AS206" s="427"/>
      <c r="AT206" s="427"/>
      <c r="AU206" s="427"/>
      <c r="AV206" s="427"/>
      <c r="AW206" s="427"/>
      <c r="AX206" s="427"/>
      <c r="BC206" s="428"/>
      <c r="BH206" s="437"/>
      <c r="BN206" s="427"/>
      <c r="BO206" s="428"/>
    </row>
    <row r="207" customFormat="false" ht="13.5" hidden="false" customHeight="false" outlineLevel="0" collapsed="false">
      <c r="A207" s="424"/>
      <c r="B207" s="424"/>
      <c r="C207" s="424"/>
      <c r="D207" s="424"/>
      <c r="E207" s="424"/>
      <c r="F207" s="424"/>
      <c r="G207" s="424"/>
      <c r="H207" s="424"/>
      <c r="I207" s="424"/>
      <c r="J207" s="424"/>
      <c r="K207" s="424"/>
      <c r="L207" s="424"/>
      <c r="M207" s="424"/>
      <c r="N207" s="424"/>
      <c r="O207" s="424"/>
      <c r="P207" s="424"/>
      <c r="Q207" s="435" t="n">
        <v>77</v>
      </c>
      <c r="R207" s="434" t="s">
        <v>643</v>
      </c>
      <c r="S207" s="424"/>
      <c r="T207" s="434" t="s">
        <v>644</v>
      </c>
      <c r="U207" s="434" t="s">
        <v>645</v>
      </c>
      <c r="V207" s="436" t="n">
        <f aca="false">AY212</f>
        <v>0</v>
      </c>
      <c r="BC207" s="428"/>
      <c r="BH207" s="437"/>
      <c r="BN207" s="427"/>
      <c r="BO207" s="428"/>
    </row>
    <row r="208" customFormat="false" ht="13.5" hidden="false" customHeight="false" outlineLevel="0" collapsed="false">
      <c r="A208" s="424"/>
      <c r="B208" s="424"/>
      <c r="C208" s="424"/>
      <c r="D208" s="424"/>
      <c r="E208" s="424"/>
      <c r="F208" s="424"/>
      <c r="G208" s="424"/>
      <c r="H208" s="424"/>
      <c r="I208" s="424"/>
      <c r="J208" s="424"/>
      <c r="K208" s="424"/>
      <c r="L208" s="424"/>
      <c r="M208" s="424"/>
      <c r="N208" s="424"/>
      <c r="O208" s="424"/>
      <c r="P208" s="424"/>
      <c r="Q208" s="435" t="n">
        <v>78</v>
      </c>
      <c r="R208" s="434" t="s">
        <v>646</v>
      </c>
      <c r="S208" s="424"/>
      <c r="T208" s="434" t="s">
        <v>647</v>
      </c>
      <c r="U208" s="434" t="s">
        <v>648</v>
      </c>
      <c r="V208" s="436" t="n">
        <f aca="false">AY213</f>
        <v>0</v>
      </c>
      <c r="BC208" s="428"/>
      <c r="BH208" s="437"/>
      <c r="BN208" s="427"/>
      <c r="BO208" s="428"/>
    </row>
    <row r="209" customFormat="false" ht="13.5" hidden="false" customHeight="false" outlineLevel="0" collapsed="false">
      <c r="A209" s="424"/>
      <c r="B209" s="424"/>
      <c r="C209" s="424"/>
      <c r="D209" s="424"/>
      <c r="E209" s="424"/>
      <c r="F209" s="424"/>
      <c r="G209" s="424"/>
      <c r="H209" s="424"/>
      <c r="I209" s="424"/>
      <c r="J209" s="424"/>
      <c r="K209" s="424"/>
      <c r="L209" s="424"/>
      <c r="M209" s="424"/>
      <c r="N209" s="424"/>
      <c r="O209" s="424"/>
      <c r="P209" s="424"/>
      <c r="Q209" s="435" t="n">
        <v>79</v>
      </c>
      <c r="R209" s="434" t="s">
        <v>649</v>
      </c>
      <c r="S209" s="424"/>
      <c r="T209" s="434" t="s">
        <v>650</v>
      </c>
      <c r="U209" s="434" t="s">
        <v>651</v>
      </c>
      <c r="V209" s="436" t="n">
        <f aca="false">AY214</f>
        <v>0</v>
      </c>
      <c r="BC209" s="428"/>
      <c r="BH209" s="437"/>
      <c r="BN209" s="427"/>
      <c r="BO209" s="428"/>
    </row>
    <row r="210" customFormat="false" ht="13.5" hidden="false" customHeight="false" outlineLevel="0" collapsed="false">
      <c r="A210" s="424"/>
      <c r="B210" s="424"/>
      <c r="C210" s="424"/>
      <c r="D210" s="424"/>
      <c r="E210" s="424"/>
      <c r="F210" s="424"/>
      <c r="G210" s="424"/>
      <c r="H210" s="424"/>
      <c r="I210" s="424"/>
      <c r="J210" s="424"/>
      <c r="K210" s="424"/>
      <c r="L210" s="424"/>
      <c r="M210" s="424"/>
      <c r="N210" s="424"/>
      <c r="O210" s="424"/>
      <c r="P210" s="424"/>
      <c r="Q210" s="435" t="n">
        <v>80</v>
      </c>
      <c r="R210" s="434" t="s">
        <v>652</v>
      </c>
      <c r="S210" s="424"/>
      <c r="T210" s="434" t="s">
        <v>653</v>
      </c>
      <c r="U210" s="434" t="s">
        <v>654</v>
      </c>
      <c r="V210" s="436" t="n">
        <f aca="false">AY215</f>
        <v>0</v>
      </c>
      <c r="BC210" s="428"/>
      <c r="BH210" s="437"/>
      <c r="BN210" s="427"/>
      <c r="BO210" s="428"/>
    </row>
    <row r="211" customFormat="false" ht="13.5" hidden="false" customHeight="false" outlineLevel="0" collapsed="false">
      <c r="A211" s="424"/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35" t="n">
        <v>81</v>
      </c>
      <c r="R211" s="434" t="s">
        <v>655</v>
      </c>
      <c r="S211" s="424"/>
      <c r="T211" s="434" t="s">
        <v>656</v>
      </c>
      <c r="U211" s="434" t="s">
        <v>657</v>
      </c>
      <c r="V211" s="436" t="n">
        <f aca="false">AY216</f>
        <v>0</v>
      </c>
      <c r="BC211" s="428"/>
      <c r="BH211" s="437"/>
      <c r="BN211" s="427"/>
      <c r="BO211" s="428"/>
    </row>
    <row r="212" customFormat="false" ht="13.5" hidden="false" customHeight="false" outlineLevel="0" collapsed="false">
      <c r="A212" s="424"/>
      <c r="B212" s="424"/>
      <c r="C212" s="424"/>
      <c r="D212" s="424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35" t="n">
        <v>82</v>
      </c>
      <c r="R212" s="434" t="s">
        <v>658</v>
      </c>
      <c r="S212" s="424"/>
      <c r="T212" s="434" t="s">
        <v>659</v>
      </c>
      <c r="U212" s="434" t="s">
        <v>660</v>
      </c>
      <c r="V212" s="436" t="n">
        <f aca="false">AY217</f>
        <v>0</v>
      </c>
      <c r="BC212" s="428"/>
      <c r="BH212" s="437"/>
      <c r="BN212" s="427"/>
      <c r="BO212" s="428"/>
    </row>
    <row r="213" customFormat="false" ht="13.5" hidden="false" customHeight="false" outlineLevel="0" collapsed="false">
      <c r="A213" s="424"/>
      <c r="B213" s="424"/>
      <c r="C213" s="424"/>
      <c r="D213" s="424"/>
      <c r="E213" s="424"/>
      <c r="F213" s="424"/>
      <c r="G213" s="424"/>
      <c r="H213" s="424"/>
      <c r="I213" s="424"/>
      <c r="J213" s="424"/>
      <c r="K213" s="424"/>
      <c r="L213" s="424"/>
      <c r="M213" s="424"/>
      <c r="N213" s="424"/>
      <c r="O213" s="424"/>
      <c r="P213" s="424"/>
      <c r="Q213" s="435" t="n">
        <v>83</v>
      </c>
      <c r="R213" s="434" t="s">
        <v>661</v>
      </c>
      <c r="S213" s="424"/>
      <c r="T213" s="434" t="s">
        <v>662</v>
      </c>
      <c r="U213" s="434" t="s">
        <v>663</v>
      </c>
      <c r="V213" s="436" t="n">
        <f aca="false">AY218</f>
        <v>0</v>
      </c>
      <c r="BC213" s="428"/>
      <c r="BH213" s="437"/>
      <c r="BN213" s="427"/>
      <c r="BO213" s="428"/>
    </row>
    <row r="214" customFormat="false" ht="13.5" hidden="false" customHeight="false" outlineLevel="0" collapsed="false">
      <c r="A214" s="424"/>
      <c r="B214" s="424"/>
      <c r="C214" s="424"/>
      <c r="D214" s="424"/>
      <c r="E214" s="424"/>
      <c r="F214" s="424"/>
      <c r="G214" s="424"/>
      <c r="H214" s="424"/>
      <c r="I214" s="424"/>
      <c r="J214" s="424"/>
      <c r="K214" s="424"/>
      <c r="L214" s="424"/>
      <c r="M214" s="424"/>
      <c r="N214" s="424"/>
      <c r="O214" s="424"/>
      <c r="P214" s="424"/>
      <c r="Q214" s="435" t="n">
        <v>84</v>
      </c>
      <c r="R214" s="434" t="s">
        <v>664</v>
      </c>
      <c r="S214" s="424"/>
      <c r="T214" s="434" t="s">
        <v>665</v>
      </c>
      <c r="U214" s="434" t="s">
        <v>666</v>
      </c>
      <c r="V214" s="436" t="n">
        <f aca="false">AY219</f>
        <v>0</v>
      </c>
      <c r="BC214" s="428"/>
      <c r="BH214" s="437"/>
      <c r="BN214" s="427"/>
      <c r="BO214" s="428"/>
    </row>
    <row r="215" customFormat="false" ht="13.5" hidden="false" customHeight="false" outlineLevel="0" collapsed="false">
      <c r="A215" s="424"/>
      <c r="B215" s="424"/>
      <c r="C215" s="424"/>
      <c r="D215" s="424"/>
      <c r="E215" s="424"/>
      <c r="F215" s="424"/>
      <c r="G215" s="424"/>
      <c r="H215" s="424"/>
      <c r="I215" s="424"/>
      <c r="J215" s="424"/>
      <c r="K215" s="424"/>
      <c r="L215" s="424"/>
      <c r="M215" s="424"/>
      <c r="N215" s="424"/>
      <c r="O215" s="424"/>
      <c r="P215" s="424"/>
      <c r="Q215" s="435" t="n">
        <v>85</v>
      </c>
      <c r="R215" s="434" t="s">
        <v>667</v>
      </c>
      <c r="S215" s="424"/>
      <c r="T215" s="434" t="s">
        <v>668</v>
      </c>
      <c r="U215" s="434" t="s">
        <v>669</v>
      </c>
      <c r="V215" s="436" t="n">
        <f aca="false">AY220</f>
        <v>0</v>
      </c>
      <c r="BC215" s="428"/>
      <c r="BH215" s="437"/>
      <c r="BN215" s="427"/>
      <c r="BO215" s="428"/>
    </row>
    <row r="216" customFormat="false" ht="13.5" hidden="false" customHeight="false" outlineLevel="0" collapsed="false">
      <c r="A216" s="424"/>
      <c r="B216" s="424"/>
      <c r="C216" s="424"/>
      <c r="D216" s="424"/>
      <c r="E216" s="424"/>
      <c r="F216" s="424"/>
      <c r="G216" s="424"/>
      <c r="H216" s="424"/>
      <c r="I216" s="424"/>
      <c r="J216" s="424"/>
      <c r="K216" s="424"/>
      <c r="L216" s="424"/>
      <c r="M216" s="424"/>
      <c r="N216" s="424"/>
      <c r="O216" s="424"/>
      <c r="P216" s="424"/>
      <c r="Q216" s="435" t="n">
        <v>86</v>
      </c>
      <c r="R216" s="434" t="s">
        <v>670</v>
      </c>
      <c r="S216" s="424"/>
      <c r="T216" s="434" t="s">
        <v>671</v>
      </c>
      <c r="U216" s="434" t="s">
        <v>672</v>
      </c>
      <c r="V216" s="436" t="n">
        <f aca="false">AY221</f>
        <v>0</v>
      </c>
      <c r="BC216" s="428"/>
      <c r="BH216" s="437"/>
      <c r="BN216" s="427"/>
      <c r="BO216" s="428"/>
    </row>
    <row r="217" customFormat="false" ht="13.5" hidden="false" customHeight="false" outlineLevel="0" collapsed="false">
      <c r="A217" s="424"/>
      <c r="B217" s="424"/>
      <c r="C217" s="424"/>
      <c r="D217" s="424"/>
      <c r="E217" s="424"/>
      <c r="F217" s="424"/>
      <c r="G217" s="424"/>
      <c r="H217" s="424"/>
      <c r="I217" s="424"/>
      <c r="J217" s="424"/>
      <c r="K217" s="424"/>
      <c r="L217" s="424"/>
      <c r="M217" s="424"/>
      <c r="N217" s="424"/>
      <c r="O217" s="424"/>
      <c r="P217" s="424"/>
      <c r="Q217" s="435" t="n">
        <v>87</v>
      </c>
      <c r="R217" s="434" t="s">
        <v>673</v>
      </c>
      <c r="S217" s="424"/>
      <c r="T217" s="434" t="s">
        <v>674</v>
      </c>
      <c r="U217" s="434" t="s">
        <v>675</v>
      </c>
      <c r="V217" s="436" t="n">
        <f aca="false">AY222</f>
        <v>0</v>
      </c>
      <c r="BC217" s="428"/>
      <c r="BH217" s="437"/>
      <c r="BN217" s="427"/>
      <c r="BO217" s="428"/>
    </row>
    <row r="218" customFormat="false" ht="13.5" hidden="false" customHeight="false" outlineLevel="0" collapsed="false">
      <c r="A218" s="424"/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24"/>
      <c r="Q218" s="435" t="n">
        <v>88</v>
      </c>
      <c r="R218" s="434" t="s">
        <v>676</v>
      </c>
      <c r="S218" s="424"/>
      <c r="T218" s="434" t="s">
        <v>677</v>
      </c>
      <c r="U218" s="434" t="s">
        <v>678</v>
      </c>
      <c r="V218" s="436" t="n">
        <f aca="false">AY223</f>
        <v>0</v>
      </c>
      <c r="BC218" s="428"/>
      <c r="BH218" s="437"/>
      <c r="BN218" s="427"/>
      <c r="BO218" s="428"/>
    </row>
    <row r="219" customFormat="false" ht="13.5" hidden="false" customHeight="false" outlineLevel="0" collapsed="false">
      <c r="A219" s="424"/>
      <c r="B219" s="424"/>
      <c r="C219" s="424"/>
      <c r="D219" s="424"/>
      <c r="E219" s="424"/>
      <c r="F219" s="424"/>
      <c r="G219" s="424"/>
      <c r="H219" s="424"/>
      <c r="I219" s="424"/>
      <c r="J219" s="424"/>
      <c r="K219" s="424"/>
      <c r="L219" s="424"/>
      <c r="M219" s="424"/>
      <c r="N219" s="424"/>
      <c r="O219" s="424"/>
      <c r="P219" s="424"/>
      <c r="Q219" s="435" t="n">
        <v>89</v>
      </c>
      <c r="R219" s="434" t="s">
        <v>679</v>
      </c>
      <c r="S219" s="424"/>
      <c r="T219" s="434" t="s">
        <v>680</v>
      </c>
      <c r="U219" s="434" t="s">
        <v>681</v>
      </c>
      <c r="V219" s="436" t="n">
        <f aca="false">AY224</f>
        <v>0</v>
      </c>
      <c r="BC219" s="428"/>
      <c r="BH219" s="437"/>
      <c r="BN219" s="427"/>
      <c r="BO219" s="428"/>
    </row>
    <row r="220" customFormat="false" ht="13.5" hidden="false" customHeight="false" outlineLevel="0" collapsed="false">
      <c r="A220" s="424"/>
      <c r="B220" s="424"/>
      <c r="C220" s="424"/>
      <c r="D220" s="424"/>
      <c r="E220" s="424"/>
      <c r="F220" s="424"/>
      <c r="G220" s="424"/>
      <c r="H220" s="424"/>
      <c r="I220" s="424"/>
      <c r="J220" s="424"/>
      <c r="K220" s="424"/>
      <c r="L220" s="424"/>
      <c r="M220" s="424"/>
      <c r="N220" s="424"/>
      <c r="O220" s="424"/>
      <c r="P220" s="424"/>
      <c r="Q220" s="435" t="n">
        <v>90</v>
      </c>
      <c r="R220" s="434" t="s">
        <v>682</v>
      </c>
      <c r="S220" s="424"/>
      <c r="T220" s="434" t="s">
        <v>683</v>
      </c>
      <c r="U220" s="434" t="s">
        <v>684</v>
      </c>
      <c r="V220" s="436" t="n">
        <f aca="false">AY225</f>
        <v>0</v>
      </c>
      <c r="BC220" s="428"/>
      <c r="BH220" s="437"/>
      <c r="BN220" s="427"/>
      <c r="BO220" s="428"/>
    </row>
    <row r="221" customFormat="false" ht="13.5" hidden="false" customHeight="false" outlineLevel="0" collapsed="false">
      <c r="A221" s="424"/>
      <c r="B221" s="424"/>
      <c r="C221" s="424"/>
      <c r="D221" s="424"/>
      <c r="E221" s="424"/>
      <c r="F221" s="424"/>
      <c r="G221" s="424"/>
      <c r="H221" s="424"/>
      <c r="I221" s="424"/>
      <c r="J221" s="424"/>
      <c r="K221" s="424"/>
      <c r="L221" s="424"/>
      <c r="M221" s="424"/>
      <c r="N221" s="424"/>
      <c r="O221" s="424"/>
      <c r="P221" s="424"/>
      <c r="Q221" s="435" t="n">
        <v>91</v>
      </c>
      <c r="R221" s="434" t="s">
        <v>685</v>
      </c>
      <c r="S221" s="424"/>
      <c r="T221" s="434" t="s">
        <v>686</v>
      </c>
      <c r="U221" s="434" t="s">
        <v>687</v>
      </c>
      <c r="V221" s="436" t="n">
        <f aca="false">AY226</f>
        <v>0</v>
      </c>
      <c r="BC221" s="428"/>
      <c r="BN221" s="427"/>
      <c r="BO221" s="428"/>
    </row>
    <row r="222" customFormat="false" ht="13.5" hidden="false" customHeight="false" outlineLevel="0" collapsed="false">
      <c r="A222" s="424"/>
      <c r="B222" s="424"/>
      <c r="C222" s="424"/>
      <c r="D222" s="424"/>
      <c r="E222" s="424"/>
      <c r="F222" s="424"/>
      <c r="G222" s="424"/>
      <c r="H222" s="424"/>
      <c r="I222" s="424"/>
      <c r="J222" s="424"/>
      <c r="K222" s="424"/>
      <c r="L222" s="424"/>
      <c r="M222" s="424"/>
      <c r="N222" s="424"/>
      <c r="O222" s="424"/>
      <c r="P222" s="424"/>
      <c r="Q222" s="435" t="n">
        <v>92</v>
      </c>
      <c r="R222" s="434" t="s">
        <v>688</v>
      </c>
      <c r="S222" s="424"/>
      <c r="T222" s="434" t="s">
        <v>689</v>
      </c>
      <c r="U222" s="434" t="s">
        <v>690</v>
      </c>
      <c r="V222" s="436" t="n">
        <f aca="false">AY227</f>
        <v>0</v>
      </c>
      <c r="BC222" s="428"/>
      <c r="BN222" s="427"/>
      <c r="BO222" s="428"/>
    </row>
    <row r="223" customFormat="false" ht="13.5" hidden="false" customHeight="false" outlineLevel="0" collapsed="false">
      <c r="A223" s="424"/>
      <c r="B223" s="424"/>
      <c r="C223" s="424"/>
      <c r="D223" s="424"/>
      <c r="E223" s="424"/>
      <c r="F223" s="424"/>
      <c r="G223" s="424"/>
      <c r="H223" s="424"/>
      <c r="I223" s="424"/>
      <c r="J223" s="424"/>
      <c r="K223" s="424"/>
      <c r="L223" s="424"/>
      <c r="M223" s="424"/>
      <c r="N223" s="424"/>
      <c r="O223" s="424"/>
      <c r="P223" s="424"/>
      <c r="Q223" s="435" t="n">
        <v>93</v>
      </c>
      <c r="R223" s="434" t="s">
        <v>691</v>
      </c>
      <c r="S223" s="424"/>
      <c r="T223" s="434" t="s">
        <v>692</v>
      </c>
      <c r="U223" s="434" t="s">
        <v>693</v>
      </c>
      <c r="V223" s="436" t="n">
        <f aca="false">AY228</f>
        <v>0</v>
      </c>
      <c r="BC223" s="428"/>
      <c r="BN223" s="427"/>
      <c r="BO223" s="428"/>
    </row>
    <row r="224" customFormat="false" ht="13.5" hidden="false" customHeight="false" outlineLevel="0" collapsed="false">
      <c r="A224" s="424"/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24"/>
      <c r="Q224" s="435" t="n">
        <v>94</v>
      </c>
      <c r="R224" s="434" t="s">
        <v>694</v>
      </c>
      <c r="S224" s="424"/>
      <c r="T224" s="434" t="s">
        <v>695</v>
      </c>
      <c r="U224" s="434" t="s">
        <v>696</v>
      </c>
      <c r="V224" s="436" t="n">
        <f aca="false">AY229</f>
        <v>0</v>
      </c>
      <c r="BC224" s="428"/>
      <c r="BN224" s="427"/>
      <c r="BO224" s="428"/>
    </row>
    <row r="225" customFormat="false" ht="13.5" hidden="false" customHeight="false" outlineLevel="0" collapsed="false">
      <c r="A225" s="424"/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  <c r="M225" s="424"/>
      <c r="N225" s="424"/>
      <c r="O225" s="424"/>
      <c r="P225" s="424"/>
      <c r="Q225" s="435" t="n">
        <v>95</v>
      </c>
      <c r="R225" s="434" t="s">
        <v>697</v>
      </c>
      <c r="S225" s="424"/>
      <c r="T225" s="434" t="s">
        <v>698</v>
      </c>
      <c r="U225" s="434" t="s">
        <v>699</v>
      </c>
      <c r="V225" s="436" t="n">
        <f aca="false">AY230</f>
        <v>0</v>
      </c>
      <c r="BC225" s="428"/>
      <c r="BN225" s="427"/>
      <c r="BO225" s="428"/>
    </row>
    <row r="226" customFormat="false" ht="13.5" hidden="false" customHeight="false" outlineLevel="0" collapsed="false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  <c r="M226" s="424"/>
      <c r="N226" s="424"/>
      <c r="O226" s="424"/>
      <c r="P226" s="424"/>
      <c r="Q226" s="435" t="n">
        <v>96</v>
      </c>
      <c r="R226" s="434" t="s">
        <v>700</v>
      </c>
      <c r="S226" s="424"/>
      <c r="T226" s="434" t="s">
        <v>701</v>
      </c>
      <c r="U226" s="434" t="s">
        <v>702</v>
      </c>
      <c r="V226" s="436" t="n">
        <f aca="false">AY231</f>
        <v>0</v>
      </c>
      <c r="BC226" s="428"/>
      <c r="BN226" s="427"/>
      <c r="BO226" s="428"/>
    </row>
    <row r="227" customFormat="false" ht="13.5" hidden="false" customHeight="false" outlineLevel="0" collapsed="false">
      <c r="A227" s="424"/>
      <c r="B227" s="424"/>
      <c r="C227" s="424"/>
      <c r="D227" s="424"/>
      <c r="E227" s="424"/>
      <c r="F227" s="424"/>
      <c r="G227" s="424"/>
      <c r="H227" s="424"/>
      <c r="I227" s="424"/>
      <c r="J227" s="424"/>
      <c r="K227" s="424"/>
      <c r="L227" s="424"/>
      <c r="M227" s="424"/>
      <c r="N227" s="424"/>
      <c r="O227" s="424"/>
      <c r="P227" s="424"/>
      <c r="Q227" s="435" t="n">
        <v>97</v>
      </c>
      <c r="R227" s="434" t="s">
        <v>703</v>
      </c>
      <c r="S227" s="424"/>
      <c r="T227" s="434" t="s">
        <v>704</v>
      </c>
      <c r="U227" s="434" t="s">
        <v>705</v>
      </c>
      <c r="V227" s="436" t="n">
        <f aca="false">AY232</f>
        <v>0</v>
      </c>
      <c r="BC227" s="428"/>
      <c r="BN227" s="427"/>
      <c r="BO227" s="428"/>
    </row>
    <row r="228" customFormat="false" ht="13.5" hidden="false" customHeight="false" outlineLevel="0" collapsed="false">
      <c r="A228" s="424"/>
      <c r="B228" s="424"/>
      <c r="C228" s="424"/>
      <c r="D228" s="424"/>
      <c r="E228" s="424"/>
      <c r="F228" s="424"/>
      <c r="G228" s="424"/>
      <c r="H228" s="424"/>
      <c r="I228" s="424"/>
      <c r="J228" s="424"/>
      <c r="K228" s="424"/>
      <c r="L228" s="424"/>
      <c r="M228" s="424"/>
      <c r="N228" s="424"/>
      <c r="O228" s="424"/>
      <c r="P228" s="424"/>
      <c r="Q228" s="435" t="n">
        <v>98</v>
      </c>
      <c r="R228" s="434" t="s">
        <v>706</v>
      </c>
      <c r="S228" s="424"/>
      <c r="T228" s="434" t="s">
        <v>707</v>
      </c>
      <c r="U228" s="434" t="s">
        <v>708</v>
      </c>
      <c r="V228" s="436" t="n">
        <f aca="false">AY233</f>
        <v>0</v>
      </c>
      <c r="BC228" s="428"/>
      <c r="BN228" s="427"/>
      <c r="BO228" s="428"/>
    </row>
    <row r="229" customFormat="false" ht="13.5" hidden="false" customHeight="false" outlineLevel="0" collapsed="false">
      <c r="A229" s="424"/>
      <c r="B229" s="424"/>
      <c r="C229" s="424"/>
      <c r="D229" s="424"/>
      <c r="E229" s="424"/>
      <c r="F229" s="424"/>
      <c r="G229" s="424"/>
      <c r="H229" s="424"/>
      <c r="I229" s="424"/>
      <c r="J229" s="424"/>
      <c r="K229" s="424"/>
      <c r="L229" s="424"/>
      <c r="M229" s="424"/>
      <c r="N229" s="424"/>
      <c r="O229" s="424"/>
      <c r="P229" s="424"/>
      <c r="Q229" s="435" t="n">
        <v>99</v>
      </c>
      <c r="R229" s="434" t="s">
        <v>709</v>
      </c>
      <c r="S229" s="424"/>
      <c r="T229" s="434" t="s">
        <v>710</v>
      </c>
      <c r="U229" s="434" t="s">
        <v>711</v>
      </c>
      <c r="V229" s="436" t="n">
        <f aca="false">AY234</f>
        <v>0</v>
      </c>
      <c r="BC229" s="428"/>
      <c r="BN229" s="427"/>
      <c r="BO229" s="428"/>
    </row>
    <row r="230" customFormat="false" ht="13.5" hidden="false" customHeight="false" outlineLevel="0" collapsed="false">
      <c r="A230" s="424"/>
      <c r="B230" s="424"/>
      <c r="C230" s="424"/>
      <c r="D230" s="424"/>
      <c r="E230" s="424"/>
      <c r="F230" s="424"/>
      <c r="G230" s="424"/>
      <c r="H230" s="424"/>
      <c r="I230" s="424"/>
      <c r="J230" s="424"/>
      <c r="K230" s="424"/>
      <c r="L230" s="424"/>
      <c r="M230" s="424"/>
      <c r="N230" s="424"/>
      <c r="O230" s="424"/>
      <c r="P230" s="424"/>
      <c r="Q230" s="424"/>
      <c r="R230" s="424"/>
      <c r="S230" s="424"/>
      <c r="T230" s="424"/>
      <c r="U230" s="424"/>
      <c r="V230" s="436" t="n">
        <f aca="false">AY235</f>
        <v>0</v>
      </c>
      <c r="BC230" s="428"/>
      <c r="BN230" s="427"/>
      <c r="BO230" s="428"/>
    </row>
    <row r="231" customFormat="false" ht="13.5" hidden="false" customHeight="false" outlineLevel="0" collapsed="false">
      <c r="A231" s="424"/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24"/>
      <c r="Q231" s="424"/>
      <c r="R231" s="424"/>
      <c r="S231" s="424"/>
      <c r="T231" s="424"/>
      <c r="U231" s="424"/>
      <c r="V231" s="436" t="n">
        <f aca="false">AY236</f>
        <v>0</v>
      </c>
      <c r="BC231" s="428"/>
      <c r="BN231" s="427"/>
      <c r="BO231" s="428"/>
    </row>
    <row r="232" customFormat="false" ht="13.5" hidden="false" customHeight="false" outlineLevel="0" collapsed="false">
      <c r="A232" s="424"/>
      <c r="B232" s="424"/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  <c r="P232" s="424"/>
      <c r="Q232" s="424"/>
      <c r="R232" s="424"/>
      <c r="S232" s="424"/>
      <c r="T232" s="424"/>
      <c r="U232" s="424"/>
      <c r="V232" s="436" t="n">
        <f aca="false">AY237</f>
        <v>0</v>
      </c>
      <c r="BN232" s="427"/>
      <c r="BO232" s="428"/>
    </row>
    <row r="233" customFormat="false" ht="13.5" hidden="false" customHeight="false" outlineLevel="0" collapsed="false">
      <c r="A233" s="424"/>
      <c r="B233" s="424"/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24"/>
      <c r="V233" s="436" t="n">
        <f aca="false">AY238</f>
        <v>0</v>
      </c>
      <c r="BN233" s="427"/>
      <c r="BO233" s="428"/>
    </row>
    <row r="234" customFormat="false" ht="13.5" hidden="false" customHeight="false" outlineLevel="0" collapsed="false">
      <c r="A234" s="424"/>
      <c r="B234" s="424"/>
      <c r="C234" s="424"/>
      <c r="D234" s="424"/>
      <c r="E234" s="424"/>
      <c r="F234" s="424"/>
      <c r="G234" s="424"/>
      <c r="H234" s="424"/>
      <c r="I234" s="424"/>
      <c r="J234" s="424"/>
      <c r="K234" s="424"/>
      <c r="L234" s="424"/>
      <c r="M234" s="424"/>
      <c r="N234" s="424"/>
      <c r="O234" s="424"/>
      <c r="P234" s="424"/>
      <c r="Q234" s="424"/>
      <c r="R234" s="424"/>
      <c r="S234" s="424"/>
      <c r="T234" s="424"/>
      <c r="U234" s="424"/>
      <c r="V234" s="436" t="n">
        <f aca="false">AY239</f>
        <v>0</v>
      </c>
      <c r="BN234" s="427"/>
      <c r="BO234" s="428"/>
    </row>
    <row r="235" customFormat="false" ht="13.5" hidden="false" customHeight="false" outlineLevel="0" collapsed="false">
      <c r="A235" s="424"/>
      <c r="B235" s="424"/>
      <c r="C235" s="424"/>
      <c r="D235" s="424"/>
      <c r="E235" s="424"/>
      <c r="F235" s="424"/>
      <c r="G235" s="424"/>
      <c r="H235" s="424"/>
      <c r="I235" s="424"/>
      <c r="J235" s="424"/>
      <c r="K235" s="424"/>
      <c r="L235" s="424"/>
      <c r="M235" s="424"/>
      <c r="N235" s="424"/>
      <c r="O235" s="424"/>
      <c r="P235" s="424"/>
      <c r="Q235" s="424"/>
      <c r="R235" s="424"/>
      <c r="S235" s="424"/>
      <c r="T235" s="424"/>
      <c r="U235" s="424"/>
      <c r="V235" s="436" t="n">
        <f aca="false">AY240</f>
        <v>0</v>
      </c>
      <c r="BN235" s="427"/>
      <c r="BO235" s="428"/>
    </row>
    <row r="236" customFormat="false" ht="13.5" hidden="false" customHeight="false" outlineLevel="0" collapsed="false">
      <c r="A236" s="424"/>
      <c r="B236" s="424"/>
      <c r="C236" s="424"/>
      <c r="D236" s="424"/>
      <c r="E236" s="424"/>
      <c r="F236" s="424"/>
      <c r="G236" s="424"/>
      <c r="H236" s="424"/>
      <c r="I236" s="424"/>
      <c r="J236" s="424"/>
      <c r="K236" s="424"/>
      <c r="L236" s="424"/>
      <c r="M236" s="424"/>
      <c r="N236" s="424"/>
      <c r="O236" s="424"/>
      <c r="P236" s="424"/>
      <c r="Q236" s="424"/>
      <c r="R236" s="424"/>
      <c r="S236" s="424"/>
      <c r="T236" s="424"/>
      <c r="U236" s="424"/>
      <c r="V236" s="436" t="n">
        <f aca="false">AY241</f>
        <v>0</v>
      </c>
      <c r="BN236" s="427"/>
      <c r="BO236" s="428"/>
    </row>
    <row r="237" customFormat="false" ht="13.5" hidden="false" customHeight="false" outlineLevel="0" collapsed="false">
      <c r="A237" s="424"/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36" t="n">
        <f aca="false">AY242</f>
        <v>0</v>
      </c>
      <c r="BN237" s="427"/>
      <c r="BO237" s="428"/>
    </row>
    <row r="238" customFormat="false" ht="13.5" hidden="false" customHeight="false" outlineLevel="0" collapsed="false">
      <c r="A238" s="424"/>
      <c r="B238" s="424"/>
      <c r="C238" s="424"/>
      <c r="D238" s="424"/>
      <c r="E238" s="424"/>
      <c r="F238" s="424"/>
      <c r="G238" s="424"/>
      <c r="H238" s="424"/>
      <c r="I238" s="424"/>
      <c r="J238" s="424"/>
      <c r="K238" s="424"/>
      <c r="L238" s="424"/>
      <c r="M238" s="424"/>
      <c r="N238" s="424"/>
      <c r="O238" s="424"/>
      <c r="P238" s="424"/>
      <c r="Q238" s="424"/>
      <c r="R238" s="424"/>
      <c r="S238" s="424"/>
      <c r="T238" s="424"/>
      <c r="U238" s="424"/>
      <c r="V238" s="436" t="n">
        <f aca="false">AY243</f>
        <v>0</v>
      </c>
      <c r="BN238" s="427"/>
      <c r="BO238" s="428"/>
    </row>
    <row r="239" customFormat="false" ht="13.5" hidden="false" customHeight="false" outlineLevel="0" collapsed="false">
      <c r="A239" s="424"/>
      <c r="B239" s="424"/>
      <c r="C239" s="424"/>
      <c r="D239" s="424"/>
      <c r="E239" s="424"/>
      <c r="F239" s="424"/>
      <c r="G239" s="424"/>
      <c r="H239" s="424"/>
      <c r="I239" s="424"/>
      <c r="J239" s="424"/>
      <c r="K239" s="424"/>
      <c r="L239" s="424"/>
      <c r="M239" s="424"/>
      <c r="N239" s="424"/>
      <c r="O239" s="424"/>
      <c r="P239" s="424"/>
      <c r="Q239" s="424"/>
      <c r="R239" s="424"/>
      <c r="S239" s="424"/>
      <c r="T239" s="424"/>
      <c r="U239" s="424"/>
      <c r="V239" s="436" t="n">
        <f aca="false">AY244</f>
        <v>0</v>
      </c>
      <c r="BN239" s="427"/>
      <c r="BO239" s="428"/>
    </row>
    <row r="240" customFormat="false" ht="13.5" hidden="false" customHeight="false" outlineLevel="0" collapsed="false">
      <c r="A240" s="424"/>
      <c r="B240" s="424"/>
      <c r="C240" s="424"/>
      <c r="D240" s="424"/>
      <c r="E240" s="424"/>
      <c r="F240" s="424"/>
      <c r="G240" s="424"/>
      <c r="H240" s="424"/>
      <c r="I240" s="424"/>
      <c r="J240" s="424"/>
      <c r="K240" s="424"/>
      <c r="L240" s="424"/>
      <c r="M240" s="424"/>
      <c r="N240" s="424"/>
      <c r="O240" s="424"/>
      <c r="P240" s="424"/>
      <c r="Q240" s="424"/>
      <c r="R240" s="424"/>
      <c r="S240" s="424"/>
      <c r="T240" s="424"/>
      <c r="U240" s="424"/>
      <c r="V240" s="436" t="n">
        <f aca="false">AY245</f>
        <v>0</v>
      </c>
      <c r="BN240" s="427"/>
      <c r="BO240" s="428"/>
    </row>
    <row r="241" customFormat="false" ht="13.5" hidden="false" customHeight="false" outlineLevel="0" collapsed="false">
      <c r="A241" s="424"/>
      <c r="B241" s="424"/>
      <c r="C241" s="424"/>
      <c r="D241" s="424"/>
      <c r="E241" s="424"/>
      <c r="F241" s="424"/>
      <c r="G241" s="424"/>
      <c r="H241" s="424"/>
      <c r="I241" s="424"/>
      <c r="J241" s="424"/>
      <c r="K241" s="424"/>
      <c r="L241" s="424"/>
      <c r="M241" s="424"/>
      <c r="N241" s="424"/>
      <c r="O241" s="424"/>
      <c r="P241" s="424"/>
      <c r="Q241" s="424"/>
      <c r="R241" s="424"/>
      <c r="S241" s="424"/>
      <c r="T241" s="424"/>
      <c r="U241" s="424"/>
      <c r="V241" s="436" t="n">
        <f aca="false">AY246</f>
        <v>0</v>
      </c>
      <c r="BN241" s="427"/>
      <c r="BO241" s="428"/>
    </row>
    <row r="242" customFormat="false" ht="13.5" hidden="false" customHeight="false" outlineLevel="0" collapsed="false">
      <c r="A242" s="424"/>
      <c r="B242" s="424"/>
      <c r="C242" s="424"/>
      <c r="D242" s="424"/>
      <c r="E242" s="424"/>
      <c r="F242" s="424"/>
      <c r="G242" s="424"/>
      <c r="H242" s="424"/>
      <c r="I242" s="424"/>
      <c r="J242" s="424"/>
      <c r="K242" s="424"/>
      <c r="L242" s="424"/>
      <c r="M242" s="424"/>
      <c r="N242" s="424"/>
      <c r="O242" s="424"/>
      <c r="P242" s="424"/>
      <c r="Q242" s="424"/>
      <c r="R242" s="424"/>
      <c r="S242" s="424"/>
      <c r="T242" s="424"/>
      <c r="U242" s="424"/>
      <c r="V242" s="436" t="n">
        <f aca="false">AY247</f>
        <v>0</v>
      </c>
      <c r="BN242" s="427"/>
      <c r="BO242" s="428"/>
    </row>
    <row r="243" customFormat="false" ht="13.5" hidden="false" customHeight="false" outlineLevel="0" collapsed="false">
      <c r="A243" s="424"/>
      <c r="B243" s="424"/>
      <c r="C243" s="424"/>
      <c r="D243" s="424"/>
      <c r="E243" s="424"/>
      <c r="F243" s="424"/>
      <c r="G243" s="424"/>
      <c r="H243" s="424"/>
      <c r="I243" s="424"/>
      <c r="J243" s="424"/>
      <c r="K243" s="424"/>
      <c r="L243" s="424"/>
      <c r="M243" s="424"/>
      <c r="N243" s="424"/>
      <c r="O243" s="424"/>
      <c r="P243" s="424"/>
      <c r="Q243" s="424"/>
      <c r="R243" s="424"/>
      <c r="S243" s="424"/>
      <c r="T243" s="424"/>
      <c r="U243" s="424"/>
      <c r="V243" s="436" t="n">
        <f aca="false">AY248</f>
        <v>0</v>
      </c>
      <c r="BN243" s="427"/>
      <c r="BO243" s="428"/>
    </row>
    <row r="244" customFormat="false" ht="13.5" hidden="false" customHeight="false" outlineLevel="0" collapsed="false">
      <c r="A244" s="424"/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24"/>
      <c r="Q244" s="424"/>
      <c r="R244" s="424"/>
      <c r="S244" s="424"/>
      <c r="T244" s="424"/>
      <c r="U244" s="424"/>
      <c r="V244" s="436" t="n">
        <f aca="false">AY249</f>
        <v>0</v>
      </c>
      <c r="BN244" s="427"/>
      <c r="BO244" s="428"/>
    </row>
    <row r="245" customFormat="false" ht="13.5" hidden="false" customHeight="false" outlineLevel="0" collapsed="false">
      <c r="A245" s="424"/>
      <c r="B245" s="424"/>
      <c r="C245" s="424"/>
      <c r="D245" s="424"/>
      <c r="E245" s="424"/>
      <c r="F245" s="424"/>
      <c r="G245" s="424"/>
      <c r="H245" s="424"/>
      <c r="I245" s="424"/>
      <c r="J245" s="424"/>
      <c r="K245" s="424"/>
      <c r="L245" s="424"/>
      <c r="M245" s="424"/>
      <c r="N245" s="424"/>
      <c r="O245" s="424"/>
      <c r="P245" s="424"/>
      <c r="Q245" s="424"/>
      <c r="R245" s="424"/>
      <c r="S245" s="424"/>
      <c r="T245" s="424"/>
      <c r="U245" s="424"/>
      <c r="V245" s="436" t="n">
        <f aca="false">AY250</f>
        <v>0</v>
      </c>
      <c r="BN245" s="427"/>
      <c r="BO245" s="428"/>
    </row>
    <row r="246" customFormat="false" ht="13.5" hidden="false" customHeight="false" outlineLevel="0" collapsed="false">
      <c r="A246" s="424"/>
      <c r="B246" s="424"/>
      <c r="C246" s="424"/>
      <c r="D246" s="424"/>
      <c r="E246" s="424"/>
      <c r="F246" s="424"/>
      <c r="G246" s="424"/>
      <c r="H246" s="424"/>
      <c r="I246" s="424"/>
      <c r="J246" s="424"/>
      <c r="K246" s="424"/>
      <c r="L246" s="424"/>
      <c r="M246" s="424"/>
      <c r="N246" s="424"/>
      <c r="O246" s="424"/>
      <c r="P246" s="424"/>
      <c r="Q246" s="424"/>
      <c r="R246" s="424"/>
      <c r="S246" s="424"/>
      <c r="T246" s="424"/>
      <c r="U246" s="424"/>
      <c r="V246" s="436" t="n">
        <f aca="false">AY251</f>
        <v>0</v>
      </c>
      <c r="BN246" s="427"/>
      <c r="BO246" s="428"/>
    </row>
    <row r="247" customFormat="false" ht="13.5" hidden="false" customHeight="false" outlineLevel="0" collapsed="false">
      <c r="A247" s="424"/>
      <c r="B247" s="424"/>
      <c r="C247" s="424"/>
      <c r="D247" s="424"/>
      <c r="E247" s="424"/>
      <c r="F247" s="424"/>
      <c r="G247" s="424"/>
      <c r="H247" s="424"/>
      <c r="I247" s="424"/>
      <c r="J247" s="424"/>
      <c r="K247" s="424"/>
      <c r="L247" s="424"/>
      <c r="M247" s="424"/>
      <c r="N247" s="424"/>
      <c r="O247" s="424"/>
      <c r="P247" s="424"/>
      <c r="Q247" s="424"/>
      <c r="R247" s="424"/>
      <c r="S247" s="424"/>
      <c r="T247" s="424"/>
      <c r="U247" s="424"/>
      <c r="V247" s="436" t="n">
        <f aca="false">AY252</f>
        <v>0</v>
      </c>
      <c r="BN247" s="427"/>
      <c r="BO247" s="428"/>
    </row>
    <row r="248" customFormat="false" ht="13.5" hidden="false" customHeight="false" outlineLevel="0" collapsed="false">
      <c r="A248" s="424"/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24"/>
      <c r="Q248" s="424"/>
      <c r="R248" s="424"/>
      <c r="S248" s="424"/>
      <c r="T248" s="424"/>
      <c r="U248" s="424"/>
      <c r="V248" s="436"/>
      <c r="BN248" s="427"/>
      <c r="BO248" s="428"/>
    </row>
    <row r="249" customFormat="false" ht="13.5" hidden="false" customHeight="false" outlineLevel="0" collapsed="false">
      <c r="BN249" s="427"/>
      <c r="BO249" s="428"/>
    </row>
    <row r="250" customFormat="false" ht="13.5" hidden="false" customHeight="false" outlineLevel="0" collapsed="false">
      <c r="A250" s="424"/>
      <c r="B250" s="424"/>
      <c r="C250" s="424"/>
      <c r="D250" s="424"/>
      <c r="E250" s="424"/>
      <c r="F250" s="424"/>
      <c r="G250" s="424"/>
      <c r="H250" s="424"/>
      <c r="I250" s="424"/>
      <c r="J250" s="424"/>
      <c r="K250" s="424"/>
      <c r="L250" s="424"/>
      <c r="M250" s="424"/>
      <c r="N250" s="424"/>
      <c r="O250" s="424"/>
      <c r="P250" s="424"/>
      <c r="Q250" s="424"/>
      <c r="R250" s="424"/>
      <c r="S250" s="424"/>
      <c r="T250" s="424"/>
      <c r="U250" s="424"/>
      <c r="V250" s="424"/>
      <c r="BN250" s="427"/>
      <c r="BO250" s="428"/>
    </row>
    <row r="251" customFormat="false" ht="13.5" hidden="false" customHeight="false" outlineLevel="0" collapsed="false">
      <c r="A251" s="424"/>
      <c r="B251" s="424"/>
      <c r="C251" s="424"/>
      <c r="D251" s="424"/>
      <c r="E251" s="424"/>
      <c r="F251" s="424"/>
      <c r="G251" s="424"/>
      <c r="H251" s="424"/>
      <c r="I251" s="424"/>
      <c r="J251" s="424"/>
      <c r="K251" s="424"/>
      <c r="L251" s="424"/>
      <c r="M251" s="424"/>
      <c r="N251" s="424"/>
      <c r="O251" s="424"/>
      <c r="P251" s="424"/>
      <c r="Q251" s="424"/>
      <c r="R251" s="424"/>
      <c r="S251" s="424"/>
      <c r="T251" s="424"/>
      <c r="U251" s="424"/>
      <c r="V251" s="424"/>
      <c r="BN251" s="427"/>
      <c r="BO251" s="428"/>
    </row>
    <row r="252" customFormat="false" ht="13.5" hidden="false" customHeight="false" outlineLevel="0" collapsed="false">
      <c r="A252" s="424"/>
      <c r="B252" s="424"/>
      <c r="C252" s="424"/>
      <c r="D252" s="424"/>
      <c r="E252" s="424"/>
      <c r="F252" s="424"/>
      <c r="G252" s="424"/>
      <c r="H252" s="424"/>
      <c r="I252" s="424"/>
      <c r="J252" s="424"/>
      <c r="K252" s="424"/>
      <c r="L252" s="424"/>
      <c r="M252" s="424"/>
      <c r="N252" s="424"/>
      <c r="O252" s="424"/>
      <c r="P252" s="424"/>
      <c r="Q252" s="424"/>
      <c r="R252" s="434" t="s">
        <v>400</v>
      </c>
      <c r="S252" s="424"/>
      <c r="T252" s="424"/>
      <c r="U252" s="424"/>
      <c r="V252" s="435" t="n">
        <f aca="false">SUM(V254:V286)</f>
        <v>0</v>
      </c>
      <c r="BN252" s="427"/>
      <c r="BO252" s="428"/>
    </row>
    <row r="253" customFormat="false" ht="13.5" hidden="false" customHeight="false" outlineLevel="0" collapsed="false">
      <c r="A253" s="424"/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  <c r="M253" s="424"/>
      <c r="N253" s="424"/>
      <c r="O253" s="424"/>
      <c r="P253" s="424"/>
      <c r="Q253" s="435" t="n">
        <v>0</v>
      </c>
      <c r="R253" s="424"/>
      <c r="S253" s="435" t="n">
        <v>0</v>
      </c>
      <c r="T253" s="424"/>
      <c r="U253" s="424"/>
      <c r="V253" s="436" t="n">
        <f aca="false">AY253</f>
        <v>0</v>
      </c>
      <c r="BN253" s="427"/>
      <c r="BO253" s="428"/>
    </row>
    <row r="254" customFormat="false" ht="13.5" hidden="false" customHeight="false" outlineLevel="0" collapsed="false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  <c r="M254" s="424"/>
      <c r="N254" s="424"/>
      <c r="O254" s="424"/>
      <c r="P254" s="424"/>
      <c r="Q254" s="435" t="n">
        <v>1</v>
      </c>
      <c r="R254" s="434" t="s">
        <v>401</v>
      </c>
      <c r="S254" s="434" t="s">
        <v>402</v>
      </c>
      <c r="T254" s="434" t="s">
        <v>403</v>
      </c>
      <c r="U254" s="434" t="s">
        <v>404</v>
      </c>
      <c r="V254" s="436" t="n">
        <f aca="false">AY254</f>
        <v>0</v>
      </c>
      <c r="BN254" s="427"/>
      <c r="BO254" s="428"/>
    </row>
    <row r="255" customFormat="false" ht="13.5" hidden="false" customHeight="false" outlineLevel="0" collapsed="false">
      <c r="A255" s="424"/>
      <c r="B255" s="424"/>
      <c r="C255" s="424"/>
      <c r="D255" s="424"/>
      <c r="E255" s="424"/>
      <c r="F255" s="424"/>
      <c r="G255" s="424"/>
      <c r="H255" s="424"/>
      <c r="I255" s="424"/>
      <c r="J255" s="424"/>
      <c r="K255" s="424"/>
      <c r="L255" s="424"/>
      <c r="M255" s="424"/>
      <c r="N255" s="424"/>
      <c r="O255" s="424"/>
      <c r="P255" s="424"/>
      <c r="Q255" s="435" t="n">
        <v>2</v>
      </c>
      <c r="R255" s="434" t="s">
        <v>405</v>
      </c>
      <c r="S255" s="434" t="s">
        <v>406</v>
      </c>
      <c r="T255" s="434" t="s">
        <v>407</v>
      </c>
      <c r="U255" s="434" t="s">
        <v>408</v>
      </c>
      <c r="V255" s="436" t="n">
        <f aca="false">AY255</f>
        <v>0</v>
      </c>
      <c r="BN255" s="427"/>
      <c r="BO255" s="428"/>
    </row>
    <row r="256" customFormat="false" ht="13.5" hidden="false" customHeight="false" outlineLevel="0" collapsed="false">
      <c r="A256" s="424"/>
      <c r="B256" s="424"/>
      <c r="C256" s="424"/>
      <c r="D256" s="424"/>
      <c r="E256" s="424"/>
      <c r="F256" s="424"/>
      <c r="G256" s="424"/>
      <c r="H256" s="424"/>
      <c r="I256" s="424"/>
      <c r="J256" s="424"/>
      <c r="K256" s="424"/>
      <c r="L256" s="424"/>
      <c r="M256" s="424"/>
      <c r="N256" s="424"/>
      <c r="O256" s="424"/>
      <c r="P256" s="424"/>
      <c r="Q256" s="435" t="n">
        <v>3</v>
      </c>
      <c r="R256" s="434" t="s">
        <v>409</v>
      </c>
      <c r="S256" s="434" t="s">
        <v>410</v>
      </c>
      <c r="T256" s="434" t="s">
        <v>411</v>
      </c>
      <c r="U256" s="434" t="s">
        <v>412</v>
      </c>
      <c r="V256" s="436" t="n">
        <f aca="false">AY256</f>
        <v>0</v>
      </c>
      <c r="BN256" s="427"/>
      <c r="BO256" s="428"/>
    </row>
    <row r="257" customFormat="false" ht="13.5" hidden="false" customHeight="false" outlineLevel="0" collapsed="false">
      <c r="A257" s="424"/>
      <c r="B257" s="424"/>
      <c r="C257" s="424"/>
      <c r="D257" s="424"/>
      <c r="E257" s="424"/>
      <c r="F257" s="424"/>
      <c r="G257" s="424"/>
      <c r="H257" s="424"/>
      <c r="I257" s="424"/>
      <c r="J257" s="424"/>
      <c r="K257" s="424"/>
      <c r="L257" s="424"/>
      <c r="M257" s="424"/>
      <c r="N257" s="424"/>
      <c r="O257" s="424"/>
      <c r="P257" s="424"/>
      <c r="Q257" s="435" t="n">
        <v>4</v>
      </c>
      <c r="R257" s="434" t="s">
        <v>413</v>
      </c>
      <c r="S257" s="434" t="s">
        <v>414</v>
      </c>
      <c r="T257" s="434" t="s">
        <v>415</v>
      </c>
      <c r="U257" s="434" t="s">
        <v>416</v>
      </c>
      <c r="V257" s="436" t="n">
        <f aca="false">AY257</f>
        <v>0</v>
      </c>
      <c r="BN257" s="427"/>
      <c r="BO257" s="428"/>
    </row>
    <row r="258" customFormat="false" ht="13.5" hidden="false" customHeight="false" outlineLevel="0" collapsed="false">
      <c r="A258" s="424"/>
      <c r="B258" s="424"/>
      <c r="C258" s="424"/>
      <c r="D258" s="424"/>
      <c r="E258" s="424"/>
      <c r="F258" s="424"/>
      <c r="G258" s="424"/>
      <c r="H258" s="424"/>
      <c r="I258" s="424"/>
      <c r="J258" s="424"/>
      <c r="K258" s="424"/>
      <c r="L258" s="424"/>
      <c r="M258" s="424"/>
      <c r="N258" s="424"/>
      <c r="O258" s="424"/>
      <c r="P258" s="438" t="s">
        <v>417</v>
      </c>
      <c r="Q258" s="435" t="n">
        <v>5</v>
      </c>
      <c r="R258" s="434" t="s">
        <v>418</v>
      </c>
      <c r="S258" s="434" t="s">
        <v>419</v>
      </c>
      <c r="T258" s="434" t="s">
        <v>420</v>
      </c>
      <c r="U258" s="434" t="s">
        <v>421</v>
      </c>
      <c r="V258" s="436" t="n">
        <f aca="false">AY258</f>
        <v>0</v>
      </c>
      <c r="BN258" s="427"/>
      <c r="BO258" s="428"/>
    </row>
    <row r="259" customFormat="false" ht="13.5" hidden="false" customHeight="false" outlineLevel="0" collapsed="false">
      <c r="A259" s="424"/>
      <c r="B259" s="424"/>
      <c r="C259" s="424"/>
      <c r="D259" s="424"/>
      <c r="E259" s="424"/>
      <c r="F259" s="424"/>
      <c r="G259" s="424"/>
      <c r="H259" s="424"/>
      <c r="I259" s="424"/>
      <c r="J259" s="424"/>
      <c r="K259" s="424"/>
      <c r="L259" s="424"/>
      <c r="M259" s="424"/>
      <c r="N259" s="424"/>
      <c r="O259" s="424"/>
      <c r="P259" s="438" t="s">
        <v>417</v>
      </c>
      <c r="Q259" s="435" t="n">
        <v>6</v>
      </c>
      <c r="R259" s="434" t="s">
        <v>422</v>
      </c>
      <c r="S259" s="434" t="s">
        <v>423</v>
      </c>
      <c r="T259" s="434" t="s">
        <v>424</v>
      </c>
      <c r="U259" s="434" t="s">
        <v>425</v>
      </c>
      <c r="V259" s="436" t="n">
        <f aca="false">AY259</f>
        <v>0</v>
      </c>
      <c r="BN259" s="427"/>
      <c r="BO259" s="428"/>
    </row>
    <row r="260" customFormat="false" ht="13.5" hidden="false" customHeight="false" outlineLevel="0" collapsed="false">
      <c r="A260" s="424"/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38" t="s">
        <v>417</v>
      </c>
      <c r="Q260" s="435" t="n">
        <v>7</v>
      </c>
      <c r="R260" s="434" t="s">
        <v>426</v>
      </c>
      <c r="S260" s="434" t="s">
        <v>427</v>
      </c>
      <c r="T260" s="434" t="s">
        <v>428</v>
      </c>
      <c r="U260" s="434" t="s">
        <v>429</v>
      </c>
      <c r="V260" s="436" t="n">
        <f aca="false">AY260</f>
        <v>0</v>
      </c>
      <c r="BN260" s="427"/>
      <c r="BO260" s="428"/>
    </row>
    <row r="261" customFormat="false" ht="13.5" hidden="false" customHeight="false" outlineLevel="0" collapsed="false">
      <c r="A261" s="424"/>
      <c r="B261" s="424"/>
      <c r="C261" s="424"/>
      <c r="D261" s="424"/>
      <c r="E261" s="424"/>
      <c r="F261" s="424"/>
      <c r="G261" s="424"/>
      <c r="H261" s="424"/>
      <c r="I261" s="424"/>
      <c r="J261" s="424"/>
      <c r="K261" s="424"/>
      <c r="L261" s="424"/>
      <c r="M261" s="424"/>
      <c r="N261" s="424"/>
      <c r="O261" s="424"/>
      <c r="P261" s="438" t="s">
        <v>417</v>
      </c>
      <c r="Q261" s="435" t="n">
        <v>8</v>
      </c>
      <c r="R261" s="434" t="s">
        <v>430</v>
      </c>
      <c r="S261" s="434" t="s">
        <v>431</v>
      </c>
      <c r="T261" s="434" t="s">
        <v>432</v>
      </c>
      <c r="U261" s="434" t="s">
        <v>433</v>
      </c>
      <c r="V261" s="436" t="n">
        <f aca="false">AY261</f>
        <v>0</v>
      </c>
      <c r="BN261" s="427"/>
      <c r="BO261" s="428"/>
    </row>
    <row r="262" customFormat="false" ht="13.5" hidden="false" customHeight="false" outlineLevel="0" collapsed="false">
      <c r="A262" s="424"/>
      <c r="B262" s="424"/>
      <c r="C262" s="424"/>
      <c r="D262" s="424"/>
      <c r="E262" s="424"/>
      <c r="F262" s="424"/>
      <c r="G262" s="424"/>
      <c r="H262" s="424"/>
      <c r="I262" s="424"/>
      <c r="J262" s="424"/>
      <c r="K262" s="424"/>
      <c r="L262" s="424"/>
      <c r="M262" s="424"/>
      <c r="N262" s="424"/>
      <c r="O262" s="424"/>
      <c r="P262" s="438" t="s">
        <v>417</v>
      </c>
      <c r="Q262" s="435" t="n">
        <v>9</v>
      </c>
      <c r="R262" s="434" t="s">
        <v>434</v>
      </c>
      <c r="S262" s="434" t="s">
        <v>435</v>
      </c>
      <c r="T262" s="434" t="s">
        <v>436</v>
      </c>
      <c r="U262" s="434" t="s">
        <v>437</v>
      </c>
      <c r="V262" s="436" t="n">
        <f aca="false">AY262</f>
        <v>0</v>
      </c>
      <c r="BN262" s="427"/>
      <c r="BO262" s="428"/>
    </row>
    <row r="263" customFormat="false" ht="13.5" hidden="false" customHeight="false" outlineLevel="0" collapsed="false">
      <c r="A263" s="424"/>
      <c r="B263" s="424"/>
      <c r="C263" s="424"/>
      <c r="D263" s="424"/>
      <c r="E263" s="424"/>
      <c r="F263" s="424"/>
      <c r="G263" s="424"/>
      <c r="H263" s="424"/>
      <c r="I263" s="424"/>
      <c r="J263" s="424"/>
      <c r="K263" s="424"/>
      <c r="L263" s="424"/>
      <c r="M263" s="424"/>
      <c r="N263" s="424"/>
      <c r="O263" s="424"/>
      <c r="P263" s="438" t="s">
        <v>417</v>
      </c>
      <c r="Q263" s="435" t="n">
        <v>10</v>
      </c>
      <c r="R263" s="434" t="s">
        <v>438</v>
      </c>
      <c r="S263" s="424"/>
      <c r="T263" s="434" t="s">
        <v>439</v>
      </c>
      <c r="U263" s="434" t="s">
        <v>440</v>
      </c>
      <c r="V263" s="436" t="n">
        <f aca="false">AY263</f>
        <v>0</v>
      </c>
      <c r="BN263" s="427"/>
      <c r="BO263" s="428"/>
    </row>
    <row r="264" customFormat="false" ht="13.5" hidden="false" customHeight="false" outlineLevel="0" collapsed="false">
      <c r="A264" s="424"/>
      <c r="B264" s="424"/>
      <c r="C264" s="424"/>
      <c r="D264" s="424"/>
      <c r="E264" s="424"/>
      <c r="F264" s="435" t="n">
        <f aca="false">TRUNC(+A266/1000000)</f>
        <v>0</v>
      </c>
      <c r="G264" s="424"/>
      <c r="H264" s="424"/>
      <c r="I264" s="424"/>
      <c r="J264" s="424"/>
      <c r="K264" s="424"/>
      <c r="L264" s="424"/>
      <c r="M264" s="424"/>
      <c r="N264" s="424"/>
      <c r="O264" s="424"/>
      <c r="P264" s="438" t="s">
        <v>417</v>
      </c>
      <c r="Q264" s="435" t="n">
        <v>11</v>
      </c>
      <c r="R264" s="434" t="s">
        <v>441</v>
      </c>
      <c r="S264" s="424"/>
      <c r="T264" s="434" t="s">
        <v>442</v>
      </c>
      <c r="U264" s="434" t="s">
        <v>443</v>
      </c>
      <c r="V264" s="436" t="n">
        <f aca="false">AY264</f>
        <v>0</v>
      </c>
      <c r="BN264" s="427"/>
      <c r="BO264" s="428"/>
    </row>
    <row r="265" customFormat="false" ht="13.5" hidden="false" customHeight="false" outlineLevel="0" collapsed="false">
      <c r="A265" s="424"/>
      <c r="B265" s="424"/>
      <c r="C265" s="424"/>
      <c r="D265" s="424"/>
      <c r="E265" s="424"/>
      <c r="F265" s="435" t="e">
        <f aca="false">(+B269*100000+C269*1000+E269*100)</f>
        <v>#VALUE!</v>
      </c>
      <c r="G265" s="424"/>
      <c r="H265" s="424"/>
      <c r="I265" s="424"/>
      <c r="J265" s="424"/>
      <c r="K265" s="424"/>
      <c r="L265" s="434" t="s">
        <v>444</v>
      </c>
      <c r="M265" s="424"/>
      <c r="N265" s="424"/>
      <c r="O265" s="424"/>
      <c r="P265" s="438" t="s">
        <v>417</v>
      </c>
      <c r="Q265" s="435" t="n">
        <v>12</v>
      </c>
      <c r="R265" s="434" t="s">
        <v>445</v>
      </c>
      <c r="S265" s="424"/>
      <c r="T265" s="434" t="s">
        <v>446</v>
      </c>
      <c r="U265" s="434" t="s">
        <v>447</v>
      </c>
      <c r="V265" s="436" t="n">
        <f aca="false">AY265</f>
        <v>0</v>
      </c>
      <c r="BN265" s="427"/>
      <c r="BO265" s="428"/>
    </row>
    <row r="266" customFormat="false" ht="13.5" hidden="false" customHeight="false" outlineLevel="0" collapsed="false">
      <c r="A266" s="436" t="n">
        <f aca="false">TRUNC(+A267)</f>
        <v>400000</v>
      </c>
      <c r="B266" s="424"/>
      <c r="C266" s="424"/>
      <c r="D266" s="424"/>
      <c r="E266" s="440" t="n">
        <f aca="false">TRUNC(+A266/100000000)</f>
        <v>0</v>
      </c>
      <c r="F266" s="424"/>
      <c r="G266" s="424"/>
      <c r="H266" s="424"/>
      <c r="I266" s="424"/>
      <c r="J266" s="424"/>
      <c r="K266" s="424"/>
      <c r="L266" s="424"/>
      <c r="M266" s="424"/>
      <c r="N266" s="424"/>
      <c r="O266" s="424"/>
      <c r="P266" s="438" t="s">
        <v>417</v>
      </c>
      <c r="Q266" s="435" t="n">
        <v>13</v>
      </c>
      <c r="R266" s="434" t="s">
        <v>448</v>
      </c>
      <c r="S266" s="424"/>
      <c r="T266" s="434" t="s">
        <v>449</v>
      </c>
      <c r="U266" s="434" t="s">
        <v>450</v>
      </c>
      <c r="V266" s="436" t="n">
        <f aca="false">AY266</f>
        <v>0</v>
      </c>
      <c r="BN266" s="427"/>
      <c r="BO266" s="428"/>
    </row>
    <row r="267" customFormat="false" ht="13.5" hidden="false" customHeight="false" outlineLevel="0" collapsed="false">
      <c r="A267" s="441" t="n">
        <f aca="false">'All Suspend'!D24</f>
        <v>400000</v>
      </c>
      <c r="B267" s="434" t="s">
        <v>451</v>
      </c>
      <c r="C267" s="434" t="s">
        <v>452</v>
      </c>
      <c r="D267" s="424"/>
      <c r="E267" s="434" t="s">
        <v>452</v>
      </c>
      <c r="F267" s="424"/>
      <c r="G267" s="424"/>
      <c r="H267" s="424"/>
      <c r="I267" s="440" t="n">
        <f aca="false">TRUNC((+A266-(+F264*1000000))/1000)</f>
        <v>400</v>
      </c>
      <c r="J267" s="424"/>
      <c r="K267" s="440" t="n">
        <f aca="false">(TRUNC((+A266-(+F264*1000000))/1))-I267*1000</f>
        <v>0</v>
      </c>
      <c r="L267" s="424"/>
      <c r="M267" s="424"/>
      <c r="N267" s="424"/>
      <c r="O267" s="424"/>
      <c r="P267" s="438" t="s">
        <v>417</v>
      </c>
      <c r="Q267" s="435" t="n">
        <v>14</v>
      </c>
      <c r="R267" s="434" t="s">
        <v>453</v>
      </c>
      <c r="S267" s="424"/>
      <c r="T267" s="434" t="s">
        <v>454</v>
      </c>
      <c r="U267" s="434" t="s">
        <v>455</v>
      </c>
      <c r="V267" s="436" t="n">
        <f aca="false">AY267</f>
        <v>0</v>
      </c>
      <c r="BN267" s="427"/>
      <c r="BO267" s="428"/>
    </row>
    <row r="268" customFormat="false" ht="13.5" hidden="false" customHeight="false" outlineLevel="0" collapsed="false">
      <c r="A268" s="424"/>
      <c r="B268" s="442" t="s">
        <v>712</v>
      </c>
      <c r="C268" s="442" t="s">
        <v>712</v>
      </c>
      <c r="D268" s="424"/>
      <c r="E268" s="442" t="s">
        <v>712</v>
      </c>
      <c r="F268" s="424"/>
      <c r="G268" s="424"/>
      <c r="H268" s="424"/>
      <c r="I268" s="424"/>
      <c r="J268" s="424"/>
      <c r="K268" s="424"/>
      <c r="L268" s="424"/>
      <c r="M268" s="424"/>
      <c r="N268" s="440" t="n">
        <f aca="false">ROUND(((+A267-A266)*100),1)</f>
        <v>0</v>
      </c>
      <c r="O268" s="424"/>
      <c r="P268" s="438" t="s">
        <v>417</v>
      </c>
      <c r="Q268" s="435" t="n">
        <v>15</v>
      </c>
      <c r="R268" s="434" t="s">
        <v>457</v>
      </c>
      <c r="S268" s="424"/>
      <c r="T268" s="434" t="s">
        <v>458</v>
      </c>
      <c r="U268" s="434" t="s">
        <v>459</v>
      </c>
      <c r="V268" s="436" t="n">
        <f aca="false">AY268</f>
        <v>0</v>
      </c>
      <c r="BN268" s="427"/>
      <c r="BO268" s="428"/>
    </row>
    <row r="269" customFormat="false" ht="13.5" hidden="false" customHeight="false" outlineLevel="0" collapsed="false">
      <c r="A269" s="424"/>
      <c r="B269" s="440" t="n">
        <f aca="false">TRUNC(+A267/100000000000)</f>
        <v>0</v>
      </c>
      <c r="C269" s="440" t="n">
        <f aca="false">(TRUNC(+A266/1000000000))-B269*100</f>
        <v>0</v>
      </c>
      <c r="D269" s="424"/>
      <c r="E269" s="435" t="str">
        <f aca="false">IF(E266&gt;0,TRUNC(+E266-B269*1000-C269*10),"")</f>
        <v/>
      </c>
      <c r="F269" s="435" t="e">
        <f aca="false">F264-F265</f>
        <v>#VALUE!</v>
      </c>
      <c r="G269" s="435" t="e">
        <f aca="false">G271</f>
        <v>#VALUE!</v>
      </c>
      <c r="H269" s="440" t="n">
        <f aca="false">TRUNC((+A266-(+F264*1000000))/100000)</f>
        <v>4</v>
      </c>
      <c r="I269" s="440" t="n">
        <f aca="false">I267-H269*100</f>
        <v>0</v>
      </c>
      <c r="J269" s="424"/>
      <c r="K269" s="440" t="n">
        <f aca="false">TRUNC(+K267/100)</f>
        <v>0</v>
      </c>
      <c r="L269" s="440" t="n">
        <f aca="false">K267-K269*100</f>
        <v>0</v>
      </c>
      <c r="M269" s="440" t="str">
        <f aca="false">IF(N269&gt;0," &amp; Sen ","")</f>
        <v/>
      </c>
      <c r="N269" s="435" t="n">
        <f aca="false">N268</f>
        <v>0</v>
      </c>
      <c r="O269" s="424"/>
      <c r="P269" s="438" t="s">
        <v>417</v>
      </c>
      <c r="Q269" s="435" t="n">
        <v>16</v>
      </c>
      <c r="R269" s="434" t="s">
        <v>460</v>
      </c>
      <c r="S269" s="424"/>
      <c r="T269" s="434" t="s">
        <v>461</v>
      </c>
      <c r="U269" s="434" t="s">
        <v>462</v>
      </c>
      <c r="V269" s="436" t="n">
        <f aca="false">AY269</f>
        <v>0</v>
      </c>
      <c r="BN269" s="427"/>
      <c r="BO269" s="428"/>
    </row>
    <row r="270" customFormat="false" ht="13.5" hidden="false" customHeight="false" outlineLevel="0" collapsed="false">
      <c r="A270" s="424"/>
      <c r="B270" s="424"/>
      <c r="C270" s="424"/>
      <c r="D270" s="424"/>
      <c r="E270" s="424"/>
      <c r="F270" s="424"/>
      <c r="G270" s="424"/>
      <c r="H270" s="424"/>
      <c r="I270" s="424"/>
      <c r="J270" s="424"/>
      <c r="K270" s="424"/>
      <c r="L270" s="424"/>
      <c r="M270" s="424"/>
      <c r="N270" s="424"/>
      <c r="O270" s="424"/>
      <c r="P270" s="438" t="s">
        <v>417</v>
      </c>
      <c r="Q270" s="435" t="n">
        <v>17</v>
      </c>
      <c r="R270" s="434" t="s">
        <v>463</v>
      </c>
      <c r="S270" s="424"/>
      <c r="T270" s="434" t="s">
        <v>464</v>
      </c>
      <c r="U270" s="434" t="s">
        <v>465</v>
      </c>
      <c r="V270" s="436" t="n">
        <f aca="false">AY270</f>
        <v>0</v>
      </c>
      <c r="BN270" s="427"/>
      <c r="BO270" s="428"/>
    </row>
    <row r="271" customFormat="false" ht="13.5" hidden="false" customHeight="false" outlineLevel="0" collapsed="false">
      <c r="A271" s="440" t="n">
        <f aca="false">B269*100000000000</f>
        <v>0</v>
      </c>
      <c r="B271" s="440" t="str">
        <f aca="false">IF(B269&gt;0,VLOOKUP(B269,$Q$7:$T$15,3),"")</f>
        <v/>
      </c>
      <c r="C271" s="440" t="str">
        <f aca="false">IF(C269&gt;0,VLOOKUP(C269,Q254:R352,2),"")</f>
        <v/>
      </c>
      <c r="D271" s="440" t="str">
        <f aca="false">IF(B266+C269&gt;0," Milyar ","")</f>
        <v/>
      </c>
      <c r="E271" s="440" t="e">
        <f aca="false">IF(E269&gt;0,VLOOKUP(E269,$Q$7:$T$15,3),"")</f>
        <v>#N/A</v>
      </c>
      <c r="F271" s="440" t="e">
        <f aca="false">IF(F269&gt;0,VLOOKUP(F269,Q254:R352,2),"")</f>
        <v>#VALUE!</v>
      </c>
      <c r="G271" s="435" t="e">
        <f aca="false">IF(F269+E269&gt;0," Juta","")</f>
        <v>#VALUE!</v>
      </c>
      <c r="H271" s="440" t="str">
        <f aca="false">IF(H269&gt;0,VLOOKUP(H269,$Q$7:$T$15,3),"")</f>
        <v> Empat ratus</v>
      </c>
      <c r="I271" s="440" t="str">
        <f aca="false">IF(I269=1," Se",IF(I269=0,"",VLOOKUP(I269,Q254:R352,2)))</f>
        <v/>
      </c>
      <c r="J271" s="435" t="str">
        <f aca="false">IF(I269+H269&gt;0," ribu","")</f>
        <v> ribu</v>
      </c>
      <c r="K271" s="440" t="str">
        <f aca="false">IF(K269&gt;0,VLOOKUP(K269,Q254:S262,3),"")</f>
        <v/>
      </c>
      <c r="L271" s="440" t="str">
        <f aca="false">IF(L269&gt;0,VLOOKUP(L269,Q254:R352,2),"")</f>
        <v/>
      </c>
      <c r="M271" s="440" t="str">
        <f aca="false">IF(N269&gt;0,VLOOKUP(N268,Q253:U352,5)," Rupiah ")</f>
        <v> Rupiah </v>
      </c>
      <c r="N271" s="424"/>
      <c r="O271" s="435" t="str">
        <f aca="false">IF(N269&gt;0," ====","")</f>
        <v/>
      </c>
      <c r="P271" s="435" t="str">
        <f aca="false">IF(N269&gt;0,"-","====")</f>
        <v>====</v>
      </c>
      <c r="Q271" s="435" t="n">
        <v>18</v>
      </c>
      <c r="R271" s="434" t="s">
        <v>466</v>
      </c>
      <c r="S271" s="424"/>
      <c r="T271" s="434" t="s">
        <v>467</v>
      </c>
      <c r="U271" s="434" t="s">
        <v>468</v>
      </c>
      <c r="V271" s="436" t="n">
        <f aca="false">AY271</f>
        <v>0</v>
      </c>
      <c r="BN271" s="427"/>
      <c r="BO271" s="428"/>
    </row>
    <row r="272" customFormat="false" ht="13.5" hidden="false" customHeight="false" outlineLevel="0" collapsed="false">
      <c r="A272" s="440"/>
      <c r="B272" s="435" t="str">
        <f aca="false">B271</f>
        <v/>
      </c>
      <c r="C272" s="424"/>
      <c r="D272" s="424"/>
      <c r="E272" s="424"/>
      <c r="F272" s="424"/>
      <c r="G272" s="424"/>
      <c r="H272" s="424"/>
      <c r="I272" s="424"/>
      <c r="J272" s="424"/>
      <c r="K272" s="424"/>
      <c r="L272" s="424"/>
      <c r="M272" s="424"/>
      <c r="N272" s="424"/>
      <c r="O272" s="424"/>
      <c r="P272" s="438" t="s">
        <v>417</v>
      </c>
      <c r="Q272" s="435" t="n">
        <v>19</v>
      </c>
      <c r="R272" s="434" t="s">
        <v>469</v>
      </c>
      <c r="S272" s="424"/>
      <c r="T272" s="434" t="s">
        <v>470</v>
      </c>
      <c r="U272" s="434" t="s">
        <v>471</v>
      </c>
      <c r="V272" s="436" t="n">
        <f aca="false">AY277</f>
        <v>0</v>
      </c>
      <c r="BN272" s="427"/>
      <c r="BO272" s="428"/>
    </row>
    <row r="273" customFormat="false" ht="13.5" hidden="false" customHeight="false" outlineLevel="0" collapsed="false">
      <c r="A273" s="440"/>
      <c r="B273" s="435" t="str">
        <f aca="false">C271</f>
        <v/>
      </c>
      <c r="C273" s="424"/>
      <c r="D273" s="424"/>
      <c r="E273" s="424"/>
      <c r="F273" s="424"/>
      <c r="G273" s="424"/>
      <c r="H273" s="424"/>
      <c r="I273" s="424"/>
      <c r="J273" s="424"/>
      <c r="K273" s="424"/>
      <c r="L273" s="424"/>
      <c r="M273" s="424"/>
      <c r="N273" s="424"/>
      <c r="O273" s="424"/>
      <c r="P273" s="438" t="s">
        <v>417</v>
      </c>
      <c r="Q273" s="435" t="n">
        <v>20</v>
      </c>
      <c r="R273" s="434" t="s">
        <v>472</v>
      </c>
      <c r="S273" s="424"/>
      <c r="T273" s="434" t="s">
        <v>473</v>
      </c>
      <c r="U273" s="434" t="s">
        <v>474</v>
      </c>
      <c r="V273" s="436" t="n">
        <f aca="false">AY278</f>
        <v>0</v>
      </c>
      <c r="BN273" s="427"/>
    </row>
    <row r="274" customFormat="false" ht="13.5" hidden="false" customHeight="false" outlineLevel="0" collapsed="false">
      <c r="A274" s="440"/>
      <c r="B274" s="435" t="str">
        <f aca="false">D271</f>
        <v/>
      </c>
      <c r="C274" s="424"/>
      <c r="D274" s="424"/>
      <c r="E274" s="424"/>
      <c r="F274" s="424"/>
      <c r="G274" s="424"/>
      <c r="H274" s="424"/>
      <c r="I274" s="424"/>
      <c r="J274" s="424"/>
      <c r="K274" s="424"/>
      <c r="L274" s="424"/>
      <c r="M274" s="424"/>
      <c r="N274" s="424"/>
      <c r="O274" s="424"/>
      <c r="P274" s="438" t="s">
        <v>417</v>
      </c>
      <c r="Q274" s="435" t="n">
        <v>21</v>
      </c>
      <c r="R274" s="434" t="s">
        <v>475</v>
      </c>
      <c r="S274" s="424"/>
      <c r="T274" s="434" t="s">
        <v>476</v>
      </c>
      <c r="U274" s="434" t="s">
        <v>477</v>
      </c>
      <c r="V274" s="436" t="n">
        <f aca="false">AY279</f>
        <v>0</v>
      </c>
      <c r="BN274" s="427"/>
    </row>
    <row r="275" customFormat="false" ht="13.5" hidden="false" customHeight="false" outlineLevel="0" collapsed="false">
      <c r="A275" s="440"/>
      <c r="B275" s="435" t="e">
        <f aca="false">E271</f>
        <v>#N/A</v>
      </c>
      <c r="C275" s="424"/>
      <c r="D275" s="424"/>
      <c r="E275" s="424"/>
      <c r="F275" s="424"/>
      <c r="G275" s="424"/>
      <c r="H275" s="424"/>
      <c r="I275" s="424"/>
      <c r="J275" s="424"/>
      <c r="K275" s="424"/>
      <c r="L275" s="424"/>
      <c r="M275" s="424"/>
      <c r="N275" s="424"/>
      <c r="O275" s="424"/>
      <c r="P275" s="424"/>
      <c r="Q275" s="435" t="n">
        <v>22</v>
      </c>
      <c r="R275" s="434" t="s">
        <v>478</v>
      </c>
      <c r="S275" s="424"/>
      <c r="T275" s="434" t="s">
        <v>479</v>
      </c>
      <c r="U275" s="434" t="s">
        <v>480</v>
      </c>
      <c r="V275" s="436" t="n">
        <f aca="false">AY280</f>
        <v>0</v>
      </c>
      <c r="BN275" s="427"/>
    </row>
    <row r="276" customFormat="false" ht="13.5" hidden="false" customHeight="false" outlineLevel="0" collapsed="false">
      <c r="A276" s="440"/>
      <c r="B276" s="435" t="e">
        <f aca="false">F271</f>
        <v>#VALUE!</v>
      </c>
      <c r="C276" s="424"/>
      <c r="D276" s="424"/>
      <c r="E276" s="424"/>
      <c r="F276" s="424"/>
      <c r="G276" s="424"/>
      <c r="H276" s="424"/>
      <c r="I276" s="424"/>
      <c r="J276" s="424"/>
      <c r="K276" s="424"/>
      <c r="L276" s="424"/>
      <c r="M276" s="424"/>
      <c r="N276" s="424"/>
      <c r="O276" s="424"/>
      <c r="P276" s="438" t="s">
        <v>417</v>
      </c>
      <c r="Q276" s="435" t="n">
        <v>23</v>
      </c>
      <c r="R276" s="434" t="s">
        <v>481</v>
      </c>
      <c r="S276" s="424"/>
      <c r="T276" s="434" t="s">
        <v>482</v>
      </c>
      <c r="U276" s="434" t="s">
        <v>483</v>
      </c>
      <c r="V276" s="436" t="n">
        <f aca="false">AY281</f>
        <v>0</v>
      </c>
      <c r="BN276" s="427"/>
    </row>
    <row r="277" customFormat="false" ht="13.5" hidden="false" customHeight="false" outlineLevel="0" collapsed="false">
      <c r="A277" s="424"/>
      <c r="B277" s="424"/>
      <c r="C277" s="424"/>
      <c r="D277" s="424"/>
      <c r="E277" s="424"/>
      <c r="F277" s="424"/>
      <c r="G277" s="424"/>
      <c r="H277" s="424"/>
      <c r="I277" s="424"/>
      <c r="J277" s="424"/>
      <c r="K277" s="424"/>
      <c r="L277" s="424"/>
      <c r="M277" s="424"/>
      <c r="N277" s="424"/>
      <c r="O277" s="424"/>
      <c r="P277" s="438" t="s">
        <v>417</v>
      </c>
      <c r="Q277" s="435" t="n">
        <v>24</v>
      </c>
      <c r="R277" s="434" t="s">
        <v>484</v>
      </c>
      <c r="S277" s="424"/>
      <c r="T277" s="434" t="s">
        <v>485</v>
      </c>
      <c r="U277" s="434" t="s">
        <v>486</v>
      </c>
      <c r="V277" s="436" t="n">
        <f aca="false">AY282</f>
        <v>0</v>
      </c>
      <c r="BN277" s="427"/>
    </row>
    <row r="278" customFormat="false" ht="13.5" hidden="false" customHeight="false" outlineLevel="0" collapsed="false">
      <c r="A278" s="424"/>
      <c r="B278" s="424"/>
      <c r="C278" s="424"/>
      <c r="D278" s="424"/>
      <c r="E278" s="424"/>
      <c r="F278" s="424"/>
      <c r="G278" s="424"/>
      <c r="H278" s="424"/>
      <c r="I278" s="424"/>
      <c r="J278" s="424"/>
      <c r="K278" s="424"/>
      <c r="L278" s="424"/>
      <c r="M278" s="424"/>
      <c r="N278" s="424"/>
      <c r="O278" s="424"/>
      <c r="P278" s="438" t="s">
        <v>417</v>
      </c>
      <c r="Q278" s="435" t="n">
        <v>25</v>
      </c>
      <c r="R278" s="434" t="s">
        <v>487</v>
      </c>
      <c r="S278" s="424"/>
      <c r="T278" s="434" t="s">
        <v>488</v>
      </c>
      <c r="U278" s="434" t="s">
        <v>489</v>
      </c>
      <c r="V278" s="436" t="n">
        <f aca="false">AY283</f>
        <v>0</v>
      </c>
      <c r="BN278" s="427"/>
    </row>
    <row r="279" customFormat="false" ht="13.5" hidden="false" customHeight="false" outlineLevel="0" collapsed="false">
      <c r="A279" s="424"/>
      <c r="B279" s="424"/>
      <c r="C279" s="424"/>
      <c r="D279" s="424"/>
      <c r="E279" s="424"/>
      <c r="F279" s="424"/>
      <c r="G279" s="424"/>
      <c r="H279" s="424"/>
      <c r="I279" s="424"/>
      <c r="J279" s="424"/>
      <c r="K279" s="424"/>
      <c r="L279" s="424"/>
      <c r="M279" s="424"/>
      <c r="N279" s="424"/>
      <c r="O279" s="424"/>
      <c r="P279" s="438" t="s">
        <v>417</v>
      </c>
      <c r="Q279" s="435" t="n">
        <v>26</v>
      </c>
      <c r="R279" s="434" t="s">
        <v>490</v>
      </c>
      <c r="S279" s="424"/>
      <c r="T279" s="434" t="s">
        <v>491</v>
      </c>
      <c r="U279" s="434" t="s">
        <v>492</v>
      </c>
      <c r="V279" s="436" t="n">
        <f aca="false">AY284</f>
        <v>0</v>
      </c>
      <c r="BN279" s="427"/>
    </row>
    <row r="280" customFormat="false" ht="13.5" hidden="false" customHeight="false" outlineLevel="0" collapsed="false">
      <c r="A280" s="424"/>
      <c r="B280" s="424"/>
      <c r="C280" s="424"/>
      <c r="D280" s="424"/>
      <c r="E280" s="424"/>
      <c r="F280" s="424"/>
      <c r="G280" s="424"/>
      <c r="H280" s="424"/>
      <c r="I280" s="424"/>
      <c r="J280" s="424"/>
      <c r="K280" s="424"/>
      <c r="L280" s="424"/>
      <c r="M280" s="424"/>
      <c r="N280" s="424"/>
      <c r="O280" s="424"/>
      <c r="P280" s="424"/>
      <c r="Q280" s="435" t="n">
        <v>27</v>
      </c>
      <c r="R280" s="434" t="s">
        <v>493</v>
      </c>
      <c r="S280" s="424"/>
      <c r="T280" s="434" t="s">
        <v>494</v>
      </c>
      <c r="U280" s="434" t="s">
        <v>495</v>
      </c>
      <c r="V280" s="436" t="n">
        <f aca="false">AY285</f>
        <v>0</v>
      </c>
      <c r="BN280" s="427"/>
    </row>
    <row r="281" customFormat="false" ht="13.5" hidden="false" customHeight="false" outlineLevel="0" collapsed="false">
      <c r="A281" s="424"/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  <c r="M281" s="424"/>
      <c r="N281" s="424"/>
      <c r="O281" s="424"/>
      <c r="P281" s="424"/>
      <c r="Q281" s="435" t="n">
        <v>28</v>
      </c>
      <c r="R281" s="434" t="s">
        <v>496</v>
      </c>
      <c r="S281" s="424"/>
      <c r="T281" s="434" t="s">
        <v>497</v>
      </c>
      <c r="U281" s="434" t="s">
        <v>498</v>
      </c>
      <c r="V281" s="436" t="n">
        <f aca="false">AY286</f>
        <v>0</v>
      </c>
      <c r="BN281" s="427"/>
    </row>
    <row r="282" customFormat="false" ht="13.5" hidden="false" customHeight="false" outlineLevel="0" collapsed="false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  <c r="M282" s="424"/>
      <c r="N282" s="424"/>
      <c r="O282" s="424"/>
      <c r="P282" s="424"/>
      <c r="Q282" s="435" t="n">
        <v>29</v>
      </c>
      <c r="R282" s="434" t="s">
        <v>499</v>
      </c>
      <c r="S282" s="424"/>
      <c r="T282" s="434" t="s">
        <v>500</v>
      </c>
      <c r="U282" s="434" t="s">
        <v>501</v>
      </c>
      <c r="V282" s="436" t="n">
        <f aca="false">AY287</f>
        <v>0</v>
      </c>
      <c r="BN282" s="427"/>
    </row>
    <row r="283" customFormat="false" ht="13.5" hidden="false" customHeight="false" outlineLevel="0" collapsed="false">
      <c r="A283" s="424"/>
      <c r="B283" s="424"/>
      <c r="C283" s="424"/>
      <c r="D283" s="424"/>
      <c r="E283" s="424"/>
      <c r="F283" s="424"/>
      <c r="G283" s="424"/>
      <c r="H283" s="424"/>
      <c r="I283" s="424"/>
      <c r="J283" s="424"/>
      <c r="K283" s="424"/>
      <c r="L283" s="424"/>
      <c r="M283" s="424"/>
      <c r="N283" s="424"/>
      <c r="O283" s="424"/>
      <c r="P283" s="424"/>
      <c r="Q283" s="435" t="n">
        <v>30</v>
      </c>
      <c r="R283" s="434" t="s">
        <v>502</v>
      </c>
      <c r="S283" s="424"/>
      <c r="T283" s="434" t="s">
        <v>503</v>
      </c>
      <c r="U283" s="434" t="s">
        <v>504</v>
      </c>
      <c r="V283" s="436" t="n">
        <f aca="false">AY288</f>
        <v>0</v>
      </c>
      <c r="BN283" s="427"/>
    </row>
    <row r="284" customFormat="false" ht="13.5" hidden="false" customHeight="false" outlineLevel="0" collapsed="false">
      <c r="A284" s="424"/>
      <c r="B284" s="424"/>
      <c r="C284" s="424"/>
      <c r="D284" s="424"/>
      <c r="E284" s="424"/>
      <c r="F284" s="424"/>
      <c r="G284" s="424"/>
      <c r="H284" s="424"/>
      <c r="I284" s="424"/>
      <c r="J284" s="424"/>
      <c r="K284" s="424"/>
      <c r="L284" s="424"/>
      <c r="M284" s="424"/>
      <c r="N284" s="424"/>
      <c r="O284" s="424"/>
      <c r="P284" s="424"/>
      <c r="Q284" s="435" t="n">
        <v>31</v>
      </c>
      <c r="R284" s="434" t="s">
        <v>505</v>
      </c>
      <c r="S284" s="424"/>
      <c r="T284" s="434" t="s">
        <v>506</v>
      </c>
      <c r="U284" s="434" t="s">
        <v>507</v>
      </c>
      <c r="V284" s="436" t="n">
        <f aca="false">AY289</f>
        <v>0</v>
      </c>
      <c r="BN284" s="427"/>
    </row>
    <row r="285" customFormat="false" ht="13.5" hidden="false" customHeight="false" outlineLevel="0" collapsed="false">
      <c r="A285" s="424"/>
      <c r="B285" s="424"/>
      <c r="C285" s="424"/>
      <c r="D285" s="424"/>
      <c r="E285" s="424"/>
      <c r="F285" s="424"/>
      <c r="G285" s="424"/>
      <c r="H285" s="424"/>
      <c r="I285" s="424"/>
      <c r="J285" s="424"/>
      <c r="K285" s="424"/>
      <c r="L285" s="424"/>
      <c r="M285" s="424"/>
      <c r="N285" s="424"/>
      <c r="O285" s="424"/>
      <c r="P285" s="424"/>
      <c r="Q285" s="435" t="n">
        <v>32</v>
      </c>
      <c r="R285" s="434" t="s">
        <v>508</v>
      </c>
      <c r="S285" s="424"/>
      <c r="T285" s="434" t="s">
        <v>509</v>
      </c>
      <c r="U285" s="434" t="s">
        <v>510</v>
      </c>
      <c r="V285" s="436" t="n">
        <f aca="false">AY290</f>
        <v>0</v>
      </c>
      <c r="BN285" s="427"/>
    </row>
    <row r="286" customFormat="false" ht="13.5" hidden="false" customHeight="false" outlineLevel="0" collapsed="false">
      <c r="A286" s="440"/>
      <c r="B286" s="435" t="e">
        <f aca="false">G271</f>
        <v>#VALUE!</v>
      </c>
      <c r="C286" s="424"/>
      <c r="D286" s="424"/>
      <c r="E286" s="424"/>
      <c r="F286" s="424"/>
      <c r="G286" s="424"/>
      <c r="H286" s="424"/>
      <c r="I286" s="424"/>
      <c r="J286" s="424"/>
      <c r="K286" s="424"/>
      <c r="L286" s="424"/>
      <c r="M286" s="424"/>
      <c r="N286" s="424"/>
      <c r="O286" s="424"/>
      <c r="P286" s="424"/>
      <c r="Q286" s="435" t="n">
        <v>33</v>
      </c>
      <c r="R286" s="434" t="s">
        <v>511</v>
      </c>
      <c r="S286" s="424"/>
      <c r="T286" s="434" t="s">
        <v>512</v>
      </c>
      <c r="U286" s="434" t="s">
        <v>513</v>
      </c>
      <c r="V286" s="436" t="n">
        <f aca="false">AY291</f>
        <v>0</v>
      </c>
      <c r="BN286" s="427"/>
    </row>
    <row r="287" customFormat="false" ht="13.5" hidden="false" customHeight="false" outlineLevel="0" collapsed="false">
      <c r="A287" s="440"/>
      <c r="B287" s="435" t="str">
        <f aca="false">H271</f>
        <v> Empat ratus</v>
      </c>
      <c r="C287" s="424"/>
      <c r="D287" s="424"/>
      <c r="E287" s="424"/>
      <c r="F287" s="424"/>
      <c r="G287" s="424"/>
      <c r="H287" s="424"/>
      <c r="I287" s="424"/>
      <c r="J287" s="424"/>
      <c r="K287" s="424"/>
      <c r="L287" s="424"/>
      <c r="M287" s="424"/>
      <c r="N287" s="424"/>
      <c r="O287" s="424"/>
      <c r="P287" s="424"/>
      <c r="Q287" s="435" t="n">
        <v>34</v>
      </c>
      <c r="R287" s="434" t="s">
        <v>514</v>
      </c>
      <c r="S287" s="424"/>
      <c r="T287" s="434" t="s">
        <v>515</v>
      </c>
      <c r="U287" s="434" t="s">
        <v>516</v>
      </c>
      <c r="V287" s="436" t="n">
        <f aca="false">AY292</f>
        <v>0</v>
      </c>
      <c r="BN287" s="427"/>
    </row>
    <row r="288" customFormat="false" ht="13.5" hidden="false" customHeight="false" outlineLevel="0" collapsed="false">
      <c r="A288" s="440"/>
      <c r="B288" s="435" t="str">
        <f aca="false">I271</f>
        <v/>
      </c>
      <c r="C288" s="424"/>
      <c r="D288" s="424"/>
      <c r="E288" s="424"/>
      <c r="F288" s="424"/>
      <c r="G288" s="424"/>
      <c r="H288" s="424"/>
      <c r="I288" s="424"/>
      <c r="J288" s="424"/>
      <c r="K288" s="424"/>
      <c r="L288" s="424"/>
      <c r="M288" s="424"/>
      <c r="N288" s="424"/>
      <c r="O288" s="424"/>
      <c r="P288" s="424"/>
      <c r="Q288" s="435" t="n">
        <v>35</v>
      </c>
      <c r="R288" s="434" t="s">
        <v>517</v>
      </c>
      <c r="S288" s="424"/>
      <c r="T288" s="434" t="s">
        <v>518</v>
      </c>
      <c r="U288" s="434" t="s">
        <v>519</v>
      </c>
      <c r="V288" s="436" t="n">
        <f aca="false">AY293</f>
        <v>0</v>
      </c>
      <c r="BN288" s="427"/>
    </row>
    <row r="289" customFormat="false" ht="13.5" hidden="false" customHeight="false" outlineLevel="0" collapsed="false">
      <c r="A289" s="440"/>
      <c r="B289" s="435" t="str">
        <f aca="false">J271</f>
        <v> ribu</v>
      </c>
      <c r="C289" s="424"/>
      <c r="D289" s="424"/>
      <c r="E289" s="424"/>
      <c r="F289" s="424"/>
      <c r="G289" s="424"/>
      <c r="H289" s="424"/>
      <c r="I289" s="424"/>
      <c r="J289" s="424"/>
      <c r="K289" s="424"/>
      <c r="L289" s="424"/>
      <c r="M289" s="424"/>
      <c r="N289" s="424"/>
      <c r="O289" s="424"/>
      <c r="P289" s="424"/>
      <c r="Q289" s="435" t="n">
        <v>36</v>
      </c>
      <c r="R289" s="434" t="s">
        <v>520</v>
      </c>
      <c r="S289" s="424"/>
      <c r="T289" s="434" t="s">
        <v>521</v>
      </c>
      <c r="U289" s="434" t="s">
        <v>522</v>
      </c>
      <c r="V289" s="436" t="n">
        <f aca="false">AY294</f>
        <v>0</v>
      </c>
      <c r="BN289" s="427"/>
    </row>
    <row r="290" customFormat="false" ht="13.5" hidden="false" customHeight="false" outlineLevel="0" collapsed="false">
      <c r="A290" s="440"/>
      <c r="B290" s="440" t="str">
        <f aca="false">K271</f>
        <v/>
      </c>
      <c r="C290" s="424"/>
      <c r="D290" s="424"/>
      <c r="E290" s="424"/>
      <c r="F290" s="424"/>
      <c r="G290" s="424"/>
      <c r="H290" s="424"/>
      <c r="I290" s="424"/>
      <c r="J290" s="424"/>
      <c r="K290" s="424"/>
      <c r="L290" s="424"/>
      <c r="M290" s="424"/>
      <c r="N290" s="424"/>
      <c r="O290" s="424"/>
      <c r="P290" s="424"/>
      <c r="Q290" s="435" t="n">
        <v>37</v>
      </c>
      <c r="R290" s="434" t="s">
        <v>523</v>
      </c>
      <c r="S290" s="424"/>
      <c r="T290" s="434" t="s">
        <v>524</v>
      </c>
      <c r="U290" s="434" t="s">
        <v>525</v>
      </c>
      <c r="V290" s="436" t="n">
        <f aca="false">AY295</f>
        <v>0</v>
      </c>
      <c r="BN290" s="427"/>
    </row>
    <row r="291" customFormat="false" ht="13.5" hidden="false" customHeight="false" outlineLevel="0" collapsed="false">
      <c r="A291" s="440"/>
      <c r="B291" s="435" t="str">
        <f aca="false">L271</f>
        <v/>
      </c>
      <c r="C291" s="424"/>
      <c r="D291" s="424"/>
      <c r="E291" s="424"/>
      <c r="F291" s="424"/>
      <c r="G291" s="424"/>
      <c r="H291" s="424"/>
      <c r="I291" s="424"/>
      <c r="J291" s="424"/>
      <c r="K291" s="424"/>
      <c r="L291" s="424"/>
      <c r="M291" s="424"/>
      <c r="N291" s="424"/>
      <c r="O291" s="424"/>
      <c r="P291" s="424"/>
      <c r="Q291" s="435" t="n">
        <v>38</v>
      </c>
      <c r="R291" s="434" t="s">
        <v>526</v>
      </c>
      <c r="S291" s="424"/>
      <c r="T291" s="434" t="s">
        <v>527</v>
      </c>
      <c r="U291" s="434" t="s">
        <v>528</v>
      </c>
      <c r="V291" s="436" t="n">
        <f aca="false">AY296</f>
        <v>0</v>
      </c>
      <c r="BN291" s="427"/>
    </row>
    <row r="292" customFormat="false" ht="13.5" hidden="false" customHeight="false" outlineLevel="0" collapsed="false">
      <c r="A292" s="440"/>
      <c r="B292" s="435" t="str">
        <f aca="false">M271</f>
        <v> Rupiah </v>
      </c>
      <c r="C292" s="424"/>
      <c r="D292" s="424"/>
      <c r="E292" s="424"/>
      <c r="F292" s="424"/>
      <c r="G292" s="424"/>
      <c r="H292" s="424"/>
      <c r="I292" s="424"/>
      <c r="J292" s="424"/>
      <c r="K292" s="424"/>
      <c r="L292" s="424"/>
      <c r="M292" s="424"/>
      <c r="N292" s="424"/>
      <c r="O292" s="424"/>
      <c r="P292" s="424"/>
      <c r="Q292" s="435" t="n">
        <v>39</v>
      </c>
      <c r="R292" s="434" t="s">
        <v>529</v>
      </c>
      <c r="S292" s="424"/>
      <c r="T292" s="434" t="s">
        <v>530</v>
      </c>
      <c r="U292" s="434" t="s">
        <v>531</v>
      </c>
      <c r="V292" s="436" t="n">
        <f aca="false">AY297</f>
        <v>0</v>
      </c>
      <c r="BN292" s="427"/>
    </row>
    <row r="293" customFormat="false" ht="13.5" hidden="false" customHeight="false" outlineLevel="0" collapsed="false">
      <c r="A293" s="436" t="e">
        <f aca="false">+#REF!</f>
        <v>#REF!</v>
      </c>
      <c r="B293" s="435" t="str">
        <f aca="false">O271</f>
        <v/>
      </c>
      <c r="C293" s="424"/>
      <c r="D293" s="424"/>
      <c r="E293" s="424"/>
      <c r="F293" s="424"/>
      <c r="G293" s="424"/>
      <c r="H293" s="424"/>
      <c r="I293" s="424"/>
      <c r="J293" s="424"/>
      <c r="K293" s="424"/>
      <c r="L293" s="424"/>
      <c r="M293" s="424"/>
      <c r="N293" s="424"/>
      <c r="O293" s="424"/>
      <c r="P293" s="424"/>
      <c r="Q293" s="435" t="n">
        <v>40</v>
      </c>
      <c r="R293" s="434" t="s">
        <v>532</v>
      </c>
      <c r="S293" s="424"/>
      <c r="T293" s="434" t="s">
        <v>533</v>
      </c>
      <c r="U293" s="434" t="s">
        <v>534</v>
      </c>
      <c r="V293" s="436" t="n">
        <f aca="false">AY298</f>
        <v>0</v>
      </c>
      <c r="BN293" s="427"/>
    </row>
    <row r="294" customFormat="false" ht="13.5" hidden="false" customHeight="false" outlineLevel="0" collapsed="false">
      <c r="A294" s="440"/>
      <c r="B294" s="435" t="str">
        <f aca="false">IF(N269&gt;0,"-","====")</f>
        <v>====</v>
      </c>
      <c r="C294" s="424"/>
      <c r="D294" s="424"/>
      <c r="E294" s="424"/>
      <c r="F294" s="424"/>
      <c r="G294" s="424"/>
      <c r="H294" s="424"/>
      <c r="I294" s="424"/>
      <c r="J294" s="424"/>
      <c r="K294" s="424"/>
      <c r="L294" s="424"/>
      <c r="M294" s="424"/>
      <c r="N294" s="424"/>
      <c r="O294" s="424"/>
      <c r="P294" s="424"/>
      <c r="Q294" s="435" t="n">
        <v>41</v>
      </c>
      <c r="R294" s="434" t="s">
        <v>535</v>
      </c>
      <c r="S294" s="424"/>
      <c r="T294" s="434" t="s">
        <v>536</v>
      </c>
      <c r="U294" s="434" t="s">
        <v>537</v>
      </c>
      <c r="V294" s="436" t="n">
        <f aca="false">AY299</f>
        <v>0</v>
      </c>
      <c r="BN294" s="427"/>
    </row>
    <row r="295" customFormat="false" ht="13.5" hidden="false" customHeight="false" outlineLevel="0" collapsed="false">
      <c r="A295" s="435" t="e">
        <f aca="false">B271&amp;C271&amp;D271&amp;E271&amp;F271&amp;G271&amp;H271&amp;I271&amp;J271&amp;K271&amp;L271&amp;M271&amp;O271</f>
        <v>#N/A</v>
      </c>
      <c r="B295" s="424"/>
      <c r="C295" s="424"/>
      <c r="D295" s="424"/>
      <c r="E295" s="424"/>
      <c r="F295" s="424"/>
      <c r="G295" s="424"/>
      <c r="H295" s="424"/>
      <c r="I295" s="424"/>
      <c r="J295" s="424"/>
      <c r="K295" s="424"/>
      <c r="L295" s="424"/>
      <c r="M295" s="424"/>
      <c r="N295" s="424"/>
      <c r="O295" s="424"/>
      <c r="P295" s="424"/>
      <c r="Q295" s="435" t="n">
        <v>42</v>
      </c>
      <c r="R295" s="434" t="s">
        <v>538</v>
      </c>
      <c r="S295" s="424"/>
      <c r="T295" s="434" t="s">
        <v>539</v>
      </c>
      <c r="U295" s="434" t="s">
        <v>540</v>
      </c>
      <c r="V295" s="436" t="n">
        <f aca="false">AY300</f>
        <v>0</v>
      </c>
      <c r="BN295" s="427"/>
    </row>
    <row r="296" customFormat="false" ht="13.5" hidden="false" customHeight="false" outlineLevel="0" collapsed="false">
      <c r="A296" s="440" t="str">
        <f aca="false">I271&amp;J271&amp;K271&amp;L271&amp;M271&amp;O271</f>
        <v> ribu Rupiah </v>
      </c>
      <c r="B296" s="424"/>
      <c r="C296" s="424"/>
      <c r="D296" s="424"/>
      <c r="E296" s="424"/>
      <c r="F296" s="424"/>
      <c r="G296" s="424"/>
      <c r="H296" s="424"/>
      <c r="I296" s="424"/>
      <c r="J296" s="424"/>
      <c r="K296" s="424"/>
      <c r="L296" s="424"/>
      <c r="M296" s="424"/>
      <c r="N296" s="424"/>
      <c r="O296" s="424"/>
      <c r="P296" s="424"/>
      <c r="Q296" s="435" t="n">
        <v>43</v>
      </c>
      <c r="R296" s="434" t="s">
        <v>541</v>
      </c>
      <c r="S296" s="424"/>
      <c r="T296" s="434" t="s">
        <v>542</v>
      </c>
      <c r="U296" s="434" t="s">
        <v>543</v>
      </c>
      <c r="V296" s="436" t="n">
        <f aca="false">AY301</f>
        <v>0</v>
      </c>
      <c r="BN296" s="427"/>
    </row>
    <row r="297" customFormat="false" ht="13.5" hidden="false" customHeight="false" outlineLevel="0" collapsed="false">
      <c r="A297" s="440"/>
      <c r="B297" s="424"/>
      <c r="C297" s="424"/>
      <c r="D297" s="424"/>
      <c r="E297" s="424"/>
      <c r="F297" s="424"/>
      <c r="G297" s="424"/>
      <c r="H297" s="424"/>
      <c r="I297" s="424"/>
      <c r="J297" s="424"/>
      <c r="K297" s="424"/>
      <c r="L297" s="424"/>
      <c r="M297" s="424"/>
      <c r="N297" s="424"/>
      <c r="O297" s="424"/>
      <c r="P297" s="424"/>
      <c r="Q297" s="435" t="n">
        <v>44</v>
      </c>
      <c r="R297" s="434" t="s">
        <v>544</v>
      </c>
      <c r="S297" s="424"/>
      <c r="T297" s="434" t="s">
        <v>545</v>
      </c>
      <c r="U297" s="434" t="s">
        <v>546</v>
      </c>
      <c r="V297" s="436" t="n">
        <f aca="false">AY302</f>
        <v>0</v>
      </c>
      <c r="BN297" s="427"/>
    </row>
    <row r="298" customFormat="false" ht="13.5" hidden="false" customHeight="false" outlineLevel="0" collapsed="false">
      <c r="A298" s="440"/>
      <c r="B298" s="424"/>
      <c r="C298" s="424"/>
      <c r="D298" s="424"/>
      <c r="E298" s="424"/>
      <c r="F298" s="424"/>
      <c r="G298" s="424"/>
      <c r="H298" s="424"/>
      <c r="I298" s="424"/>
      <c r="J298" s="424"/>
      <c r="K298" s="424"/>
      <c r="L298" s="424"/>
      <c r="M298" s="424"/>
      <c r="N298" s="424"/>
      <c r="O298" s="424"/>
      <c r="P298" s="424"/>
      <c r="Q298" s="435" t="n">
        <v>45</v>
      </c>
      <c r="R298" s="434" t="s">
        <v>547</v>
      </c>
      <c r="S298" s="424"/>
      <c r="T298" s="434" t="s">
        <v>548</v>
      </c>
      <c r="U298" s="434" t="s">
        <v>549</v>
      </c>
      <c r="V298" s="436" t="n">
        <f aca="false">AY303</f>
        <v>0</v>
      </c>
      <c r="BN298" s="427"/>
    </row>
    <row r="299" customFormat="false" ht="13.5" hidden="false" customHeight="false" outlineLevel="0" collapsed="false">
      <c r="A299" s="440"/>
      <c r="B299" s="424"/>
      <c r="C299" s="424"/>
      <c r="D299" s="424"/>
      <c r="E299" s="424"/>
      <c r="F299" s="424"/>
      <c r="G299" s="424"/>
      <c r="H299" s="424"/>
      <c r="I299" s="424"/>
      <c r="J299" s="424"/>
      <c r="K299" s="424"/>
      <c r="L299" s="424"/>
      <c r="M299" s="424"/>
      <c r="N299" s="424"/>
      <c r="O299" s="424"/>
      <c r="P299" s="424"/>
      <c r="Q299" s="435" t="n">
        <v>46</v>
      </c>
      <c r="R299" s="434" t="s">
        <v>550</v>
      </c>
      <c r="S299" s="424"/>
      <c r="T299" s="434" t="s">
        <v>551</v>
      </c>
      <c r="U299" s="434" t="s">
        <v>552</v>
      </c>
      <c r="V299" s="436" t="n">
        <f aca="false">AY304</f>
        <v>0</v>
      </c>
      <c r="BN299" s="427"/>
    </row>
    <row r="300" customFormat="false" ht="13.5" hidden="false" customHeight="false" outlineLevel="0" collapsed="false">
      <c r="A300" s="440"/>
      <c r="B300" s="424"/>
      <c r="C300" s="424"/>
      <c r="D300" s="424"/>
      <c r="E300" s="424"/>
      <c r="F300" s="424"/>
      <c r="G300" s="424"/>
      <c r="H300" s="424"/>
      <c r="I300" s="424"/>
      <c r="J300" s="424"/>
      <c r="K300" s="424"/>
      <c r="L300" s="424"/>
      <c r="M300" s="424"/>
      <c r="N300" s="424"/>
      <c r="O300" s="424"/>
      <c r="P300" s="424"/>
      <c r="Q300" s="435" t="n">
        <v>47</v>
      </c>
      <c r="R300" s="434" t="s">
        <v>553</v>
      </c>
      <c r="S300" s="424"/>
      <c r="T300" s="434" t="s">
        <v>554</v>
      </c>
      <c r="U300" s="434" t="s">
        <v>555</v>
      </c>
      <c r="V300" s="436" t="n">
        <f aca="false">AY305</f>
        <v>0</v>
      </c>
      <c r="BN300" s="427"/>
    </row>
    <row r="301" customFormat="false" ht="13.5" hidden="false" customHeight="false" outlineLevel="0" collapsed="false">
      <c r="A301" s="424"/>
      <c r="B301" s="424"/>
      <c r="C301" s="424"/>
      <c r="D301" s="424"/>
      <c r="E301" s="424"/>
      <c r="F301" s="424"/>
      <c r="G301" s="424"/>
      <c r="H301" s="424"/>
      <c r="I301" s="424"/>
      <c r="J301" s="424"/>
      <c r="K301" s="424"/>
      <c r="L301" s="424"/>
      <c r="M301" s="424"/>
      <c r="N301" s="424"/>
      <c r="O301" s="424"/>
      <c r="P301" s="424"/>
      <c r="Q301" s="435" t="n">
        <v>48</v>
      </c>
      <c r="R301" s="434" t="s">
        <v>556</v>
      </c>
      <c r="S301" s="424"/>
      <c r="T301" s="434" t="s">
        <v>557</v>
      </c>
      <c r="U301" s="434" t="s">
        <v>558</v>
      </c>
      <c r="V301" s="436" t="n">
        <f aca="false">AY306</f>
        <v>0</v>
      </c>
      <c r="BN301" s="427"/>
    </row>
    <row r="302" customFormat="false" ht="13.5" hidden="false" customHeight="false" outlineLevel="0" collapsed="false">
      <c r="A302" s="424"/>
      <c r="B302" s="424"/>
      <c r="C302" s="424"/>
      <c r="D302" s="424"/>
      <c r="E302" s="424"/>
      <c r="F302" s="424"/>
      <c r="G302" s="424"/>
      <c r="H302" s="424"/>
      <c r="I302" s="424"/>
      <c r="J302" s="424"/>
      <c r="K302" s="424"/>
      <c r="L302" s="424"/>
      <c r="M302" s="424"/>
      <c r="N302" s="424"/>
      <c r="O302" s="424"/>
      <c r="P302" s="424"/>
      <c r="Q302" s="435" t="n">
        <v>49</v>
      </c>
      <c r="R302" s="434" t="s">
        <v>559</v>
      </c>
      <c r="S302" s="424"/>
      <c r="T302" s="434" t="s">
        <v>560</v>
      </c>
      <c r="U302" s="434" t="s">
        <v>561</v>
      </c>
      <c r="V302" s="436" t="n">
        <f aca="false">AY307</f>
        <v>0</v>
      </c>
      <c r="BN302" s="427"/>
    </row>
    <row r="303" customFormat="false" ht="13.5" hidden="false" customHeight="false" outlineLevel="0" collapsed="false">
      <c r="A303" s="424"/>
      <c r="B303" s="424"/>
      <c r="C303" s="424"/>
      <c r="D303" s="424"/>
      <c r="E303" s="424"/>
      <c r="F303" s="424"/>
      <c r="G303" s="424"/>
      <c r="H303" s="424"/>
      <c r="I303" s="424"/>
      <c r="J303" s="424"/>
      <c r="K303" s="424"/>
      <c r="L303" s="424"/>
      <c r="M303" s="424"/>
      <c r="N303" s="424"/>
      <c r="O303" s="424"/>
      <c r="P303" s="424"/>
      <c r="Q303" s="435" t="n">
        <v>50</v>
      </c>
      <c r="R303" s="434" t="s">
        <v>562</v>
      </c>
      <c r="S303" s="424"/>
      <c r="T303" s="434" t="s">
        <v>563</v>
      </c>
      <c r="U303" s="434" t="s">
        <v>564</v>
      </c>
      <c r="V303" s="436" t="n">
        <f aca="false">AY308</f>
        <v>0</v>
      </c>
      <c r="BN303" s="427"/>
    </row>
    <row r="304" customFormat="false" ht="13.5" hidden="false" customHeight="false" outlineLevel="0" collapsed="false">
      <c r="A304" s="424"/>
      <c r="B304" s="424"/>
      <c r="C304" s="424"/>
      <c r="D304" s="424"/>
      <c r="E304" s="424"/>
      <c r="F304" s="424"/>
      <c r="G304" s="424"/>
      <c r="H304" s="424"/>
      <c r="I304" s="424"/>
      <c r="J304" s="424"/>
      <c r="K304" s="424"/>
      <c r="L304" s="424"/>
      <c r="M304" s="424"/>
      <c r="N304" s="424"/>
      <c r="O304" s="424"/>
      <c r="P304" s="424"/>
      <c r="Q304" s="435" t="n">
        <v>51</v>
      </c>
      <c r="R304" s="434" t="s">
        <v>565</v>
      </c>
      <c r="S304" s="424"/>
      <c r="T304" s="434" t="s">
        <v>566</v>
      </c>
      <c r="U304" s="434" t="s">
        <v>567</v>
      </c>
      <c r="V304" s="436" t="n">
        <f aca="false">AY309</f>
        <v>0</v>
      </c>
      <c r="BN304" s="427"/>
    </row>
    <row r="305" customFormat="false" ht="13.5" hidden="false" customHeight="false" outlineLevel="0" collapsed="false">
      <c r="A305" s="424"/>
      <c r="B305" s="424"/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P305" s="424"/>
      <c r="Q305" s="435" t="n">
        <v>52</v>
      </c>
      <c r="R305" s="434" t="s">
        <v>568</v>
      </c>
      <c r="S305" s="424"/>
      <c r="T305" s="434" t="s">
        <v>569</v>
      </c>
      <c r="U305" s="434" t="s">
        <v>570</v>
      </c>
      <c r="V305" s="436" t="n">
        <f aca="false">AY310</f>
        <v>0</v>
      </c>
      <c r="BN305" s="427"/>
    </row>
    <row r="306" customFormat="false" ht="13.5" hidden="false" customHeight="false" outlineLevel="0" collapsed="false">
      <c r="A306" s="424"/>
      <c r="B306" s="424"/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P306" s="424"/>
      <c r="Q306" s="435" t="n">
        <v>53</v>
      </c>
      <c r="R306" s="434" t="s">
        <v>571</v>
      </c>
      <c r="S306" s="424"/>
      <c r="T306" s="434" t="s">
        <v>572</v>
      </c>
      <c r="U306" s="434" t="s">
        <v>573</v>
      </c>
      <c r="V306" s="436" t="n">
        <f aca="false">AY311</f>
        <v>0</v>
      </c>
      <c r="BN306" s="427"/>
    </row>
    <row r="307" customFormat="false" ht="13.5" hidden="false" customHeight="false" outlineLevel="0" collapsed="false">
      <c r="A307" s="424"/>
      <c r="B307" s="424"/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P307" s="424"/>
      <c r="Q307" s="435" t="n">
        <v>54</v>
      </c>
      <c r="R307" s="434" t="s">
        <v>574</v>
      </c>
      <c r="S307" s="424"/>
      <c r="T307" s="434" t="s">
        <v>575</v>
      </c>
      <c r="U307" s="434" t="s">
        <v>576</v>
      </c>
      <c r="V307" s="436" t="n">
        <f aca="false">AY312</f>
        <v>0</v>
      </c>
      <c r="BN307" s="427"/>
    </row>
    <row r="308" customFormat="false" ht="13.5" hidden="false" customHeight="false" outlineLevel="0" collapsed="false">
      <c r="A308" s="424"/>
      <c r="B308" s="424"/>
      <c r="C308" s="424"/>
      <c r="D308" s="424"/>
      <c r="E308" s="424"/>
      <c r="F308" s="424"/>
      <c r="G308" s="424"/>
      <c r="H308" s="424"/>
      <c r="I308" s="424"/>
      <c r="J308" s="424"/>
      <c r="K308" s="424"/>
      <c r="L308" s="424"/>
      <c r="M308" s="424"/>
      <c r="N308" s="424"/>
      <c r="O308" s="424"/>
      <c r="P308" s="424"/>
      <c r="Q308" s="435" t="n">
        <v>55</v>
      </c>
      <c r="R308" s="434" t="s">
        <v>577</v>
      </c>
      <c r="S308" s="424"/>
      <c r="T308" s="434" t="s">
        <v>578</v>
      </c>
      <c r="U308" s="434" t="s">
        <v>579</v>
      </c>
      <c r="V308" s="436" t="n">
        <f aca="false">AY313</f>
        <v>0</v>
      </c>
      <c r="BN308" s="427"/>
    </row>
    <row r="309" customFormat="false" ht="13.5" hidden="false" customHeight="false" outlineLevel="0" collapsed="false">
      <c r="A309" s="424"/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  <c r="M309" s="424"/>
      <c r="N309" s="424"/>
      <c r="O309" s="424"/>
      <c r="P309" s="424"/>
      <c r="Q309" s="435" t="n">
        <v>56</v>
      </c>
      <c r="R309" s="434" t="s">
        <v>580</v>
      </c>
      <c r="S309" s="424"/>
      <c r="T309" s="434" t="s">
        <v>581</v>
      </c>
      <c r="U309" s="434" t="s">
        <v>582</v>
      </c>
      <c r="V309" s="436" t="n">
        <f aca="false">AY314</f>
        <v>0</v>
      </c>
      <c r="BN309" s="427"/>
    </row>
    <row r="310" customFormat="false" ht="13.5" hidden="false" customHeight="false" outlineLevel="0" collapsed="false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  <c r="M310" s="424"/>
      <c r="N310" s="424"/>
      <c r="O310" s="424"/>
      <c r="P310" s="424"/>
      <c r="Q310" s="435" t="n">
        <v>57</v>
      </c>
      <c r="R310" s="434" t="s">
        <v>583</v>
      </c>
      <c r="S310" s="424"/>
      <c r="T310" s="434" t="s">
        <v>584</v>
      </c>
      <c r="U310" s="434" t="s">
        <v>585</v>
      </c>
      <c r="V310" s="436" t="n">
        <f aca="false">AY315</f>
        <v>0</v>
      </c>
      <c r="BN310" s="427"/>
    </row>
    <row r="311" customFormat="false" ht="13.5" hidden="false" customHeight="false" outlineLevel="0" collapsed="false">
      <c r="A311" s="424"/>
      <c r="B311" s="424"/>
      <c r="C311" s="424"/>
      <c r="D311" s="424"/>
      <c r="E311" s="424"/>
      <c r="F311" s="424"/>
      <c r="G311" s="424"/>
      <c r="H311" s="424"/>
      <c r="I311" s="424"/>
      <c r="J311" s="424"/>
      <c r="K311" s="424"/>
      <c r="L311" s="424"/>
      <c r="M311" s="424"/>
      <c r="N311" s="424"/>
      <c r="O311" s="424"/>
      <c r="P311" s="424"/>
      <c r="Q311" s="435" t="n">
        <v>58</v>
      </c>
      <c r="R311" s="434" t="s">
        <v>586</v>
      </c>
      <c r="S311" s="424"/>
      <c r="T311" s="434" t="s">
        <v>587</v>
      </c>
      <c r="U311" s="434" t="s">
        <v>588</v>
      </c>
      <c r="V311" s="436" t="n">
        <f aca="false">AY316</f>
        <v>0</v>
      </c>
      <c r="BN311" s="427"/>
    </row>
    <row r="312" customFormat="false" ht="13.5" hidden="false" customHeight="false" outlineLevel="0" collapsed="false">
      <c r="A312" s="424"/>
      <c r="B312" s="424"/>
      <c r="C312" s="424"/>
      <c r="D312" s="424"/>
      <c r="E312" s="424"/>
      <c r="F312" s="424"/>
      <c r="G312" s="424"/>
      <c r="H312" s="424"/>
      <c r="I312" s="424"/>
      <c r="J312" s="424"/>
      <c r="K312" s="424"/>
      <c r="L312" s="424"/>
      <c r="M312" s="424"/>
      <c r="N312" s="424"/>
      <c r="O312" s="424"/>
      <c r="P312" s="424"/>
      <c r="Q312" s="435" t="n">
        <v>59</v>
      </c>
      <c r="R312" s="434" t="s">
        <v>589</v>
      </c>
      <c r="S312" s="424"/>
      <c r="T312" s="434" t="s">
        <v>590</v>
      </c>
      <c r="U312" s="434" t="s">
        <v>591</v>
      </c>
      <c r="V312" s="436" t="n">
        <f aca="false">AY317</f>
        <v>0</v>
      </c>
      <c r="BN312" s="427"/>
    </row>
    <row r="313" customFormat="false" ht="13.5" hidden="false" customHeight="false" outlineLevel="0" collapsed="false">
      <c r="A313" s="424"/>
      <c r="B313" s="424"/>
      <c r="C313" s="424"/>
      <c r="D313" s="424"/>
      <c r="E313" s="424"/>
      <c r="F313" s="424"/>
      <c r="G313" s="424"/>
      <c r="H313" s="424"/>
      <c r="I313" s="424"/>
      <c r="J313" s="424"/>
      <c r="K313" s="424"/>
      <c r="L313" s="424"/>
      <c r="M313" s="424"/>
      <c r="N313" s="424"/>
      <c r="O313" s="424"/>
      <c r="P313" s="424"/>
      <c r="Q313" s="435" t="n">
        <v>60</v>
      </c>
      <c r="R313" s="434" t="s">
        <v>592</v>
      </c>
      <c r="S313" s="424"/>
      <c r="T313" s="434" t="s">
        <v>593</v>
      </c>
      <c r="U313" s="434" t="s">
        <v>594</v>
      </c>
      <c r="V313" s="436" t="n">
        <f aca="false">AY318</f>
        <v>0</v>
      </c>
      <c r="BN313" s="427"/>
    </row>
    <row r="314" customFormat="false" ht="13.5" hidden="false" customHeight="false" outlineLevel="0" collapsed="false">
      <c r="A314" s="424"/>
      <c r="B314" s="424"/>
      <c r="C314" s="424"/>
      <c r="D314" s="424"/>
      <c r="E314" s="424"/>
      <c r="F314" s="424"/>
      <c r="G314" s="424"/>
      <c r="H314" s="424"/>
      <c r="I314" s="424"/>
      <c r="J314" s="424"/>
      <c r="K314" s="424"/>
      <c r="L314" s="424"/>
      <c r="M314" s="424"/>
      <c r="N314" s="424"/>
      <c r="O314" s="424"/>
      <c r="P314" s="424"/>
      <c r="Q314" s="435" t="n">
        <v>61</v>
      </c>
      <c r="R314" s="434" t="s">
        <v>595</v>
      </c>
      <c r="S314" s="424"/>
      <c r="T314" s="434" t="s">
        <v>596</v>
      </c>
      <c r="U314" s="434" t="s">
        <v>597</v>
      </c>
      <c r="V314" s="436" t="n">
        <f aca="false">AY319</f>
        <v>0</v>
      </c>
      <c r="BN314" s="427"/>
    </row>
    <row r="315" customFormat="false" ht="13.5" hidden="false" customHeight="false" outlineLevel="0" collapsed="false">
      <c r="A315" s="424"/>
      <c r="B315" s="424"/>
      <c r="C315" s="424"/>
      <c r="D315" s="424"/>
      <c r="E315" s="424"/>
      <c r="F315" s="424"/>
      <c r="G315" s="424"/>
      <c r="H315" s="424"/>
      <c r="I315" s="424"/>
      <c r="J315" s="424"/>
      <c r="K315" s="424"/>
      <c r="L315" s="424"/>
      <c r="M315" s="424"/>
      <c r="N315" s="424"/>
      <c r="O315" s="424"/>
      <c r="P315" s="424"/>
      <c r="Q315" s="435" t="n">
        <v>62</v>
      </c>
      <c r="R315" s="434" t="s">
        <v>598</v>
      </c>
      <c r="S315" s="424"/>
      <c r="T315" s="434" t="s">
        <v>599</v>
      </c>
      <c r="U315" s="434" t="s">
        <v>600</v>
      </c>
      <c r="V315" s="436" t="n">
        <f aca="false">AY320</f>
        <v>0</v>
      </c>
      <c r="BN315" s="427"/>
    </row>
    <row r="316" customFormat="false" ht="13.5" hidden="false" customHeight="false" outlineLevel="0" collapsed="false">
      <c r="A316" s="424"/>
      <c r="B316" s="424"/>
      <c r="C316" s="424"/>
      <c r="D316" s="424"/>
      <c r="E316" s="424"/>
      <c r="F316" s="424"/>
      <c r="G316" s="424"/>
      <c r="H316" s="424"/>
      <c r="I316" s="424"/>
      <c r="J316" s="424"/>
      <c r="K316" s="424"/>
      <c r="L316" s="424"/>
      <c r="M316" s="424"/>
      <c r="N316" s="424"/>
      <c r="O316" s="424"/>
      <c r="P316" s="424"/>
      <c r="Q316" s="435" t="n">
        <v>63</v>
      </c>
      <c r="R316" s="434" t="s">
        <v>601</v>
      </c>
      <c r="S316" s="424"/>
      <c r="T316" s="434" t="s">
        <v>602</v>
      </c>
      <c r="U316" s="434" t="s">
        <v>603</v>
      </c>
      <c r="V316" s="436" t="n">
        <f aca="false">AY321</f>
        <v>0</v>
      </c>
      <c r="BN316" s="427"/>
    </row>
    <row r="317" customFormat="false" ht="13.5" hidden="false" customHeight="false" outlineLevel="0" collapsed="false">
      <c r="A317" s="424"/>
      <c r="B317" s="424"/>
      <c r="C317" s="424"/>
      <c r="D317" s="424"/>
      <c r="E317" s="424"/>
      <c r="F317" s="424"/>
      <c r="G317" s="424"/>
      <c r="H317" s="424"/>
      <c r="I317" s="424"/>
      <c r="J317" s="424"/>
      <c r="K317" s="424"/>
      <c r="L317" s="424"/>
      <c r="M317" s="424"/>
      <c r="N317" s="424"/>
      <c r="O317" s="424"/>
      <c r="P317" s="424"/>
      <c r="Q317" s="435" t="n">
        <v>64</v>
      </c>
      <c r="R317" s="434" t="s">
        <v>604</v>
      </c>
      <c r="S317" s="424"/>
      <c r="T317" s="434" t="s">
        <v>605</v>
      </c>
      <c r="U317" s="434" t="s">
        <v>606</v>
      </c>
      <c r="V317" s="436" t="n">
        <f aca="false">AY322</f>
        <v>0</v>
      </c>
      <c r="BN317" s="427"/>
    </row>
    <row r="318" customFormat="false" ht="13.5" hidden="false" customHeight="false" outlineLevel="0" collapsed="false">
      <c r="A318" s="424"/>
      <c r="B318" s="424"/>
      <c r="C318" s="424"/>
      <c r="D318" s="424"/>
      <c r="E318" s="424"/>
      <c r="F318" s="424"/>
      <c r="G318" s="424"/>
      <c r="H318" s="424"/>
      <c r="I318" s="424"/>
      <c r="J318" s="424"/>
      <c r="K318" s="424"/>
      <c r="L318" s="424"/>
      <c r="M318" s="424"/>
      <c r="N318" s="424"/>
      <c r="O318" s="424"/>
      <c r="P318" s="424"/>
      <c r="Q318" s="435" t="n">
        <v>65</v>
      </c>
      <c r="R318" s="434" t="s">
        <v>607</v>
      </c>
      <c r="S318" s="424"/>
      <c r="T318" s="434" t="s">
        <v>608</v>
      </c>
      <c r="U318" s="434" t="s">
        <v>609</v>
      </c>
      <c r="V318" s="436" t="n">
        <f aca="false">AY323</f>
        <v>0</v>
      </c>
      <c r="BN318" s="427"/>
    </row>
    <row r="319" customFormat="false" ht="13.5" hidden="false" customHeight="false" outlineLevel="0" collapsed="false">
      <c r="A319" s="424"/>
      <c r="B319" s="424"/>
      <c r="C319" s="424"/>
      <c r="D319" s="424"/>
      <c r="E319" s="424"/>
      <c r="F319" s="424"/>
      <c r="G319" s="424"/>
      <c r="H319" s="424"/>
      <c r="I319" s="424"/>
      <c r="J319" s="424"/>
      <c r="K319" s="424"/>
      <c r="L319" s="424"/>
      <c r="M319" s="424"/>
      <c r="N319" s="424"/>
      <c r="O319" s="424"/>
      <c r="P319" s="424"/>
      <c r="Q319" s="435" t="n">
        <v>66</v>
      </c>
      <c r="R319" s="434" t="s">
        <v>610</v>
      </c>
      <c r="S319" s="424"/>
      <c r="T319" s="434" t="s">
        <v>611</v>
      </c>
      <c r="U319" s="434" t="s">
        <v>612</v>
      </c>
      <c r="V319" s="436" t="n">
        <f aca="false">AY324</f>
        <v>0</v>
      </c>
      <c r="BN319" s="427"/>
    </row>
    <row r="320" customFormat="false" ht="13.5" hidden="false" customHeight="false" outlineLevel="0" collapsed="false">
      <c r="A320" s="424"/>
      <c r="B320" s="424"/>
      <c r="C320" s="424"/>
      <c r="D320" s="424"/>
      <c r="E320" s="424"/>
      <c r="F320" s="424"/>
      <c r="G320" s="424"/>
      <c r="H320" s="424"/>
      <c r="I320" s="424"/>
      <c r="J320" s="424"/>
      <c r="K320" s="424"/>
      <c r="L320" s="424"/>
      <c r="M320" s="424"/>
      <c r="N320" s="424"/>
      <c r="O320" s="424"/>
      <c r="P320" s="424"/>
      <c r="Q320" s="435" t="n">
        <v>67</v>
      </c>
      <c r="R320" s="434" t="s">
        <v>613</v>
      </c>
      <c r="S320" s="424"/>
      <c r="T320" s="434" t="s">
        <v>614</v>
      </c>
      <c r="U320" s="434" t="s">
        <v>615</v>
      </c>
      <c r="V320" s="436" t="n">
        <f aca="false">AY325</f>
        <v>0</v>
      </c>
      <c r="BN320" s="427"/>
    </row>
    <row r="321" customFormat="false" ht="13.5" hidden="false" customHeight="false" outlineLevel="0" collapsed="false">
      <c r="A321" s="424"/>
      <c r="B321" s="424"/>
      <c r="C321" s="424"/>
      <c r="D321" s="424"/>
      <c r="E321" s="424"/>
      <c r="F321" s="424"/>
      <c r="G321" s="424"/>
      <c r="H321" s="424"/>
      <c r="I321" s="424"/>
      <c r="J321" s="424"/>
      <c r="K321" s="424"/>
      <c r="L321" s="424"/>
      <c r="M321" s="424"/>
      <c r="N321" s="424"/>
      <c r="O321" s="424"/>
      <c r="P321" s="424"/>
      <c r="Q321" s="435" t="n">
        <v>68</v>
      </c>
      <c r="R321" s="434" t="s">
        <v>616</v>
      </c>
      <c r="S321" s="424"/>
      <c r="T321" s="434" t="s">
        <v>617</v>
      </c>
      <c r="U321" s="434" t="s">
        <v>618</v>
      </c>
      <c r="V321" s="436" t="n">
        <f aca="false">AY326</f>
        <v>0</v>
      </c>
      <c r="BN321" s="427"/>
    </row>
    <row r="322" customFormat="false" ht="13.5" hidden="false" customHeight="false" outlineLevel="0" collapsed="false">
      <c r="A322" s="424"/>
      <c r="B322" s="424"/>
      <c r="C322" s="424"/>
      <c r="D322" s="424"/>
      <c r="E322" s="424"/>
      <c r="F322" s="424"/>
      <c r="G322" s="424"/>
      <c r="H322" s="424"/>
      <c r="I322" s="424"/>
      <c r="J322" s="424"/>
      <c r="K322" s="424"/>
      <c r="L322" s="424"/>
      <c r="M322" s="424"/>
      <c r="N322" s="424"/>
      <c r="O322" s="424"/>
      <c r="P322" s="424"/>
      <c r="Q322" s="435" t="n">
        <v>69</v>
      </c>
      <c r="R322" s="434" t="s">
        <v>619</v>
      </c>
      <c r="S322" s="424"/>
      <c r="T322" s="434" t="s">
        <v>620</v>
      </c>
      <c r="U322" s="434" t="s">
        <v>621</v>
      </c>
      <c r="V322" s="436" t="n">
        <f aca="false">AY327</f>
        <v>0</v>
      </c>
      <c r="BN322" s="427"/>
    </row>
    <row r="323" customFormat="false" ht="13.5" hidden="false" customHeight="false" outlineLevel="0" collapsed="false">
      <c r="A323" s="424"/>
      <c r="B323" s="424"/>
      <c r="C323" s="424"/>
      <c r="D323" s="424"/>
      <c r="E323" s="424"/>
      <c r="F323" s="424"/>
      <c r="G323" s="424"/>
      <c r="H323" s="424"/>
      <c r="I323" s="424"/>
      <c r="J323" s="424"/>
      <c r="K323" s="424"/>
      <c r="L323" s="424"/>
      <c r="M323" s="424"/>
      <c r="N323" s="424"/>
      <c r="O323" s="424"/>
      <c r="P323" s="424"/>
      <c r="Q323" s="435" t="n">
        <v>70</v>
      </c>
      <c r="R323" s="434" t="s">
        <v>622</v>
      </c>
      <c r="S323" s="424"/>
      <c r="T323" s="434" t="s">
        <v>623</v>
      </c>
      <c r="U323" s="434" t="s">
        <v>624</v>
      </c>
      <c r="V323" s="436" t="n">
        <f aca="false">AY328</f>
        <v>0</v>
      </c>
      <c r="BN323" s="427"/>
    </row>
    <row r="324" customFormat="false" ht="13.5" hidden="false" customHeight="false" outlineLevel="0" collapsed="false">
      <c r="A324" s="424"/>
      <c r="B324" s="424"/>
      <c r="C324" s="424"/>
      <c r="D324" s="424"/>
      <c r="E324" s="424"/>
      <c r="F324" s="424"/>
      <c r="G324" s="424"/>
      <c r="H324" s="424"/>
      <c r="I324" s="424"/>
      <c r="J324" s="424"/>
      <c r="K324" s="424"/>
      <c r="L324" s="424"/>
      <c r="M324" s="424"/>
      <c r="N324" s="424"/>
      <c r="O324" s="424"/>
      <c r="P324" s="424"/>
      <c r="Q324" s="435" t="n">
        <v>71</v>
      </c>
      <c r="R324" s="434" t="s">
        <v>625</v>
      </c>
      <c r="S324" s="424"/>
      <c r="T324" s="434" t="s">
        <v>626</v>
      </c>
      <c r="U324" s="434" t="s">
        <v>627</v>
      </c>
      <c r="V324" s="436" t="n">
        <f aca="false">AY329</f>
        <v>0</v>
      </c>
      <c r="BN324" s="427"/>
    </row>
    <row r="325" customFormat="false" ht="13.5" hidden="false" customHeight="false" outlineLevel="0" collapsed="false">
      <c r="A325" s="424"/>
      <c r="B325" s="424"/>
      <c r="C325" s="424"/>
      <c r="D325" s="424"/>
      <c r="E325" s="424"/>
      <c r="F325" s="424"/>
      <c r="G325" s="424"/>
      <c r="H325" s="424"/>
      <c r="I325" s="424"/>
      <c r="J325" s="424"/>
      <c r="K325" s="424"/>
      <c r="L325" s="424"/>
      <c r="M325" s="424"/>
      <c r="N325" s="424"/>
      <c r="O325" s="424"/>
      <c r="P325" s="424"/>
      <c r="Q325" s="435" t="n">
        <v>72</v>
      </c>
      <c r="R325" s="434" t="s">
        <v>628</v>
      </c>
      <c r="S325" s="424"/>
      <c r="T325" s="434" t="s">
        <v>629</v>
      </c>
      <c r="U325" s="434" t="s">
        <v>630</v>
      </c>
      <c r="V325" s="436" t="n">
        <f aca="false">AY330</f>
        <v>0</v>
      </c>
      <c r="BN325" s="427"/>
    </row>
    <row r="326" customFormat="false" ht="13.5" hidden="false" customHeight="false" outlineLevel="0" collapsed="false">
      <c r="A326" s="424"/>
      <c r="B326" s="424"/>
      <c r="C326" s="424"/>
      <c r="D326" s="424"/>
      <c r="E326" s="424"/>
      <c r="F326" s="424"/>
      <c r="G326" s="424"/>
      <c r="H326" s="424"/>
      <c r="I326" s="424"/>
      <c r="J326" s="424"/>
      <c r="K326" s="424"/>
      <c r="L326" s="424"/>
      <c r="M326" s="424"/>
      <c r="N326" s="424"/>
      <c r="O326" s="424"/>
      <c r="P326" s="424"/>
      <c r="Q326" s="435" t="n">
        <v>73</v>
      </c>
      <c r="R326" s="434" t="s">
        <v>631</v>
      </c>
      <c r="S326" s="424"/>
      <c r="T326" s="434" t="s">
        <v>632</v>
      </c>
      <c r="U326" s="434" t="s">
        <v>633</v>
      </c>
      <c r="V326" s="436" t="n">
        <f aca="false">AY331</f>
        <v>0</v>
      </c>
      <c r="BN326" s="427"/>
    </row>
    <row r="327" customFormat="false" ht="13.5" hidden="false" customHeight="false" outlineLevel="0" collapsed="false">
      <c r="A327" s="424"/>
      <c r="B327" s="424"/>
      <c r="C327" s="424"/>
      <c r="D327" s="424"/>
      <c r="E327" s="424"/>
      <c r="F327" s="424"/>
      <c r="G327" s="424"/>
      <c r="H327" s="424"/>
      <c r="I327" s="424"/>
      <c r="J327" s="424"/>
      <c r="K327" s="424"/>
      <c r="L327" s="424"/>
      <c r="M327" s="424"/>
      <c r="N327" s="424"/>
      <c r="O327" s="424"/>
      <c r="P327" s="424"/>
      <c r="Q327" s="435" t="n">
        <v>74</v>
      </c>
      <c r="R327" s="434" t="s">
        <v>634</v>
      </c>
      <c r="S327" s="424"/>
      <c r="T327" s="434" t="s">
        <v>635</v>
      </c>
      <c r="U327" s="434" t="s">
        <v>636</v>
      </c>
      <c r="V327" s="436" t="n">
        <f aca="false">AY332</f>
        <v>0</v>
      </c>
      <c r="BN327" s="427"/>
    </row>
    <row r="328" customFormat="false" ht="13.5" hidden="false" customHeight="false" outlineLevel="0" collapsed="false">
      <c r="A328" s="424"/>
      <c r="B328" s="424"/>
      <c r="C328" s="424"/>
      <c r="D328" s="424"/>
      <c r="E328" s="424"/>
      <c r="F328" s="424"/>
      <c r="G328" s="424"/>
      <c r="H328" s="424"/>
      <c r="I328" s="424"/>
      <c r="J328" s="424"/>
      <c r="K328" s="424"/>
      <c r="L328" s="424"/>
      <c r="M328" s="424"/>
      <c r="N328" s="424"/>
      <c r="O328" s="424"/>
      <c r="P328" s="424"/>
      <c r="Q328" s="435" t="n">
        <v>75</v>
      </c>
      <c r="R328" s="434" t="s">
        <v>637</v>
      </c>
      <c r="S328" s="424"/>
      <c r="T328" s="434" t="s">
        <v>638</v>
      </c>
      <c r="U328" s="434" t="s">
        <v>639</v>
      </c>
      <c r="V328" s="436" t="n">
        <f aca="false">AY333</f>
        <v>0</v>
      </c>
      <c r="BN328" s="427"/>
    </row>
    <row r="329" customFormat="false" ht="13.5" hidden="false" customHeight="false" outlineLevel="0" collapsed="false">
      <c r="A329" s="424"/>
      <c r="B329" s="424"/>
      <c r="C329" s="424"/>
      <c r="D329" s="424"/>
      <c r="E329" s="424"/>
      <c r="F329" s="424"/>
      <c r="G329" s="424"/>
      <c r="H329" s="424"/>
      <c r="I329" s="424"/>
      <c r="J329" s="424"/>
      <c r="K329" s="424"/>
      <c r="L329" s="424"/>
      <c r="M329" s="424"/>
      <c r="N329" s="424"/>
      <c r="O329" s="424"/>
      <c r="P329" s="424"/>
      <c r="Q329" s="435" t="n">
        <v>76</v>
      </c>
      <c r="R329" s="434" t="s">
        <v>640</v>
      </c>
      <c r="S329" s="424"/>
      <c r="T329" s="434" t="s">
        <v>641</v>
      </c>
      <c r="U329" s="434" t="s">
        <v>642</v>
      </c>
      <c r="V329" s="436" t="n">
        <f aca="false">AY334</f>
        <v>0</v>
      </c>
      <c r="BN329" s="427"/>
    </row>
    <row r="330" customFormat="false" ht="13.5" hidden="false" customHeight="false" outlineLevel="0" collapsed="false">
      <c r="A330" s="424"/>
      <c r="B330" s="424"/>
      <c r="C330" s="424"/>
      <c r="D330" s="424"/>
      <c r="E330" s="424"/>
      <c r="F330" s="424"/>
      <c r="G330" s="424"/>
      <c r="H330" s="424"/>
      <c r="I330" s="424"/>
      <c r="J330" s="424"/>
      <c r="K330" s="424"/>
      <c r="L330" s="424"/>
      <c r="M330" s="424"/>
      <c r="N330" s="424"/>
      <c r="O330" s="424"/>
      <c r="P330" s="424"/>
      <c r="Q330" s="435" t="n">
        <v>77</v>
      </c>
      <c r="R330" s="434" t="s">
        <v>643</v>
      </c>
      <c r="S330" s="424"/>
      <c r="T330" s="434" t="s">
        <v>644</v>
      </c>
      <c r="U330" s="434" t="s">
        <v>645</v>
      </c>
      <c r="V330" s="436" t="n">
        <f aca="false">AY335</f>
        <v>0</v>
      </c>
      <c r="BN330" s="427"/>
    </row>
    <row r="331" customFormat="false" ht="13.5" hidden="false" customHeight="false" outlineLevel="0" collapsed="false">
      <c r="A331" s="424"/>
      <c r="B331" s="424"/>
      <c r="C331" s="424"/>
      <c r="D331" s="424"/>
      <c r="E331" s="424"/>
      <c r="F331" s="424"/>
      <c r="G331" s="424"/>
      <c r="H331" s="424"/>
      <c r="I331" s="424"/>
      <c r="J331" s="424"/>
      <c r="K331" s="424"/>
      <c r="L331" s="424"/>
      <c r="M331" s="424"/>
      <c r="N331" s="424"/>
      <c r="O331" s="424"/>
      <c r="P331" s="424"/>
      <c r="Q331" s="435" t="n">
        <v>78</v>
      </c>
      <c r="R331" s="434" t="s">
        <v>646</v>
      </c>
      <c r="S331" s="424"/>
      <c r="T331" s="434" t="s">
        <v>647</v>
      </c>
      <c r="U331" s="434" t="s">
        <v>648</v>
      </c>
      <c r="V331" s="436" t="n">
        <f aca="false">AY336</f>
        <v>0</v>
      </c>
      <c r="BN331" s="427"/>
    </row>
    <row r="332" customFormat="false" ht="13.5" hidden="false" customHeight="false" outlineLevel="0" collapsed="false">
      <c r="A332" s="424"/>
      <c r="B332" s="424"/>
      <c r="C332" s="424"/>
      <c r="D332" s="424"/>
      <c r="E332" s="424"/>
      <c r="F332" s="424"/>
      <c r="G332" s="424"/>
      <c r="H332" s="424"/>
      <c r="I332" s="424"/>
      <c r="J332" s="424"/>
      <c r="K332" s="424"/>
      <c r="L332" s="424"/>
      <c r="M332" s="424"/>
      <c r="N332" s="424"/>
      <c r="O332" s="424"/>
      <c r="P332" s="424"/>
      <c r="Q332" s="435" t="n">
        <v>79</v>
      </c>
      <c r="R332" s="434" t="s">
        <v>649</v>
      </c>
      <c r="S332" s="424"/>
      <c r="T332" s="434" t="s">
        <v>650</v>
      </c>
      <c r="U332" s="434" t="s">
        <v>651</v>
      </c>
      <c r="V332" s="436" t="n">
        <f aca="false">AY337</f>
        <v>0</v>
      </c>
      <c r="BN332" s="427"/>
    </row>
    <row r="333" customFormat="false" ht="13.5" hidden="false" customHeight="false" outlineLevel="0" collapsed="false">
      <c r="A333" s="424"/>
      <c r="B333" s="424"/>
      <c r="C333" s="424"/>
      <c r="D333" s="424"/>
      <c r="E333" s="424"/>
      <c r="F333" s="424"/>
      <c r="G333" s="424"/>
      <c r="H333" s="424"/>
      <c r="I333" s="424"/>
      <c r="J333" s="424"/>
      <c r="K333" s="424"/>
      <c r="L333" s="424"/>
      <c r="M333" s="424"/>
      <c r="N333" s="424"/>
      <c r="O333" s="424"/>
      <c r="P333" s="424"/>
      <c r="Q333" s="435" t="n">
        <v>80</v>
      </c>
      <c r="R333" s="434" t="s">
        <v>652</v>
      </c>
      <c r="S333" s="424"/>
      <c r="T333" s="434" t="s">
        <v>653</v>
      </c>
      <c r="U333" s="434" t="s">
        <v>654</v>
      </c>
      <c r="V333" s="436" t="n">
        <f aca="false">AY338</f>
        <v>0</v>
      </c>
      <c r="BN333" s="427"/>
    </row>
    <row r="334" customFormat="false" ht="13.5" hidden="false" customHeight="false" outlineLevel="0" collapsed="false">
      <c r="A334" s="424"/>
      <c r="B334" s="424"/>
      <c r="C334" s="424"/>
      <c r="D334" s="424"/>
      <c r="E334" s="424"/>
      <c r="F334" s="424"/>
      <c r="G334" s="424"/>
      <c r="H334" s="424"/>
      <c r="I334" s="424"/>
      <c r="J334" s="424"/>
      <c r="K334" s="424"/>
      <c r="L334" s="424"/>
      <c r="M334" s="424"/>
      <c r="N334" s="424"/>
      <c r="O334" s="424"/>
      <c r="P334" s="424"/>
      <c r="Q334" s="435" t="n">
        <v>81</v>
      </c>
      <c r="R334" s="434" t="s">
        <v>655</v>
      </c>
      <c r="S334" s="424"/>
      <c r="T334" s="434" t="s">
        <v>656</v>
      </c>
      <c r="U334" s="434" t="s">
        <v>657</v>
      </c>
      <c r="V334" s="436" t="n">
        <f aca="false">AY339</f>
        <v>0</v>
      </c>
      <c r="BN334" s="427"/>
    </row>
    <row r="335" customFormat="false" ht="13.5" hidden="false" customHeight="false" outlineLevel="0" collapsed="false">
      <c r="A335" s="424"/>
      <c r="B335" s="424"/>
      <c r="C335" s="424"/>
      <c r="D335" s="424"/>
      <c r="E335" s="424"/>
      <c r="F335" s="424"/>
      <c r="G335" s="424"/>
      <c r="H335" s="424"/>
      <c r="I335" s="424"/>
      <c r="J335" s="424"/>
      <c r="K335" s="424"/>
      <c r="L335" s="424"/>
      <c r="M335" s="424"/>
      <c r="N335" s="424"/>
      <c r="O335" s="424"/>
      <c r="P335" s="424"/>
      <c r="Q335" s="435" t="n">
        <v>82</v>
      </c>
      <c r="R335" s="434" t="s">
        <v>658</v>
      </c>
      <c r="S335" s="424"/>
      <c r="T335" s="434" t="s">
        <v>659</v>
      </c>
      <c r="U335" s="434" t="s">
        <v>660</v>
      </c>
      <c r="V335" s="436" t="n">
        <f aca="false">AY340</f>
        <v>0</v>
      </c>
      <c r="BN335" s="427"/>
    </row>
    <row r="336" customFormat="false" ht="13.5" hidden="false" customHeight="false" outlineLevel="0" collapsed="false">
      <c r="A336" s="424"/>
      <c r="B336" s="424"/>
      <c r="C336" s="424"/>
      <c r="D336" s="424"/>
      <c r="E336" s="424"/>
      <c r="F336" s="424"/>
      <c r="G336" s="424"/>
      <c r="H336" s="424"/>
      <c r="I336" s="424"/>
      <c r="J336" s="424"/>
      <c r="K336" s="424"/>
      <c r="L336" s="424"/>
      <c r="M336" s="424"/>
      <c r="N336" s="424"/>
      <c r="O336" s="424"/>
      <c r="P336" s="424"/>
      <c r="Q336" s="435" t="n">
        <v>83</v>
      </c>
      <c r="R336" s="434" t="s">
        <v>661</v>
      </c>
      <c r="S336" s="424"/>
      <c r="T336" s="434" t="s">
        <v>662</v>
      </c>
      <c r="U336" s="434" t="s">
        <v>663</v>
      </c>
      <c r="V336" s="436" t="n">
        <f aca="false">AY341</f>
        <v>0</v>
      </c>
      <c r="BN336" s="427"/>
    </row>
    <row r="337" customFormat="false" ht="13.5" hidden="false" customHeight="false" outlineLevel="0" collapsed="false">
      <c r="A337" s="424"/>
      <c r="B337" s="424"/>
      <c r="C337" s="424"/>
      <c r="D337" s="424"/>
      <c r="E337" s="424"/>
      <c r="F337" s="424"/>
      <c r="G337" s="424"/>
      <c r="H337" s="424"/>
      <c r="I337" s="424"/>
      <c r="J337" s="424"/>
      <c r="K337" s="424"/>
      <c r="L337" s="424"/>
      <c r="M337" s="424"/>
      <c r="N337" s="424"/>
      <c r="O337" s="424"/>
      <c r="P337" s="424"/>
      <c r="Q337" s="435" t="n">
        <v>84</v>
      </c>
      <c r="R337" s="434" t="s">
        <v>664</v>
      </c>
      <c r="S337" s="424"/>
      <c r="T337" s="434" t="s">
        <v>665</v>
      </c>
      <c r="U337" s="434" t="s">
        <v>666</v>
      </c>
      <c r="V337" s="436" t="n">
        <f aca="false">AY342</f>
        <v>0</v>
      </c>
      <c r="BN337" s="427"/>
    </row>
    <row r="338" customFormat="false" ht="13.5" hidden="false" customHeight="false" outlineLevel="0" collapsed="false">
      <c r="A338" s="424"/>
      <c r="B338" s="424"/>
      <c r="C338" s="424"/>
      <c r="D338" s="424"/>
      <c r="E338" s="424"/>
      <c r="F338" s="424"/>
      <c r="G338" s="424"/>
      <c r="H338" s="424"/>
      <c r="I338" s="424"/>
      <c r="J338" s="424"/>
      <c r="K338" s="424"/>
      <c r="L338" s="424"/>
      <c r="M338" s="424"/>
      <c r="N338" s="424"/>
      <c r="O338" s="424"/>
      <c r="P338" s="424"/>
      <c r="Q338" s="435" t="n">
        <v>85</v>
      </c>
      <c r="R338" s="434" t="s">
        <v>667</v>
      </c>
      <c r="S338" s="424"/>
      <c r="T338" s="434" t="s">
        <v>668</v>
      </c>
      <c r="U338" s="434" t="s">
        <v>669</v>
      </c>
      <c r="V338" s="436" t="n">
        <f aca="false">AY343</f>
        <v>0</v>
      </c>
      <c r="BN338" s="427"/>
    </row>
    <row r="339" customFormat="false" ht="13.5" hidden="false" customHeight="false" outlineLevel="0" collapsed="false">
      <c r="A339" s="424"/>
      <c r="B339" s="424"/>
      <c r="C339" s="424"/>
      <c r="D339" s="424"/>
      <c r="E339" s="424"/>
      <c r="F339" s="424"/>
      <c r="G339" s="424"/>
      <c r="H339" s="424"/>
      <c r="I339" s="424"/>
      <c r="J339" s="424"/>
      <c r="K339" s="424"/>
      <c r="L339" s="424"/>
      <c r="M339" s="424"/>
      <c r="N339" s="424"/>
      <c r="O339" s="424"/>
      <c r="P339" s="424"/>
      <c r="Q339" s="435" t="n">
        <v>86</v>
      </c>
      <c r="R339" s="434" t="s">
        <v>670</v>
      </c>
      <c r="S339" s="424"/>
      <c r="T339" s="434" t="s">
        <v>671</v>
      </c>
      <c r="U339" s="434" t="s">
        <v>672</v>
      </c>
      <c r="V339" s="436" t="n">
        <f aca="false">AY344</f>
        <v>0</v>
      </c>
      <c r="BN339" s="427"/>
    </row>
    <row r="340" customFormat="false" ht="13.5" hidden="false" customHeight="false" outlineLevel="0" collapsed="false">
      <c r="A340" s="424"/>
      <c r="B340" s="424"/>
      <c r="C340" s="424"/>
      <c r="D340" s="424"/>
      <c r="E340" s="424"/>
      <c r="F340" s="424"/>
      <c r="G340" s="424"/>
      <c r="H340" s="424"/>
      <c r="I340" s="424"/>
      <c r="J340" s="424"/>
      <c r="K340" s="424"/>
      <c r="L340" s="424"/>
      <c r="M340" s="424"/>
      <c r="N340" s="424"/>
      <c r="O340" s="424"/>
      <c r="P340" s="424"/>
      <c r="Q340" s="435" t="n">
        <v>87</v>
      </c>
      <c r="R340" s="434" t="s">
        <v>673</v>
      </c>
      <c r="S340" s="424"/>
      <c r="T340" s="434" t="s">
        <v>674</v>
      </c>
      <c r="U340" s="434" t="s">
        <v>675</v>
      </c>
      <c r="V340" s="436" t="n">
        <f aca="false">AY345</f>
        <v>0</v>
      </c>
      <c r="BN340" s="427"/>
    </row>
    <row r="341" customFormat="false" ht="13.5" hidden="false" customHeight="false" outlineLevel="0" collapsed="false">
      <c r="A341" s="424"/>
      <c r="B341" s="424"/>
      <c r="C341" s="424"/>
      <c r="D341" s="424"/>
      <c r="E341" s="424"/>
      <c r="F341" s="424"/>
      <c r="G341" s="424"/>
      <c r="H341" s="424"/>
      <c r="I341" s="424"/>
      <c r="J341" s="424"/>
      <c r="K341" s="424"/>
      <c r="L341" s="424"/>
      <c r="M341" s="424"/>
      <c r="N341" s="424"/>
      <c r="O341" s="424"/>
      <c r="P341" s="424"/>
      <c r="Q341" s="435" t="n">
        <v>88</v>
      </c>
      <c r="R341" s="434" t="s">
        <v>676</v>
      </c>
      <c r="S341" s="424"/>
      <c r="T341" s="434" t="s">
        <v>677</v>
      </c>
      <c r="U341" s="434" t="s">
        <v>678</v>
      </c>
      <c r="V341" s="436" t="n">
        <f aca="false">AY346</f>
        <v>0</v>
      </c>
      <c r="BN341" s="427"/>
    </row>
    <row r="342" customFormat="false" ht="13.5" hidden="false" customHeight="false" outlineLevel="0" collapsed="false">
      <c r="A342" s="424"/>
      <c r="B342" s="424"/>
      <c r="C342" s="424"/>
      <c r="D342" s="424"/>
      <c r="E342" s="424"/>
      <c r="F342" s="424"/>
      <c r="G342" s="424"/>
      <c r="H342" s="424"/>
      <c r="I342" s="424"/>
      <c r="J342" s="424"/>
      <c r="K342" s="424"/>
      <c r="L342" s="424"/>
      <c r="M342" s="424"/>
      <c r="N342" s="424"/>
      <c r="O342" s="424"/>
      <c r="P342" s="424"/>
      <c r="Q342" s="435" t="n">
        <v>89</v>
      </c>
      <c r="R342" s="434" t="s">
        <v>679</v>
      </c>
      <c r="S342" s="424"/>
      <c r="T342" s="434" t="s">
        <v>680</v>
      </c>
      <c r="U342" s="434" t="s">
        <v>681</v>
      </c>
      <c r="V342" s="436" t="n">
        <f aca="false">AY347</f>
        <v>0</v>
      </c>
      <c r="BN342" s="427"/>
    </row>
    <row r="343" customFormat="false" ht="13.5" hidden="false" customHeight="false" outlineLevel="0" collapsed="false">
      <c r="A343" s="424"/>
      <c r="B343" s="424"/>
      <c r="C343" s="424"/>
      <c r="D343" s="424"/>
      <c r="E343" s="424"/>
      <c r="F343" s="424"/>
      <c r="G343" s="424"/>
      <c r="H343" s="424"/>
      <c r="I343" s="424"/>
      <c r="J343" s="424"/>
      <c r="K343" s="424"/>
      <c r="L343" s="424"/>
      <c r="M343" s="424"/>
      <c r="N343" s="424"/>
      <c r="O343" s="424"/>
      <c r="P343" s="424"/>
      <c r="Q343" s="435" t="n">
        <v>90</v>
      </c>
      <c r="R343" s="434" t="s">
        <v>682</v>
      </c>
      <c r="S343" s="424"/>
      <c r="T343" s="434" t="s">
        <v>683</v>
      </c>
      <c r="U343" s="434" t="s">
        <v>684</v>
      </c>
      <c r="V343" s="436" t="n">
        <f aca="false">AY348</f>
        <v>0</v>
      </c>
      <c r="BN343" s="427"/>
    </row>
    <row r="344" customFormat="false" ht="13.5" hidden="false" customHeight="false" outlineLevel="0" collapsed="false">
      <c r="A344" s="424"/>
      <c r="B344" s="424"/>
      <c r="C344" s="424"/>
      <c r="D344" s="424"/>
      <c r="E344" s="424"/>
      <c r="F344" s="424"/>
      <c r="G344" s="424"/>
      <c r="H344" s="424"/>
      <c r="I344" s="424"/>
      <c r="J344" s="424"/>
      <c r="K344" s="424"/>
      <c r="L344" s="424"/>
      <c r="M344" s="424"/>
      <c r="N344" s="424"/>
      <c r="O344" s="424"/>
      <c r="P344" s="424"/>
      <c r="Q344" s="435" t="n">
        <v>91</v>
      </c>
      <c r="R344" s="434" t="s">
        <v>685</v>
      </c>
      <c r="S344" s="424"/>
      <c r="T344" s="434" t="s">
        <v>686</v>
      </c>
      <c r="U344" s="434" t="s">
        <v>687</v>
      </c>
      <c r="V344" s="436" t="n">
        <f aca="false">AY349</f>
        <v>0</v>
      </c>
      <c r="BN344" s="427"/>
    </row>
    <row r="345" customFormat="false" ht="13.5" hidden="false" customHeight="false" outlineLevel="0" collapsed="false">
      <c r="A345" s="424"/>
      <c r="B345" s="424"/>
      <c r="C345" s="424"/>
      <c r="D345" s="424"/>
      <c r="E345" s="424"/>
      <c r="F345" s="424"/>
      <c r="G345" s="424"/>
      <c r="H345" s="424"/>
      <c r="I345" s="424"/>
      <c r="J345" s="424"/>
      <c r="K345" s="424"/>
      <c r="L345" s="424"/>
      <c r="M345" s="424"/>
      <c r="N345" s="424"/>
      <c r="O345" s="424"/>
      <c r="P345" s="424"/>
      <c r="Q345" s="435" t="n">
        <v>92</v>
      </c>
      <c r="R345" s="434" t="s">
        <v>688</v>
      </c>
      <c r="S345" s="424"/>
      <c r="T345" s="434" t="s">
        <v>689</v>
      </c>
      <c r="U345" s="434" t="s">
        <v>690</v>
      </c>
      <c r="V345" s="436" t="n">
        <f aca="false">AY350</f>
        <v>0</v>
      </c>
      <c r="BN345" s="427"/>
    </row>
    <row r="346" customFormat="false" ht="13.5" hidden="false" customHeight="false" outlineLevel="0" collapsed="false">
      <c r="A346" s="424"/>
      <c r="B346" s="424"/>
      <c r="C346" s="424"/>
      <c r="D346" s="424"/>
      <c r="E346" s="424"/>
      <c r="F346" s="424"/>
      <c r="G346" s="424"/>
      <c r="H346" s="424"/>
      <c r="I346" s="424"/>
      <c r="J346" s="424"/>
      <c r="K346" s="424"/>
      <c r="L346" s="424"/>
      <c r="M346" s="424"/>
      <c r="N346" s="424"/>
      <c r="O346" s="424"/>
      <c r="P346" s="424"/>
      <c r="Q346" s="435" t="n">
        <v>93</v>
      </c>
      <c r="R346" s="434" t="s">
        <v>691</v>
      </c>
      <c r="S346" s="424"/>
      <c r="T346" s="434" t="s">
        <v>692</v>
      </c>
      <c r="U346" s="434" t="s">
        <v>693</v>
      </c>
      <c r="V346" s="436" t="n">
        <f aca="false">AY351</f>
        <v>0</v>
      </c>
      <c r="BN346" s="427"/>
    </row>
    <row r="347" customFormat="false" ht="13.5" hidden="false" customHeight="false" outlineLevel="0" collapsed="false">
      <c r="A347" s="424"/>
      <c r="B347" s="424"/>
      <c r="C347" s="424"/>
      <c r="D347" s="424"/>
      <c r="E347" s="424"/>
      <c r="F347" s="424"/>
      <c r="G347" s="424"/>
      <c r="H347" s="424"/>
      <c r="I347" s="424"/>
      <c r="J347" s="424"/>
      <c r="K347" s="424"/>
      <c r="L347" s="424"/>
      <c r="M347" s="424"/>
      <c r="N347" s="424"/>
      <c r="O347" s="424"/>
      <c r="P347" s="424"/>
      <c r="Q347" s="435" t="n">
        <v>94</v>
      </c>
      <c r="R347" s="434" t="s">
        <v>694</v>
      </c>
      <c r="S347" s="424"/>
      <c r="T347" s="434" t="s">
        <v>695</v>
      </c>
      <c r="U347" s="434" t="s">
        <v>696</v>
      </c>
      <c r="V347" s="436" t="n">
        <f aca="false">AY352</f>
        <v>0</v>
      </c>
      <c r="BN347" s="427"/>
    </row>
    <row r="348" customFormat="false" ht="13.5" hidden="false" customHeight="false" outlineLevel="0" collapsed="false">
      <c r="A348" s="424"/>
      <c r="B348" s="424"/>
      <c r="C348" s="424"/>
      <c r="D348" s="424"/>
      <c r="E348" s="424"/>
      <c r="F348" s="424"/>
      <c r="G348" s="424"/>
      <c r="H348" s="424"/>
      <c r="I348" s="424"/>
      <c r="J348" s="424"/>
      <c r="K348" s="424"/>
      <c r="L348" s="424"/>
      <c r="M348" s="424"/>
      <c r="N348" s="424"/>
      <c r="O348" s="424"/>
      <c r="P348" s="424"/>
      <c r="Q348" s="435" t="n">
        <v>95</v>
      </c>
      <c r="R348" s="434" t="s">
        <v>697</v>
      </c>
      <c r="S348" s="424"/>
      <c r="T348" s="434" t="s">
        <v>698</v>
      </c>
      <c r="U348" s="434" t="s">
        <v>699</v>
      </c>
      <c r="V348" s="436" t="n">
        <f aca="false">AY353</f>
        <v>0</v>
      </c>
      <c r="BN348" s="427"/>
    </row>
    <row r="349" customFormat="false" ht="13.5" hidden="false" customHeight="false" outlineLevel="0" collapsed="false">
      <c r="A349" s="424"/>
      <c r="B349" s="424"/>
      <c r="C349" s="424"/>
      <c r="D349" s="424"/>
      <c r="E349" s="424"/>
      <c r="F349" s="424"/>
      <c r="G349" s="424"/>
      <c r="H349" s="424"/>
      <c r="I349" s="424"/>
      <c r="J349" s="424"/>
      <c r="K349" s="424"/>
      <c r="L349" s="424"/>
      <c r="M349" s="424"/>
      <c r="N349" s="424"/>
      <c r="O349" s="424"/>
      <c r="P349" s="424"/>
      <c r="Q349" s="435" t="n">
        <v>96</v>
      </c>
      <c r="R349" s="434" t="s">
        <v>700</v>
      </c>
      <c r="S349" s="424"/>
      <c r="T349" s="434" t="s">
        <v>701</v>
      </c>
      <c r="U349" s="434" t="s">
        <v>702</v>
      </c>
      <c r="V349" s="436" t="n">
        <f aca="false">AY354</f>
        <v>0</v>
      </c>
      <c r="BN349" s="427"/>
    </row>
    <row r="350" customFormat="false" ht="13.5" hidden="false" customHeight="false" outlineLevel="0" collapsed="false">
      <c r="A350" s="424"/>
      <c r="B350" s="424"/>
      <c r="C350" s="424"/>
      <c r="D350" s="424"/>
      <c r="E350" s="424"/>
      <c r="F350" s="424"/>
      <c r="G350" s="424"/>
      <c r="H350" s="424"/>
      <c r="I350" s="424"/>
      <c r="J350" s="424"/>
      <c r="K350" s="424"/>
      <c r="L350" s="424"/>
      <c r="M350" s="424"/>
      <c r="N350" s="424"/>
      <c r="O350" s="424"/>
      <c r="P350" s="424"/>
      <c r="Q350" s="435" t="n">
        <v>97</v>
      </c>
      <c r="R350" s="434" t="s">
        <v>703</v>
      </c>
      <c r="S350" s="424"/>
      <c r="T350" s="434" t="s">
        <v>704</v>
      </c>
      <c r="U350" s="434" t="s">
        <v>705</v>
      </c>
      <c r="V350" s="436" t="n">
        <f aca="false">AY355</f>
        <v>0</v>
      </c>
      <c r="BN350" s="427"/>
    </row>
    <row r="351" customFormat="false" ht="13.5" hidden="false" customHeight="false" outlineLevel="0" collapsed="false">
      <c r="A351" s="424"/>
      <c r="B351" s="424"/>
      <c r="C351" s="424"/>
      <c r="D351" s="424"/>
      <c r="E351" s="424"/>
      <c r="F351" s="424"/>
      <c r="G351" s="424"/>
      <c r="H351" s="424"/>
      <c r="I351" s="424"/>
      <c r="J351" s="424"/>
      <c r="K351" s="424"/>
      <c r="L351" s="424"/>
      <c r="M351" s="424"/>
      <c r="N351" s="424"/>
      <c r="O351" s="424"/>
      <c r="P351" s="424"/>
      <c r="Q351" s="435" t="n">
        <v>98</v>
      </c>
      <c r="R351" s="434" t="s">
        <v>706</v>
      </c>
      <c r="S351" s="424"/>
      <c r="T351" s="434" t="s">
        <v>707</v>
      </c>
      <c r="U351" s="434" t="s">
        <v>708</v>
      </c>
      <c r="V351" s="436" t="n">
        <f aca="false">AY356</f>
        <v>0</v>
      </c>
    </row>
    <row r="352" customFormat="false" ht="13.5" hidden="false" customHeight="false" outlineLevel="0" collapsed="false">
      <c r="A352" s="424"/>
      <c r="B352" s="424"/>
      <c r="C352" s="424"/>
      <c r="D352" s="424"/>
      <c r="E352" s="424"/>
      <c r="F352" s="424"/>
      <c r="G352" s="424"/>
      <c r="H352" s="424"/>
      <c r="I352" s="424"/>
      <c r="J352" s="424"/>
      <c r="K352" s="424"/>
      <c r="L352" s="424"/>
      <c r="M352" s="424"/>
      <c r="N352" s="424"/>
      <c r="O352" s="424"/>
      <c r="P352" s="424"/>
      <c r="Q352" s="435" t="n">
        <v>99</v>
      </c>
      <c r="R352" s="434" t="s">
        <v>709</v>
      </c>
      <c r="S352" s="424"/>
      <c r="T352" s="434" t="s">
        <v>710</v>
      </c>
      <c r="U352" s="434" t="s">
        <v>711</v>
      </c>
      <c r="V352" s="436" t="n">
        <f aca="false">AY357</f>
        <v>0</v>
      </c>
    </row>
    <row r="353" customFormat="false" ht="13.5" hidden="false" customHeight="false" outlineLevel="0" collapsed="false">
      <c r="A353" s="424"/>
      <c r="B353" s="424"/>
      <c r="C353" s="424"/>
      <c r="D353" s="424"/>
      <c r="E353" s="424"/>
      <c r="F353" s="424"/>
      <c r="G353" s="424"/>
      <c r="H353" s="424"/>
      <c r="I353" s="424"/>
      <c r="J353" s="424"/>
      <c r="K353" s="424"/>
      <c r="L353" s="424"/>
      <c r="M353" s="424"/>
      <c r="N353" s="424"/>
      <c r="O353" s="424"/>
      <c r="P353" s="424"/>
      <c r="Q353" s="424"/>
      <c r="R353" s="424"/>
      <c r="S353" s="424"/>
      <c r="T353" s="424"/>
      <c r="U353" s="424"/>
      <c r="V353" s="436" t="n">
        <f aca="false">AY358</f>
        <v>0</v>
      </c>
    </row>
    <row r="354" customFormat="false" ht="13.5" hidden="false" customHeight="false" outlineLevel="0" collapsed="false">
      <c r="A354" s="424"/>
      <c r="B354" s="424"/>
      <c r="C354" s="424"/>
      <c r="D354" s="424"/>
      <c r="E354" s="424"/>
      <c r="F354" s="424"/>
      <c r="G354" s="424"/>
      <c r="H354" s="424"/>
      <c r="I354" s="424"/>
      <c r="J354" s="424"/>
      <c r="K354" s="424"/>
      <c r="L354" s="424"/>
      <c r="M354" s="424"/>
      <c r="N354" s="424"/>
      <c r="O354" s="424"/>
      <c r="P354" s="424"/>
      <c r="Q354" s="424"/>
      <c r="R354" s="424"/>
      <c r="S354" s="424"/>
      <c r="T354" s="424"/>
      <c r="U354" s="424"/>
      <c r="V354" s="436" t="n">
        <f aca="false">AY359</f>
        <v>0</v>
      </c>
    </row>
    <row r="355" customFormat="false" ht="13.5" hidden="false" customHeight="false" outlineLevel="0" collapsed="false">
      <c r="A355" s="424"/>
      <c r="B355" s="424"/>
      <c r="C355" s="424"/>
      <c r="D355" s="424"/>
      <c r="E355" s="424"/>
      <c r="F355" s="424"/>
      <c r="G355" s="424"/>
      <c r="H355" s="424"/>
      <c r="I355" s="424"/>
      <c r="J355" s="424"/>
      <c r="K355" s="424"/>
      <c r="L355" s="424"/>
      <c r="M355" s="424"/>
      <c r="N355" s="424"/>
      <c r="O355" s="424"/>
      <c r="P355" s="424"/>
      <c r="Q355" s="424"/>
      <c r="R355" s="424"/>
      <c r="S355" s="424"/>
      <c r="T355" s="424"/>
      <c r="U355" s="424"/>
      <c r="V355" s="436" t="n">
        <f aca="false">AY360</f>
        <v>0</v>
      </c>
    </row>
    <row r="356" customFormat="false" ht="13.5" hidden="false" customHeight="false" outlineLevel="0" collapsed="false">
      <c r="A356" s="424"/>
      <c r="B356" s="424"/>
      <c r="C356" s="424"/>
      <c r="D356" s="424"/>
      <c r="E356" s="424"/>
      <c r="F356" s="424"/>
      <c r="G356" s="424"/>
      <c r="H356" s="424"/>
      <c r="I356" s="424"/>
      <c r="J356" s="424"/>
      <c r="K356" s="424"/>
      <c r="L356" s="424"/>
      <c r="M356" s="424"/>
      <c r="N356" s="424"/>
      <c r="O356" s="424"/>
      <c r="P356" s="424"/>
      <c r="Q356" s="424"/>
      <c r="R356" s="424"/>
      <c r="S356" s="424"/>
      <c r="T356" s="424"/>
      <c r="U356" s="424"/>
      <c r="V356" s="436" t="n">
        <f aca="false">AY361</f>
        <v>0</v>
      </c>
    </row>
    <row r="357" customFormat="false" ht="13.5" hidden="false" customHeight="false" outlineLevel="0" collapsed="false">
      <c r="A357" s="424"/>
      <c r="B357" s="424"/>
      <c r="C357" s="424"/>
      <c r="D357" s="424"/>
      <c r="E357" s="424"/>
      <c r="F357" s="424"/>
      <c r="G357" s="424"/>
      <c r="H357" s="424"/>
      <c r="I357" s="424"/>
      <c r="J357" s="424"/>
      <c r="K357" s="424"/>
      <c r="L357" s="424"/>
      <c r="M357" s="424"/>
      <c r="N357" s="424"/>
      <c r="O357" s="424"/>
      <c r="P357" s="424"/>
      <c r="Q357" s="424"/>
      <c r="R357" s="424"/>
      <c r="S357" s="424"/>
      <c r="T357" s="424"/>
      <c r="U357" s="424"/>
      <c r="V357" s="436" t="n">
        <f aca="false">AY362</f>
        <v>0</v>
      </c>
    </row>
    <row r="358" customFormat="false" ht="13.5" hidden="false" customHeight="false" outlineLevel="0" collapsed="false">
      <c r="A358" s="424"/>
      <c r="B358" s="424"/>
      <c r="C358" s="424"/>
      <c r="D358" s="424"/>
      <c r="E358" s="424"/>
      <c r="F358" s="424"/>
      <c r="G358" s="424"/>
      <c r="H358" s="424"/>
      <c r="I358" s="424"/>
      <c r="J358" s="424"/>
      <c r="K358" s="424"/>
      <c r="L358" s="424"/>
      <c r="M358" s="424"/>
      <c r="N358" s="424"/>
      <c r="O358" s="424"/>
      <c r="P358" s="424"/>
      <c r="Q358" s="424"/>
      <c r="R358" s="424"/>
      <c r="S358" s="424"/>
      <c r="T358" s="424"/>
      <c r="U358" s="424"/>
      <c r="V358" s="436" t="n">
        <f aca="false">AY363</f>
        <v>0</v>
      </c>
    </row>
    <row r="359" customFormat="false" ht="13.5" hidden="false" customHeight="false" outlineLevel="0" collapsed="false">
      <c r="A359" s="424"/>
      <c r="B359" s="424"/>
      <c r="C359" s="424"/>
      <c r="D359" s="424"/>
      <c r="E359" s="424"/>
      <c r="F359" s="424"/>
      <c r="G359" s="424"/>
      <c r="H359" s="424"/>
      <c r="I359" s="424"/>
      <c r="J359" s="424"/>
      <c r="K359" s="424"/>
      <c r="L359" s="424"/>
      <c r="M359" s="424"/>
      <c r="N359" s="424"/>
      <c r="O359" s="424"/>
      <c r="P359" s="424"/>
      <c r="Q359" s="424"/>
      <c r="R359" s="424"/>
      <c r="S359" s="424"/>
      <c r="T359" s="424"/>
      <c r="U359" s="424"/>
      <c r="V359" s="436" t="n">
        <f aca="false">AY364</f>
        <v>0</v>
      </c>
    </row>
    <row r="360" customFormat="false" ht="13.5" hidden="false" customHeight="false" outlineLevel="0" collapsed="false">
      <c r="A360" s="424"/>
      <c r="B360" s="424"/>
      <c r="C360" s="424"/>
      <c r="D360" s="424"/>
      <c r="E360" s="424"/>
      <c r="F360" s="424"/>
      <c r="G360" s="424"/>
      <c r="H360" s="424"/>
      <c r="I360" s="424"/>
      <c r="J360" s="424"/>
      <c r="K360" s="424"/>
      <c r="L360" s="424"/>
      <c r="M360" s="424"/>
      <c r="N360" s="424"/>
      <c r="O360" s="424"/>
      <c r="P360" s="424"/>
      <c r="Q360" s="424"/>
      <c r="R360" s="424"/>
      <c r="S360" s="424"/>
      <c r="T360" s="424"/>
      <c r="U360" s="424"/>
      <c r="V360" s="436" t="n">
        <f aca="false">AY365</f>
        <v>0</v>
      </c>
    </row>
    <row r="361" customFormat="false" ht="13.5" hidden="false" customHeight="false" outlineLevel="0" collapsed="false">
      <c r="A361" s="424"/>
      <c r="B361" s="424"/>
      <c r="C361" s="424"/>
      <c r="D361" s="424"/>
      <c r="E361" s="424"/>
      <c r="F361" s="424"/>
      <c r="G361" s="424"/>
      <c r="H361" s="424"/>
      <c r="I361" s="424"/>
      <c r="J361" s="424"/>
      <c r="K361" s="424"/>
      <c r="L361" s="424"/>
      <c r="M361" s="424"/>
      <c r="N361" s="424"/>
      <c r="O361" s="424"/>
      <c r="P361" s="424"/>
      <c r="Q361" s="424"/>
      <c r="R361" s="424"/>
      <c r="S361" s="424"/>
      <c r="T361" s="424"/>
      <c r="U361" s="424"/>
      <c r="V361" s="436" t="n">
        <f aca="false">AY366</f>
        <v>0</v>
      </c>
    </row>
    <row r="362" customFormat="false" ht="13.5" hidden="false" customHeight="false" outlineLevel="0" collapsed="false">
      <c r="A362" s="424"/>
      <c r="B362" s="424"/>
      <c r="C362" s="424"/>
      <c r="D362" s="424"/>
      <c r="E362" s="424"/>
      <c r="F362" s="424"/>
      <c r="G362" s="424"/>
      <c r="H362" s="424"/>
      <c r="I362" s="424"/>
      <c r="J362" s="424"/>
      <c r="K362" s="424"/>
      <c r="L362" s="424"/>
      <c r="M362" s="424"/>
      <c r="N362" s="424"/>
      <c r="O362" s="424"/>
      <c r="P362" s="424"/>
      <c r="Q362" s="424"/>
      <c r="R362" s="424"/>
      <c r="S362" s="424"/>
      <c r="T362" s="424"/>
      <c r="U362" s="424"/>
      <c r="V362" s="436" t="n">
        <f aca="false">AY367</f>
        <v>0</v>
      </c>
    </row>
    <row r="363" customFormat="false" ht="13.5" hidden="false" customHeight="false" outlineLevel="0" collapsed="false">
      <c r="A363" s="424"/>
      <c r="B363" s="424"/>
      <c r="C363" s="424"/>
      <c r="D363" s="424"/>
      <c r="E363" s="424"/>
      <c r="F363" s="424"/>
      <c r="G363" s="424"/>
      <c r="H363" s="424"/>
      <c r="I363" s="424"/>
      <c r="J363" s="424"/>
      <c r="K363" s="424"/>
      <c r="L363" s="424"/>
      <c r="M363" s="424"/>
      <c r="N363" s="424"/>
      <c r="O363" s="424"/>
      <c r="P363" s="424"/>
      <c r="Q363" s="424"/>
      <c r="R363" s="424"/>
      <c r="S363" s="424"/>
      <c r="T363" s="424"/>
      <c r="U363" s="424"/>
      <c r="V363" s="436" t="n">
        <f aca="false">AY368</f>
        <v>0</v>
      </c>
    </row>
    <row r="364" customFormat="false" ht="13.5" hidden="false" customHeight="false" outlineLevel="0" collapsed="false">
      <c r="A364" s="424"/>
      <c r="B364" s="424"/>
      <c r="C364" s="424"/>
      <c r="D364" s="424"/>
      <c r="E364" s="424"/>
      <c r="F364" s="424"/>
      <c r="G364" s="424"/>
      <c r="H364" s="424"/>
      <c r="I364" s="424"/>
      <c r="J364" s="424"/>
      <c r="K364" s="424"/>
      <c r="L364" s="424"/>
      <c r="M364" s="424"/>
      <c r="N364" s="424"/>
      <c r="O364" s="424"/>
      <c r="P364" s="424"/>
      <c r="Q364" s="424"/>
      <c r="R364" s="424"/>
      <c r="S364" s="424"/>
      <c r="T364" s="424"/>
      <c r="U364" s="424"/>
      <c r="V364" s="436" t="n">
        <f aca="false">AY369</f>
        <v>0</v>
      </c>
    </row>
    <row r="365" customFormat="false" ht="13.5" hidden="false" customHeight="false" outlineLevel="0" collapsed="false">
      <c r="A365" s="424"/>
      <c r="B365" s="424"/>
      <c r="C365" s="424"/>
      <c r="D365" s="424"/>
      <c r="E365" s="424"/>
      <c r="F365" s="424"/>
      <c r="G365" s="424"/>
      <c r="H365" s="424"/>
      <c r="I365" s="424"/>
      <c r="J365" s="424"/>
      <c r="K365" s="424"/>
      <c r="L365" s="424"/>
      <c r="M365" s="424"/>
      <c r="N365" s="424"/>
      <c r="O365" s="424"/>
      <c r="P365" s="424"/>
      <c r="Q365" s="424"/>
      <c r="R365" s="424"/>
      <c r="S365" s="424"/>
      <c r="T365" s="424"/>
      <c r="U365" s="424"/>
      <c r="V365" s="436" t="n">
        <f aca="false">AY370</f>
        <v>0</v>
      </c>
    </row>
    <row r="366" customFormat="false" ht="13.5" hidden="false" customHeight="false" outlineLevel="0" collapsed="false">
      <c r="A366" s="424"/>
      <c r="B366" s="424"/>
      <c r="C366" s="424"/>
      <c r="D366" s="424"/>
      <c r="E366" s="424"/>
      <c r="F366" s="424"/>
      <c r="G366" s="424"/>
      <c r="H366" s="424"/>
      <c r="I366" s="424"/>
      <c r="J366" s="424"/>
      <c r="K366" s="424"/>
      <c r="L366" s="424"/>
      <c r="M366" s="424"/>
      <c r="N366" s="424"/>
      <c r="O366" s="424"/>
      <c r="P366" s="424"/>
      <c r="Q366" s="424"/>
      <c r="R366" s="424"/>
      <c r="S366" s="424"/>
      <c r="T366" s="424"/>
      <c r="U366" s="424"/>
      <c r="V366" s="436" t="n">
        <f aca="false">AY371</f>
        <v>0</v>
      </c>
    </row>
    <row r="367" customFormat="false" ht="13.5" hidden="false" customHeight="false" outlineLevel="0" collapsed="false">
      <c r="A367" s="424"/>
      <c r="B367" s="424"/>
      <c r="C367" s="424"/>
      <c r="D367" s="424"/>
      <c r="E367" s="424"/>
      <c r="F367" s="424"/>
      <c r="G367" s="424"/>
      <c r="H367" s="424"/>
      <c r="I367" s="424"/>
      <c r="J367" s="424"/>
      <c r="K367" s="424"/>
      <c r="L367" s="424"/>
      <c r="M367" s="424"/>
      <c r="N367" s="424"/>
      <c r="O367" s="424"/>
      <c r="P367" s="424"/>
      <c r="Q367" s="424"/>
      <c r="R367" s="424"/>
      <c r="S367" s="424"/>
      <c r="T367" s="424"/>
      <c r="U367" s="424"/>
      <c r="V367" s="436" t="n">
        <f aca="false">AY372</f>
        <v>0</v>
      </c>
    </row>
    <row r="368" customFormat="false" ht="13.5" hidden="false" customHeight="false" outlineLevel="0" collapsed="false">
      <c r="A368" s="424"/>
      <c r="B368" s="424"/>
      <c r="C368" s="424"/>
      <c r="D368" s="424"/>
      <c r="E368" s="424"/>
      <c r="F368" s="424"/>
      <c r="G368" s="424"/>
      <c r="H368" s="424"/>
      <c r="I368" s="424"/>
      <c r="J368" s="424"/>
      <c r="K368" s="424"/>
      <c r="L368" s="424"/>
      <c r="M368" s="424"/>
      <c r="N368" s="424"/>
      <c r="O368" s="424"/>
      <c r="P368" s="424"/>
      <c r="Q368" s="424"/>
      <c r="R368" s="424"/>
      <c r="S368" s="424"/>
      <c r="T368" s="424"/>
      <c r="U368" s="424"/>
      <c r="V368" s="436" t="n">
        <f aca="false">AY373</f>
        <v>0</v>
      </c>
    </row>
    <row r="369" customFormat="false" ht="13.5" hidden="false" customHeight="false" outlineLevel="0" collapsed="false">
      <c r="A369" s="424"/>
      <c r="B369" s="424"/>
      <c r="C369" s="424"/>
      <c r="D369" s="424"/>
      <c r="E369" s="424"/>
      <c r="F369" s="424"/>
      <c r="G369" s="424"/>
      <c r="H369" s="424"/>
      <c r="I369" s="424"/>
      <c r="J369" s="424"/>
      <c r="K369" s="424"/>
      <c r="L369" s="424"/>
      <c r="M369" s="424"/>
      <c r="N369" s="424"/>
      <c r="O369" s="424"/>
      <c r="P369" s="424"/>
      <c r="Q369" s="424"/>
      <c r="R369" s="424"/>
      <c r="S369" s="424"/>
      <c r="T369" s="424"/>
      <c r="U369" s="424"/>
      <c r="V369" s="436" t="n">
        <f aca="false">AY374</f>
        <v>0</v>
      </c>
    </row>
    <row r="370" customFormat="false" ht="13.5" hidden="false" customHeight="false" outlineLevel="0" collapsed="false">
      <c r="A370" s="424"/>
      <c r="B370" s="424"/>
      <c r="C370" s="424"/>
      <c r="D370" s="424"/>
      <c r="E370" s="424"/>
      <c r="F370" s="424"/>
      <c r="G370" s="424"/>
      <c r="H370" s="424"/>
      <c r="I370" s="424"/>
      <c r="J370" s="424"/>
      <c r="K370" s="424"/>
      <c r="L370" s="424"/>
      <c r="M370" s="424"/>
      <c r="N370" s="424"/>
      <c r="O370" s="424"/>
      <c r="P370" s="424"/>
      <c r="Q370" s="424"/>
      <c r="R370" s="424"/>
      <c r="S370" s="424"/>
      <c r="T370" s="424"/>
      <c r="U370" s="424"/>
      <c r="V370" s="436" t="n">
        <f aca="false">AY375</f>
        <v>0</v>
      </c>
    </row>
    <row r="371" customFormat="false" ht="13.5" hidden="false" customHeight="false" outlineLevel="0" collapsed="false">
      <c r="A371" s="424"/>
      <c r="B371" s="424"/>
      <c r="C371" s="424"/>
      <c r="D371" s="424"/>
      <c r="E371" s="424"/>
      <c r="F371" s="424"/>
      <c r="G371" s="424"/>
      <c r="H371" s="424"/>
      <c r="I371" s="424"/>
      <c r="J371" s="424"/>
      <c r="K371" s="424"/>
      <c r="L371" s="424"/>
      <c r="M371" s="424"/>
      <c r="N371" s="424"/>
      <c r="O371" s="424"/>
      <c r="P371" s="424"/>
      <c r="Q371" s="424"/>
      <c r="R371" s="424"/>
      <c r="S371" s="424"/>
      <c r="T371" s="424"/>
      <c r="U371" s="424"/>
      <c r="V371" s="424"/>
    </row>
    <row r="372" customFormat="false" ht="13.5" hidden="false" customHeight="false" outlineLevel="0" collapsed="false">
      <c r="A372" s="424"/>
      <c r="B372" s="424"/>
      <c r="C372" s="424"/>
      <c r="D372" s="424"/>
      <c r="E372" s="424"/>
      <c r="F372" s="424"/>
      <c r="G372" s="424"/>
      <c r="H372" s="424"/>
      <c r="I372" s="424"/>
      <c r="J372" s="424"/>
      <c r="K372" s="424"/>
      <c r="L372" s="424"/>
      <c r="M372" s="424"/>
      <c r="N372" s="424"/>
      <c r="O372" s="424"/>
      <c r="P372" s="424"/>
      <c r="Q372" s="424"/>
      <c r="R372" s="424"/>
      <c r="S372" s="424"/>
      <c r="T372" s="424"/>
      <c r="U372" s="424"/>
      <c r="V372" s="424"/>
    </row>
    <row r="373" customFormat="false" ht="13.5" hidden="false" customHeight="false" outlineLevel="0" collapsed="false">
      <c r="A373" s="424"/>
      <c r="B373" s="424"/>
      <c r="C373" s="424"/>
      <c r="D373" s="424"/>
      <c r="E373" s="424"/>
      <c r="F373" s="424"/>
      <c r="G373" s="424"/>
      <c r="H373" s="424"/>
      <c r="I373" s="424"/>
      <c r="J373" s="424"/>
      <c r="K373" s="424"/>
      <c r="L373" s="424"/>
      <c r="M373" s="424"/>
      <c r="N373" s="424"/>
      <c r="O373" s="424"/>
      <c r="P373" s="424"/>
      <c r="Q373" s="424"/>
      <c r="R373" s="434" t="s">
        <v>400</v>
      </c>
      <c r="S373" s="424"/>
      <c r="T373" s="424"/>
      <c r="U373" s="424"/>
      <c r="V373" s="435" t="n">
        <f aca="false">SUM(V375:V407)</f>
        <v>0</v>
      </c>
    </row>
    <row r="374" customFormat="false" ht="13.5" hidden="false" customHeight="false" outlineLevel="0" collapsed="false">
      <c r="A374" s="424"/>
      <c r="B374" s="424"/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  <c r="P374" s="424"/>
      <c r="Q374" s="435" t="n">
        <v>0</v>
      </c>
      <c r="R374" s="424"/>
      <c r="S374" s="435" t="n">
        <v>0</v>
      </c>
      <c r="T374" s="424"/>
      <c r="U374" s="424"/>
      <c r="V374" s="436" t="n">
        <f aca="false">AY374</f>
        <v>0</v>
      </c>
    </row>
    <row r="375" customFormat="false" ht="13.5" hidden="false" customHeight="false" outlineLevel="0" collapsed="false">
      <c r="A375" s="424"/>
      <c r="B375" s="424"/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  <c r="P375" s="424"/>
      <c r="Q375" s="435" t="n">
        <v>1</v>
      </c>
      <c r="R375" s="434" t="s">
        <v>401</v>
      </c>
      <c r="S375" s="434" t="s">
        <v>402</v>
      </c>
      <c r="T375" s="434" t="s">
        <v>403</v>
      </c>
      <c r="U375" s="434" t="s">
        <v>404</v>
      </c>
      <c r="V375" s="436" t="n">
        <f aca="false">AY375</f>
        <v>0</v>
      </c>
    </row>
    <row r="376" customFormat="false" ht="13.5" hidden="false" customHeight="false" outlineLevel="0" collapsed="false">
      <c r="A376" s="424"/>
      <c r="B376" s="424"/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  <c r="P376" s="424"/>
      <c r="Q376" s="435" t="n">
        <v>2</v>
      </c>
      <c r="R376" s="434" t="s">
        <v>405</v>
      </c>
      <c r="S376" s="434" t="s">
        <v>406</v>
      </c>
      <c r="T376" s="434" t="s">
        <v>407</v>
      </c>
      <c r="U376" s="434" t="s">
        <v>408</v>
      </c>
      <c r="V376" s="436" t="n">
        <f aca="false">AY376</f>
        <v>0</v>
      </c>
    </row>
    <row r="377" customFormat="false" ht="13.5" hidden="false" customHeight="false" outlineLevel="0" collapsed="false">
      <c r="A377" s="424"/>
      <c r="B377" s="424"/>
      <c r="C377" s="424"/>
      <c r="D377" s="424"/>
      <c r="E377" s="424"/>
      <c r="F377" s="424"/>
      <c r="G377" s="424"/>
      <c r="H377" s="424"/>
      <c r="I377" s="424"/>
      <c r="J377" s="424"/>
      <c r="K377" s="424"/>
      <c r="L377" s="424"/>
      <c r="M377" s="424"/>
      <c r="N377" s="424"/>
      <c r="O377" s="424"/>
      <c r="P377" s="424"/>
      <c r="Q377" s="435" t="n">
        <v>3</v>
      </c>
      <c r="R377" s="434" t="s">
        <v>409</v>
      </c>
      <c r="S377" s="434" t="s">
        <v>410</v>
      </c>
      <c r="T377" s="434" t="s">
        <v>411</v>
      </c>
      <c r="U377" s="434" t="s">
        <v>412</v>
      </c>
      <c r="V377" s="436" t="n">
        <f aca="false">AY377</f>
        <v>0</v>
      </c>
    </row>
    <row r="378" customFormat="false" ht="13.5" hidden="false" customHeight="false" outlineLevel="0" collapsed="false">
      <c r="A378" s="424"/>
      <c r="B378" s="424"/>
      <c r="C378" s="424"/>
      <c r="D378" s="424"/>
      <c r="E378" s="424"/>
      <c r="F378" s="424"/>
      <c r="G378" s="424"/>
      <c r="H378" s="424"/>
      <c r="I378" s="424"/>
      <c r="J378" s="424"/>
      <c r="K378" s="424"/>
      <c r="L378" s="424"/>
      <c r="M378" s="424"/>
      <c r="N378" s="424"/>
      <c r="O378" s="424"/>
      <c r="P378" s="424"/>
      <c r="Q378" s="435" t="n">
        <v>4</v>
      </c>
      <c r="R378" s="434" t="s">
        <v>413</v>
      </c>
      <c r="S378" s="434" t="s">
        <v>414</v>
      </c>
      <c r="T378" s="434" t="s">
        <v>415</v>
      </c>
      <c r="U378" s="434" t="s">
        <v>416</v>
      </c>
      <c r="V378" s="436" t="n">
        <f aca="false">AY378</f>
        <v>0</v>
      </c>
    </row>
    <row r="379" customFormat="false" ht="13.5" hidden="false" customHeight="false" outlineLevel="0" collapsed="false">
      <c r="A379" s="424"/>
      <c r="B379" s="424"/>
      <c r="C379" s="424"/>
      <c r="D379" s="424"/>
      <c r="E379" s="424"/>
      <c r="F379" s="424"/>
      <c r="G379" s="424"/>
      <c r="H379" s="424"/>
      <c r="I379" s="424"/>
      <c r="J379" s="424"/>
      <c r="K379" s="424"/>
      <c r="L379" s="424"/>
      <c r="M379" s="424"/>
      <c r="N379" s="424"/>
      <c r="O379" s="424"/>
      <c r="P379" s="438" t="s">
        <v>417</v>
      </c>
      <c r="Q379" s="435" t="n">
        <v>5</v>
      </c>
      <c r="R379" s="434" t="s">
        <v>418</v>
      </c>
      <c r="S379" s="434" t="s">
        <v>419</v>
      </c>
      <c r="T379" s="434" t="s">
        <v>420</v>
      </c>
      <c r="U379" s="434" t="s">
        <v>421</v>
      </c>
      <c r="V379" s="436" t="n">
        <f aca="false">AY379</f>
        <v>0</v>
      </c>
    </row>
    <row r="380" customFormat="false" ht="13.5" hidden="false" customHeight="false" outlineLevel="0" collapsed="false">
      <c r="A380" s="424"/>
      <c r="B380" s="424"/>
      <c r="C380" s="424"/>
      <c r="D380" s="424"/>
      <c r="E380" s="424"/>
      <c r="F380" s="424"/>
      <c r="G380" s="424"/>
      <c r="H380" s="424"/>
      <c r="I380" s="424"/>
      <c r="J380" s="424"/>
      <c r="K380" s="424"/>
      <c r="L380" s="424"/>
      <c r="M380" s="424"/>
      <c r="N380" s="424"/>
      <c r="O380" s="424"/>
      <c r="P380" s="438" t="s">
        <v>417</v>
      </c>
      <c r="Q380" s="435" t="n">
        <v>6</v>
      </c>
      <c r="R380" s="434" t="s">
        <v>422</v>
      </c>
      <c r="S380" s="434" t="s">
        <v>423</v>
      </c>
      <c r="T380" s="434" t="s">
        <v>424</v>
      </c>
      <c r="U380" s="434" t="s">
        <v>425</v>
      </c>
      <c r="V380" s="436" t="n">
        <f aca="false">AY380</f>
        <v>0</v>
      </c>
    </row>
    <row r="381" customFormat="false" ht="13.5" hidden="false" customHeight="false" outlineLevel="0" collapsed="false">
      <c r="A381" s="424"/>
      <c r="B381" s="424"/>
      <c r="C381" s="424"/>
      <c r="D381" s="424"/>
      <c r="E381" s="424"/>
      <c r="F381" s="424"/>
      <c r="G381" s="424"/>
      <c r="H381" s="424"/>
      <c r="I381" s="424"/>
      <c r="J381" s="424"/>
      <c r="K381" s="424"/>
      <c r="L381" s="424"/>
      <c r="M381" s="424"/>
      <c r="N381" s="424"/>
      <c r="O381" s="424"/>
      <c r="P381" s="438" t="s">
        <v>417</v>
      </c>
      <c r="Q381" s="435" t="n">
        <v>7</v>
      </c>
      <c r="R381" s="434" t="s">
        <v>426</v>
      </c>
      <c r="S381" s="434" t="s">
        <v>427</v>
      </c>
      <c r="T381" s="434" t="s">
        <v>428</v>
      </c>
      <c r="U381" s="434" t="s">
        <v>429</v>
      </c>
      <c r="V381" s="436" t="n">
        <f aca="false">AY381</f>
        <v>0</v>
      </c>
    </row>
    <row r="382" customFormat="false" ht="13.5" hidden="false" customHeight="false" outlineLevel="0" collapsed="false">
      <c r="A382" s="424"/>
      <c r="B382" s="424"/>
      <c r="C382" s="424"/>
      <c r="D382" s="424"/>
      <c r="E382" s="424"/>
      <c r="F382" s="424"/>
      <c r="G382" s="424"/>
      <c r="H382" s="424"/>
      <c r="I382" s="424"/>
      <c r="J382" s="424"/>
      <c r="K382" s="424"/>
      <c r="L382" s="424"/>
      <c r="M382" s="424"/>
      <c r="N382" s="424"/>
      <c r="O382" s="424"/>
      <c r="P382" s="438" t="s">
        <v>417</v>
      </c>
      <c r="Q382" s="435" t="n">
        <v>8</v>
      </c>
      <c r="R382" s="434" t="s">
        <v>430</v>
      </c>
      <c r="S382" s="434" t="s">
        <v>431</v>
      </c>
      <c r="T382" s="434" t="s">
        <v>432</v>
      </c>
      <c r="U382" s="434" t="s">
        <v>433</v>
      </c>
      <c r="V382" s="436" t="n">
        <f aca="false">AY382</f>
        <v>0</v>
      </c>
    </row>
    <row r="383" customFormat="false" ht="13.5" hidden="false" customHeight="false" outlineLevel="0" collapsed="false">
      <c r="A383" s="424"/>
      <c r="B383" s="424"/>
      <c r="C383" s="424"/>
      <c r="D383" s="424"/>
      <c r="E383" s="424"/>
      <c r="F383" s="424"/>
      <c r="G383" s="424"/>
      <c r="H383" s="424"/>
      <c r="I383" s="424"/>
      <c r="J383" s="424"/>
      <c r="K383" s="424"/>
      <c r="L383" s="424"/>
      <c r="M383" s="424"/>
      <c r="N383" s="424"/>
      <c r="O383" s="424"/>
      <c r="P383" s="438" t="s">
        <v>417</v>
      </c>
      <c r="Q383" s="435" t="n">
        <v>9</v>
      </c>
      <c r="R383" s="434" t="s">
        <v>434</v>
      </c>
      <c r="S383" s="434" t="s">
        <v>435</v>
      </c>
      <c r="T383" s="434" t="s">
        <v>436</v>
      </c>
      <c r="U383" s="434" t="s">
        <v>437</v>
      </c>
      <c r="V383" s="436" t="n">
        <f aca="false">AY383</f>
        <v>0</v>
      </c>
    </row>
    <row r="384" customFormat="false" ht="13.5" hidden="false" customHeight="false" outlineLevel="0" collapsed="false">
      <c r="A384" s="424"/>
      <c r="B384" s="424"/>
      <c r="C384" s="424"/>
      <c r="D384" s="424"/>
      <c r="E384" s="424"/>
      <c r="F384" s="424"/>
      <c r="G384" s="424"/>
      <c r="H384" s="424"/>
      <c r="I384" s="424"/>
      <c r="J384" s="424"/>
      <c r="K384" s="424"/>
      <c r="L384" s="424"/>
      <c r="M384" s="424"/>
      <c r="N384" s="424"/>
      <c r="O384" s="424"/>
      <c r="P384" s="438" t="s">
        <v>417</v>
      </c>
      <c r="Q384" s="435" t="n">
        <v>10</v>
      </c>
      <c r="R384" s="434" t="s">
        <v>438</v>
      </c>
      <c r="S384" s="424"/>
      <c r="T384" s="434" t="s">
        <v>439</v>
      </c>
      <c r="U384" s="434" t="s">
        <v>440</v>
      </c>
      <c r="V384" s="436" t="n">
        <f aca="false">AY384</f>
        <v>0</v>
      </c>
    </row>
    <row r="385" customFormat="false" ht="13.5" hidden="false" customHeight="false" outlineLevel="0" collapsed="false">
      <c r="A385" s="424"/>
      <c r="B385" s="424"/>
      <c r="C385" s="424"/>
      <c r="D385" s="424"/>
      <c r="E385" s="424"/>
      <c r="F385" s="435" t="n">
        <f aca="false">TRUNC(+A387/1000000)</f>
        <v>3</v>
      </c>
      <c r="G385" s="424"/>
      <c r="H385" s="424"/>
      <c r="I385" s="424"/>
      <c r="J385" s="424"/>
      <c r="K385" s="424"/>
      <c r="L385" s="424"/>
      <c r="M385" s="424"/>
      <c r="N385" s="424"/>
      <c r="O385" s="424"/>
      <c r="P385" s="438" t="s">
        <v>417</v>
      </c>
      <c r="Q385" s="435" t="n">
        <v>11</v>
      </c>
      <c r="R385" s="434" t="s">
        <v>441</v>
      </c>
      <c r="S385" s="424"/>
      <c r="T385" s="434" t="s">
        <v>442</v>
      </c>
      <c r="U385" s="434" t="s">
        <v>443</v>
      </c>
      <c r="V385" s="436" t="n">
        <f aca="false">AY385</f>
        <v>0</v>
      </c>
    </row>
    <row r="386" customFormat="false" ht="13.5" hidden="false" customHeight="false" outlineLevel="0" collapsed="false">
      <c r="A386" s="424"/>
      <c r="B386" s="424"/>
      <c r="C386" s="424"/>
      <c r="D386" s="424"/>
      <c r="E386" s="424"/>
      <c r="F386" s="435" t="e">
        <f aca="false">(+B390*100000+C390*1000+E390*100)</f>
        <v>#VALUE!</v>
      </c>
      <c r="G386" s="424"/>
      <c r="H386" s="424"/>
      <c r="I386" s="424"/>
      <c r="J386" s="424"/>
      <c r="K386" s="424"/>
      <c r="L386" s="434" t="s">
        <v>444</v>
      </c>
      <c r="M386" s="424"/>
      <c r="N386" s="424"/>
      <c r="O386" s="424"/>
      <c r="P386" s="438" t="s">
        <v>417</v>
      </c>
      <c r="Q386" s="435" t="n">
        <v>12</v>
      </c>
      <c r="R386" s="434" t="s">
        <v>445</v>
      </c>
      <c r="S386" s="424"/>
      <c r="T386" s="434" t="s">
        <v>446</v>
      </c>
      <c r="U386" s="434" t="s">
        <v>447</v>
      </c>
      <c r="V386" s="436" t="n">
        <f aca="false">AY386</f>
        <v>0</v>
      </c>
    </row>
    <row r="387" customFormat="false" ht="13.5" hidden="false" customHeight="false" outlineLevel="0" collapsed="false">
      <c r="A387" s="436" t="n">
        <f aca="false">TRUNC(+A388)</f>
        <v>3950000</v>
      </c>
      <c r="B387" s="424"/>
      <c r="C387" s="424"/>
      <c r="D387" s="424"/>
      <c r="E387" s="440" t="n">
        <f aca="false">TRUNC(+A387/100000000)</f>
        <v>0</v>
      </c>
      <c r="F387" s="424"/>
      <c r="G387" s="424"/>
      <c r="H387" s="424"/>
      <c r="I387" s="424"/>
      <c r="J387" s="424"/>
      <c r="K387" s="424"/>
      <c r="L387" s="424"/>
      <c r="M387" s="424"/>
      <c r="N387" s="424"/>
      <c r="O387" s="424"/>
      <c r="P387" s="438" t="s">
        <v>417</v>
      </c>
      <c r="Q387" s="435" t="n">
        <v>13</v>
      </c>
      <c r="R387" s="434" t="s">
        <v>448</v>
      </c>
      <c r="S387" s="424"/>
      <c r="T387" s="434" t="s">
        <v>449</v>
      </c>
      <c r="U387" s="434" t="s">
        <v>450</v>
      </c>
      <c r="V387" s="436" t="n">
        <f aca="false">AY387</f>
        <v>0</v>
      </c>
    </row>
    <row r="388" customFormat="false" ht="13.5" hidden="false" customHeight="false" outlineLevel="0" collapsed="false">
      <c r="A388" s="441" t="n">
        <f aca="false">'Debet Suspend'!G12</f>
        <v>3950000</v>
      </c>
      <c r="B388" s="434" t="s">
        <v>451</v>
      </c>
      <c r="C388" s="434" t="s">
        <v>452</v>
      </c>
      <c r="D388" s="424"/>
      <c r="E388" s="434" t="s">
        <v>452</v>
      </c>
      <c r="F388" s="424"/>
      <c r="G388" s="424"/>
      <c r="H388" s="424"/>
      <c r="I388" s="440" t="n">
        <f aca="false">TRUNC((+A387-(+F385*1000000))/1000)</f>
        <v>950</v>
      </c>
      <c r="J388" s="424"/>
      <c r="K388" s="440" t="n">
        <f aca="false">(TRUNC((+A387-(+F385*1000000))/1))-I388*1000</f>
        <v>0</v>
      </c>
      <c r="L388" s="424"/>
      <c r="M388" s="424"/>
      <c r="N388" s="424"/>
      <c r="O388" s="424"/>
      <c r="P388" s="438" t="s">
        <v>417</v>
      </c>
      <c r="Q388" s="435" t="n">
        <v>14</v>
      </c>
      <c r="R388" s="434" t="s">
        <v>453</v>
      </c>
      <c r="S388" s="424"/>
      <c r="T388" s="434" t="s">
        <v>454</v>
      </c>
      <c r="U388" s="434" t="s">
        <v>455</v>
      </c>
      <c r="V388" s="436" t="n">
        <f aca="false">AY388</f>
        <v>0</v>
      </c>
    </row>
    <row r="389" customFormat="false" ht="13.5" hidden="false" customHeight="false" outlineLevel="0" collapsed="false">
      <c r="A389" s="424"/>
      <c r="B389" s="442" t="s">
        <v>712</v>
      </c>
      <c r="C389" s="442" t="s">
        <v>712</v>
      </c>
      <c r="D389" s="424"/>
      <c r="E389" s="442" t="s">
        <v>712</v>
      </c>
      <c r="F389" s="424"/>
      <c r="G389" s="424"/>
      <c r="H389" s="424"/>
      <c r="I389" s="424"/>
      <c r="J389" s="424"/>
      <c r="K389" s="424"/>
      <c r="L389" s="424"/>
      <c r="M389" s="424"/>
      <c r="N389" s="440" t="n">
        <f aca="false">ROUND(((+A388-A387)*100),1)</f>
        <v>0</v>
      </c>
      <c r="O389" s="424"/>
      <c r="P389" s="438" t="s">
        <v>417</v>
      </c>
      <c r="Q389" s="435" t="n">
        <v>15</v>
      </c>
      <c r="R389" s="434" t="s">
        <v>457</v>
      </c>
      <c r="S389" s="424"/>
      <c r="T389" s="434" t="s">
        <v>458</v>
      </c>
      <c r="U389" s="434" t="s">
        <v>459</v>
      </c>
      <c r="V389" s="436" t="n">
        <f aca="false">AY389</f>
        <v>0</v>
      </c>
    </row>
    <row r="390" customFormat="false" ht="13.5" hidden="false" customHeight="false" outlineLevel="0" collapsed="false">
      <c r="A390" s="424"/>
      <c r="B390" s="440" t="n">
        <f aca="false">TRUNC(+A388/100000000000)</f>
        <v>0</v>
      </c>
      <c r="C390" s="440" t="n">
        <f aca="false">(TRUNC(+A387/1000000000))-B390*100</f>
        <v>0</v>
      </c>
      <c r="D390" s="424"/>
      <c r="E390" s="435" t="str">
        <f aca="false">IF(E387&gt;0,TRUNC(+E387-B390*1000-C390*10),"")</f>
        <v/>
      </c>
      <c r="F390" s="435" t="e">
        <f aca="false">F385-F386</f>
        <v>#VALUE!</v>
      </c>
      <c r="G390" s="435" t="e">
        <f aca="false">G392</f>
        <v>#VALUE!</v>
      </c>
      <c r="H390" s="440" t="n">
        <f aca="false">TRUNC((+A387-(+F385*1000000))/100000)</f>
        <v>9</v>
      </c>
      <c r="I390" s="440" t="n">
        <f aca="false">I388-H390*100</f>
        <v>50</v>
      </c>
      <c r="J390" s="424"/>
      <c r="K390" s="440" t="n">
        <f aca="false">TRUNC(+K388/100)</f>
        <v>0</v>
      </c>
      <c r="L390" s="440" t="n">
        <f aca="false">K388-K390*100</f>
        <v>0</v>
      </c>
      <c r="M390" s="440" t="str">
        <f aca="false">IF(N390&gt;0," &amp; Sen ","")</f>
        <v/>
      </c>
      <c r="N390" s="435" t="n">
        <f aca="false">N389</f>
        <v>0</v>
      </c>
      <c r="O390" s="424"/>
      <c r="P390" s="438" t="s">
        <v>417</v>
      </c>
      <c r="Q390" s="435" t="n">
        <v>16</v>
      </c>
      <c r="R390" s="434" t="s">
        <v>460</v>
      </c>
      <c r="S390" s="424"/>
      <c r="T390" s="434" t="s">
        <v>461</v>
      </c>
      <c r="U390" s="434" t="s">
        <v>462</v>
      </c>
      <c r="V390" s="436" t="n">
        <f aca="false">AY390</f>
        <v>0</v>
      </c>
    </row>
    <row r="391" customFormat="false" ht="13.5" hidden="false" customHeight="false" outlineLevel="0" collapsed="false">
      <c r="A391" s="424"/>
      <c r="B391" s="424"/>
      <c r="C391" s="424"/>
      <c r="D391" s="424"/>
      <c r="E391" s="424"/>
      <c r="F391" s="424"/>
      <c r="G391" s="424"/>
      <c r="H391" s="424"/>
      <c r="I391" s="424"/>
      <c r="J391" s="424"/>
      <c r="K391" s="424"/>
      <c r="L391" s="424"/>
      <c r="M391" s="424"/>
      <c r="N391" s="424"/>
      <c r="O391" s="424"/>
      <c r="P391" s="438" t="s">
        <v>417</v>
      </c>
      <c r="Q391" s="435" t="n">
        <v>17</v>
      </c>
      <c r="R391" s="434" t="s">
        <v>463</v>
      </c>
      <c r="S391" s="424"/>
      <c r="T391" s="434" t="s">
        <v>464</v>
      </c>
      <c r="U391" s="434" t="s">
        <v>465</v>
      </c>
      <c r="V391" s="436" t="n">
        <f aca="false">AY391</f>
        <v>0</v>
      </c>
    </row>
    <row r="392" customFormat="false" ht="13.5" hidden="false" customHeight="false" outlineLevel="0" collapsed="false">
      <c r="A392" s="440" t="n">
        <f aca="false">B390*100000000000</f>
        <v>0</v>
      </c>
      <c r="B392" s="440" t="str">
        <f aca="false">IF(B390&gt;0,VLOOKUP(B390,$Q$7:$T$15,3),"")</f>
        <v/>
      </c>
      <c r="C392" s="440" t="str">
        <f aca="false">IF(C390&gt;0,VLOOKUP(C390,Q375:R473,2),"")</f>
        <v/>
      </c>
      <c r="D392" s="440" t="str">
        <f aca="false">IF(B387+C390&gt;0," Milyar ","")</f>
        <v/>
      </c>
      <c r="E392" s="440" t="e">
        <f aca="false">IF(E390&gt;0,VLOOKUP(E390,$Q$7:$T$15,3),"")</f>
        <v>#N/A</v>
      </c>
      <c r="F392" s="440" t="e">
        <f aca="false">IF(F390&gt;0,VLOOKUP(F390,Q375:R473,2),"")</f>
        <v>#VALUE!</v>
      </c>
      <c r="G392" s="435" t="e">
        <f aca="false">IF(F390+E390&gt;0," Juta","")</f>
        <v>#VALUE!</v>
      </c>
      <c r="H392" s="440" t="str">
        <f aca="false">IF(H390&gt;0,VLOOKUP(H390,$Q$7:$T$15,3),"")</f>
        <v> Sembilan ratus</v>
      </c>
      <c r="I392" s="440" t="str">
        <f aca="false">IF(I390=1," Se",IF(I390=0,"",VLOOKUP(I390,Q375:R473,2)))</f>
        <v>  Lima puluh</v>
      </c>
      <c r="J392" s="435" t="str">
        <f aca="false">IF(I390+H390&gt;0," ribu","")</f>
        <v> ribu</v>
      </c>
      <c r="K392" s="440" t="str">
        <f aca="false">IF(K390&gt;0,VLOOKUP(K390,Q375:S383,3),"")</f>
        <v/>
      </c>
      <c r="L392" s="440" t="str">
        <f aca="false">IF(L390&gt;0,VLOOKUP(L390,Q375:R473,2),"")</f>
        <v/>
      </c>
      <c r="M392" s="440" t="str">
        <f aca="false">IF(N390&gt;0,VLOOKUP(N389,Q374:U473,5)," Rupiah ")</f>
        <v> Rupiah </v>
      </c>
      <c r="N392" s="424"/>
      <c r="O392" s="435" t="str">
        <f aca="false">IF(N390&gt;0," ====","")</f>
        <v/>
      </c>
      <c r="P392" s="435" t="str">
        <f aca="false">IF(N390&gt;0,"-","====")</f>
        <v>====</v>
      </c>
      <c r="Q392" s="435" t="n">
        <v>18</v>
      </c>
      <c r="R392" s="434" t="s">
        <v>466</v>
      </c>
      <c r="S392" s="424"/>
      <c r="T392" s="434" t="s">
        <v>467</v>
      </c>
      <c r="U392" s="434" t="s">
        <v>468</v>
      </c>
      <c r="V392" s="436" t="n">
        <f aca="false">AY392</f>
        <v>0</v>
      </c>
    </row>
    <row r="393" customFormat="false" ht="13.5" hidden="false" customHeight="false" outlineLevel="0" collapsed="false">
      <c r="A393" s="440"/>
      <c r="B393" s="435" t="str">
        <f aca="false">B392</f>
        <v/>
      </c>
      <c r="C393" s="424"/>
      <c r="D393" s="424"/>
      <c r="E393" s="424"/>
      <c r="F393" s="424"/>
      <c r="G393" s="424"/>
      <c r="H393" s="424"/>
      <c r="I393" s="424"/>
      <c r="J393" s="424"/>
      <c r="K393" s="424"/>
      <c r="L393" s="424"/>
      <c r="M393" s="424"/>
      <c r="N393" s="424"/>
      <c r="O393" s="424"/>
      <c r="P393" s="438" t="s">
        <v>417</v>
      </c>
      <c r="Q393" s="435" t="n">
        <v>19</v>
      </c>
      <c r="R393" s="434" t="s">
        <v>469</v>
      </c>
      <c r="S393" s="424"/>
      <c r="T393" s="434" t="s">
        <v>470</v>
      </c>
      <c r="U393" s="434" t="s">
        <v>471</v>
      </c>
      <c r="V393" s="436" t="n">
        <f aca="false">AY398</f>
        <v>0</v>
      </c>
    </row>
    <row r="394" customFormat="false" ht="13.5" hidden="false" customHeight="false" outlineLevel="0" collapsed="false">
      <c r="A394" s="440"/>
      <c r="B394" s="435" t="str">
        <f aca="false">C392</f>
        <v/>
      </c>
      <c r="C394" s="424"/>
      <c r="D394" s="424"/>
      <c r="E394" s="424"/>
      <c r="F394" s="424"/>
      <c r="G394" s="424"/>
      <c r="H394" s="424"/>
      <c r="I394" s="424"/>
      <c r="J394" s="424"/>
      <c r="K394" s="424"/>
      <c r="L394" s="424"/>
      <c r="M394" s="424"/>
      <c r="N394" s="424"/>
      <c r="O394" s="424"/>
      <c r="P394" s="438" t="s">
        <v>417</v>
      </c>
      <c r="Q394" s="435" t="n">
        <v>20</v>
      </c>
      <c r="R394" s="434" t="s">
        <v>472</v>
      </c>
      <c r="S394" s="424"/>
      <c r="T394" s="434" t="s">
        <v>473</v>
      </c>
      <c r="U394" s="434" t="s">
        <v>474</v>
      </c>
      <c r="V394" s="436" t="n">
        <f aca="false">AY399</f>
        <v>0</v>
      </c>
    </row>
    <row r="395" customFormat="false" ht="13.5" hidden="false" customHeight="false" outlineLevel="0" collapsed="false">
      <c r="A395" s="440"/>
      <c r="B395" s="435" t="str">
        <f aca="false">D392</f>
        <v/>
      </c>
      <c r="C395" s="424"/>
      <c r="D395" s="424"/>
      <c r="E395" s="424"/>
      <c r="F395" s="424"/>
      <c r="G395" s="424"/>
      <c r="H395" s="424"/>
      <c r="I395" s="424"/>
      <c r="J395" s="424"/>
      <c r="K395" s="424"/>
      <c r="L395" s="424"/>
      <c r="M395" s="424"/>
      <c r="N395" s="424"/>
      <c r="O395" s="424"/>
      <c r="P395" s="438" t="s">
        <v>417</v>
      </c>
      <c r="Q395" s="435" t="n">
        <v>21</v>
      </c>
      <c r="R395" s="434" t="s">
        <v>475</v>
      </c>
      <c r="S395" s="424"/>
      <c r="T395" s="434" t="s">
        <v>476</v>
      </c>
      <c r="U395" s="434" t="s">
        <v>477</v>
      </c>
      <c r="V395" s="436" t="n">
        <f aca="false">AY400</f>
        <v>0</v>
      </c>
    </row>
    <row r="396" customFormat="false" ht="13.5" hidden="false" customHeight="false" outlineLevel="0" collapsed="false">
      <c r="A396" s="440"/>
      <c r="B396" s="435" t="e">
        <f aca="false">E392</f>
        <v>#N/A</v>
      </c>
      <c r="C396" s="424"/>
      <c r="D396" s="424"/>
      <c r="E396" s="424"/>
      <c r="F396" s="424"/>
      <c r="G396" s="424"/>
      <c r="H396" s="424"/>
      <c r="I396" s="424"/>
      <c r="J396" s="424"/>
      <c r="K396" s="424"/>
      <c r="L396" s="424"/>
      <c r="M396" s="424"/>
      <c r="N396" s="424"/>
      <c r="O396" s="424"/>
      <c r="P396" s="424"/>
      <c r="Q396" s="435" t="n">
        <v>22</v>
      </c>
      <c r="R396" s="434" t="s">
        <v>478</v>
      </c>
      <c r="S396" s="424"/>
      <c r="T396" s="434" t="s">
        <v>479</v>
      </c>
      <c r="U396" s="434" t="s">
        <v>480</v>
      </c>
      <c r="V396" s="436" t="n">
        <f aca="false">AY401</f>
        <v>0</v>
      </c>
    </row>
    <row r="397" customFormat="false" ht="13.5" hidden="false" customHeight="false" outlineLevel="0" collapsed="false">
      <c r="A397" s="440"/>
      <c r="B397" s="435" t="e">
        <f aca="false">F392</f>
        <v>#VALUE!</v>
      </c>
      <c r="C397" s="424"/>
      <c r="D397" s="424"/>
      <c r="E397" s="424"/>
      <c r="F397" s="424"/>
      <c r="G397" s="424"/>
      <c r="H397" s="424"/>
      <c r="I397" s="424"/>
      <c r="J397" s="424"/>
      <c r="K397" s="424"/>
      <c r="L397" s="424"/>
      <c r="M397" s="424"/>
      <c r="N397" s="424"/>
      <c r="O397" s="424"/>
      <c r="P397" s="438" t="s">
        <v>417</v>
      </c>
      <c r="Q397" s="435" t="n">
        <v>23</v>
      </c>
      <c r="R397" s="434" t="s">
        <v>481</v>
      </c>
      <c r="S397" s="424"/>
      <c r="T397" s="434" t="s">
        <v>482</v>
      </c>
      <c r="U397" s="434" t="s">
        <v>483</v>
      </c>
      <c r="V397" s="436" t="n">
        <f aca="false">AY402</f>
        <v>0</v>
      </c>
    </row>
    <row r="398" customFormat="false" ht="13.5" hidden="false" customHeight="false" outlineLevel="0" collapsed="false">
      <c r="A398" s="424"/>
      <c r="B398" s="424"/>
      <c r="C398" s="424"/>
      <c r="D398" s="424"/>
      <c r="E398" s="424"/>
      <c r="F398" s="424"/>
      <c r="G398" s="424"/>
      <c r="H398" s="424"/>
      <c r="I398" s="424"/>
      <c r="J398" s="424"/>
      <c r="K398" s="424"/>
      <c r="L398" s="424"/>
      <c r="M398" s="424"/>
      <c r="N398" s="424"/>
      <c r="O398" s="424"/>
      <c r="P398" s="438" t="s">
        <v>417</v>
      </c>
      <c r="Q398" s="435" t="n">
        <v>24</v>
      </c>
      <c r="R398" s="434" t="s">
        <v>484</v>
      </c>
      <c r="S398" s="424"/>
      <c r="T398" s="434" t="s">
        <v>485</v>
      </c>
      <c r="U398" s="434" t="s">
        <v>486</v>
      </c>
      <c r="V398" s="436" t="n">
        <f aca="false">AY403</f>
        <v>0</v>
      </c>
    </row>
    <row r="399" customFormat="false" ht="13.5" hidden="false" customHeight="false" outlineLevel="0" collapsed="false">
      <c r="A399" s="424"/>
      <c r="B399" s="424"/>
      <c r="C399" s="424"/>
      <c r="D399" s="424"/>
      <c r="E399" s="424"/>
      <c r="F399" s="424"/>
      <c r="G399" s="424"/>
      <c r="H399" s="424"/>
      <c r="I399" s="424"/>
      <c r="J399" s="424"/>
      <c r="K399" s="424"/>
      <c r="L399" s="424"/>
      <c r="M399" s="424"/>
      <c r="N399" s="424"/>
      <c r="O399" s="424"/>
      <c r="P399" s="438" t="s">
        <v>417</v>
      </c>
      <c r="Q399" s="435" t="n">
        <v>25</v>
      </c>
      <c r="R399" s="434" t="s">
        <v>487</v>
      </c>
      <c r="S399" s="424"/>
      <c r="T399" s="434" t="s">
        <v>488</v>
      </c>
      <c r="U399" s="434" t="s">
        <v>489</v>
      </c>
      <c r="V399" s="436" t="n">
        <f aca="false">AY404</f>
        <v>0</v>
      </c>
    </row>
    <row r="400" customFormat="false" ht="13.5" hidden="false" customHeight="false" outlineLevel="0" collapsed="false">
      <c r="A400" s="424"/>
      <c r="B400" s="424"/>
      <c r="C400" s="424"/>
      <c r="D400" s="424"/>
      <c r="E400" s="424"/>
      <c r="F400" s="424"/>
      <c r="G400" s="424"/>
      <c r="H400" s="424"/>
      <c r="I400" s="424"/>
      <c r="J400" s="424"/>
      <c r="K400" s="424"/>
      <c r="L400" s="424"/>
      <c r="M400" s="424"/>
      <c r="N400" s="424"/>
      <c r="O400" s="424"/>
      <c r="P400" s="438" t="s">
        <v>417</v>
      </c>
      <c r="Q400" s="435" t="n">
        <v>26</v>
      </c>
      <c r="R400" s="434" t="s">
        <v>490</v>
      </c>
      <c r="S400" s="424"/>
      <c r="T400" s="434" t="s">
        <v>491</v>
      </c>
      <c r="U400" s="434" t="s">
        <v>492</v>
      </c>
      <c r="V400" s="436" t="n">
        <f aca="false">AY405</f>
        <v>0</v>
      </c>
    </row>
    <row r="401" customFormat="false" ht="13.5" hidden="false" customHeight="false" outlineLevel="0" collapsed="false">
      <c r="A401" s="424"/>
      <c r="B401" s="424"/>
      <c r="C401" s="424"/>
      <c r="D401" s="424"/>
      <c r="E401" s="424"/>
      <c r="F401" s="424"/>
      <c r="G401" s="424"/>
      <c r="H401" s="424"/>
      <c r="I401" s="424"/>
      <c r="J401" s="424"/>
      <c r="K401" s="424"/>
      <c r="L401" s="424"/>
      <c r="M401" s="424"/>
      <c r="N401" s="424"/>
      <c r="O401" s="424"/>
      <c r="P401" s="424"/>
      <c r="Q401" s="435" t="n">
        <v>27</v>
      </c>
      <c r="R401" s="434" t="s">
        <v>493</v>
      </c>
      <c r="S401" s="424"/>
      <c r="T401" s="434" t="s">
        <v>494</v>
      </c>
      <c r="U401" s="434" t="s">
        <v>495</v>
      </c>
      <c r="V401" s="436" t="n">
        <f aca="false">AY406</f>
        <v>0</v>
      </c>
    </row>
    <row r="402" customFormat="false" ht="13.5" hidden="false" customHeight="false" outlineLevel="0" collapsed="false">
      <c r="A402" s="424"/>
      <c r="B402" s="424"/>
      <c r="C402" s="424"/>
      <c r="D402" s="424"/>
      <c r="E402" s="424"/>
      <c r="F402" s="424"/>
      <c r="G402" s="424"/>
      <c r="H402" s="424"/>
      <c r="I402" s="424"/>
      <c r="J402" s="424"/>
      <c r="K402" s="424"/>
      <c r="L402" s="424"/>
      <c r="M402" s="424"/>
      <c r="N402" s="424"/>
      <c r="O402" s="424"/>
      <c r="P402" s="424"/>
      <c r="Q402" s="435" t="n">
        <v>28</v>
      </c>
      <c r="R402" s="434" t="s">
        <v>496</v>
      </c>
      <c r="S402" s="424"/>
      <c r="T402" s="434" t="s">
        <v>497</v>
      </c>
      <c r="U402" s="434" t="s">
        <v>498</v>
      </c>
      <c r="V402" s="436" t="n">
        <f aca="false">AY407</f>
        <v>0</v>
      </c>
    </row>
    <row r="403" customFormat="false" ht="13.5" hidden="false" customHeight="false" outlineLevel="0" collapsed="false">
      <c r="A403" s="424"/>
      <c r="B403" s="424"/>
      <c r="C403" s="424"/>
      <c r="D403" s="424"/>
      <c r="E403" s="424"/>
      <c r="F403" s="424"/>
      <c r="G403" s="424"/>
      <c r="H403" s="424"/>
      <c r="I403" s="424"/>
      <c r="J403" s="424"/>
      <c r="K403" s="424"/>
      <c r="L403" s="424"/>
      <c r="M403" s="424"/>
      <c r="N403" s="424"/>
      <c r="O403" s="424"/>
      <c r="P403" s="424"/>
      <c r="Q403" s="435" t="n">
        <v>29</v>
      </c>
      <c r="R403" s="434" t="s">
        <v>499</v>
      </c>
      <c r="S403" s="424"/>
      <c r="T403" s="434" t="s">
        <v>500</v>
      </c>
      <c r="U403" s="434" t="s">
        <v>501</v>
      </c>
      <c r="V403" s="436" t="n">
        <f aca="false">AY408</f>
        <v>0</v>
      </c>
    </row>
    <row r="404" customFormat="false" ht="13.5" hidden="false" customHeight="false" outlineLevel="0" collapsed="false">
      <c r="A404" s="424"/>
      <c r="B404" s="424"/>
      <c r="C404" s="424"/>
      <c r="D404" s="424"/>
      <c r="E404" s="424"/>
      <c r="F404" s="424"/>
      <c r="G404" s="424"/>
      <c r="H404" s="424"/>
      <c r="I404" s="424"/>
      <c r="J404" s="424"/>
      <c r="K404" s="424"/>
      <c r="L404" s="424"/>
      <c r="M404" s="424"/>
      <c r="N404" s="424"/>
      <c r="O404" s="424"/>
      <c r="P404" s="424"/>
      <c r="Q404" s="435" t="n">
        <v>30</v>
      </c>
      <c r="R404" s="434" t="s">
        <v>502</v>
      </c>
      <c r="S404" s="424"/>
      <c r="T404" s="434" t="s">
        <v>503</v>
      </c>
      <c r="U404" s="434" t="s">
        <v>504</v>
      </c>
      <c r="V404" s="436" t="n">
        <f aca="false">AY409</f>
        <v>0</v>
      </c>
    </row>
    <row r="405" customFormat="false" ht="13.5" hidden="false" customHeight="false" outlineLevel="0" collapsed="false">
      <c r="A405" s="424"/>
      <c r="B405" s="424"/>
      <c r="C405" s="424"/>
      <c r="D405" s="424"/>
      <c r="E405" s="424"/>
      <c r="F405" s="424"/>
      <c r="G405" s="424"/>
      <c r="H405" s="424"/>
      <c r="I405" s="424"/>
      <c r="J405" s="424"/>
      <c r="K405" s="424"/>
      <c r="L405" s="424"/>
      <c r="M405" s="424"/>
      <c r="N405" s="424"/>
      <c r="O405" s="424"/>
      <c r="P405" s="424"/>
      <c r="Q405" s="435" t="n">
        <v>31</v>
      </c>
      <c r="R405" s="434" t="s">
        <v>505</v>
      </c>
      <c r="S405" s="424"/>
      <c r="T405" s="434" t="s">
        <v>506</v>
      </c>
      <c r="U405" s="434" t="s">
        <v>507</v>
      </c>
      <c r="V405" s="436" t="n">
        <f aca="false">AY410</f>
        <v>0</v>
      </c>
    </row>
    <row r="406" customFormat="false" ht="13.5" hidden="false" customHeight="false" outlineLevel="0" collapsed="false">
      <c r="A406" s="424"/>
      <c r="B406" s="424"/>
      <c r="C406" s="424"/>
      <c r="D406" s="424"/>
      <c r="E406" s="424"/>
      <c r="F406" s="424"/>
      <c r="G406" s="424"/>
      <c r="H406" s="424"/>
      <c r="I406" s="424"/>
      <c r="J406" s="424"/>
      <c r="K406" s="424"/>
      <c r="L406" s="424"/>
      <c r="M406" s="424"/>
      <c r="N406" s="424"/>
      <c r="O406" s="424"/>
      <c r="P406" s="424"/>
      <c r="Q406" s="435" t="n">
        <v>32</v>
      </c>
      <c r="R406" s="434" t="s">
        <v>508</v>
      </c>
      <c r="S406" s="424"/>
      <c r="T406" s="434" t="s">
        <v>509</v>
      </c>
      <c r="U406" s="434" t="s">
        <v>510</v>
      </c>
      <c r="V406" s="436" t="n">
        <f aca="false">AY411</f>
        <v>0</v>
      </c>
    </row>
    <row r="407" customFormat="false" ht="13.5" hidden="false" customHeight="false" outlineLevel="0" collapsed="false">
      <c r="A407" s="440"/>
      <c r="B407" s="435" t="e">
        <f aca="false">G392</f>
        <v>#VALUE!</v>
      </c>
      <c r="C407" s="424"/>
      <c r="D407" s="424"/>
      <c r="E407" s="424"/>
      <c r="F407" s="424"/>
      <c r="G407" s="424"/>
      <c r="H407" s="424"/>
      <c r="I407" s="424"/>
      <c r="J407" s="424"/>
      <c r="K407" s="424"/>
      <c r="L407" s="424"/>
      <c r="M407" s="424"/>
      <c r="N407" s="424"/>
      <c r="O407" s="424"/>
      <c r="P407" s="424"/>
      <c r="Q407" s="435" t="n">
        <v>33</v>
      </c>
      <c r="R407" s="434" t="s">
        <v>511</v>
      </c>
      <c r="S407" s="424"/>
      <c r="T407" s="434" t="s">
        <v>512</v>
      </c>
      <c r="U407" s="434" t="s">
        <v>513</v>
      </c>
      <c r="V407" s="436" t="n">
        <f aca="false">AY412</f>
        <v>0</v>
      </c>
    </row>
    <row r="408" customFormat="false" ht="13.5" hidden="false" customHeight="false" outlineLevel="0" collapsed="false">
      <c r="A408" s="440"/>
      <c r="B408" s="435" t="str">
        <f aca="false">H392</f>
        <v> Sembilan ratus</v>
      </c>
      <c r="C408" s="424"/>
      <c r="D408" s="424"/>
      <c r="E408" s="424"/>
      <c r="F408" s="424"/>
      <c r="G408" s="424"/>
      <c r="H408" s="424"/>
      <c r="I408" s="424"/>
      <c r="J408" s="424"/>
      <c r="K408" s="424"/>
      <c r="L408" s="424"/>
      <c r="M408" s="424"/>
      <c r="N408" s="424"/>
      <c r="O408" s="424"/>
      <c r="P408" s="424"/>
      <c r="Q408" s="435" t="n">
        <v>34</v>
      </c>
      <c r="R408" s="434" t="s">
        <v>514</v>
      </c>
      <c r="S408" s="424"/>
      <c r="T408" s="434" t="s">
        <v>515</v>
      </c>
      <c r="U408" s="434" t="s">
        <v>516</v>
      </c>
      <c r="V408" s="436" t="n">
        <f aca="false">AY413</f>
        <v>0</v>
      </c>
    </row>
    <row r="409" customFormat="false" ht="13.5" hidden="false" customHeight="false" outlineLevel="0" collapsed="false">
      <c r="A409" s="440"/>
      <c r="B409" s="435" t="str">
        <f aca="false">I392</f>
        <v>  Lima puluh</v>
      </c>
      <c r="C409" s="424"/>
      <c r="D409" s="424"/>
      <c r="E409" s="424"/>
      <c r="F409" s="424"/>
      <c r="G409" s="424"/>
      <c r="H409" s="424"/>
      <c r="I409" s="424"/>
      <c r="J409" s="424"/>
      <c r="K409" s="424"/>
      <c r="L409" s="424"/>
      <c r="M409" s="424"/>
      <c r="N409" s="424"/>
      <c r="O409" s="424"/>
      <c r="P409" s="424"/>
      <c r="Q409" s="435" t="n">
        <v>35</v>
      </c>
      <c r="R409" s="434" t="s">
        <v>517</v>
      </c>
      <c r="S409" s="424"/>
      <c r="T409" s="434" t="s">
        <v>518</v>
      </c>
      <c r="U409" s="434" t="s">
        <v>519</v>
      </c>
      <c r="V409" s="436" t="n">
        <f aca="false">AY414</f>
        <v>0</v>
      </c>
    </row>
    <row r="410" customFormat="false" ht="13.5" hidden="false" customHeight="false" outlineLevel="0" collapsed="false">
      <c r="A410" s="440"/>
      <c r="B410" s="435" t="str">
        <f aca="false">J392</f>
        <v> ribu</v>
      </c>
      <c r="C410" s="424"/>
      <c r="D410" s="424"/>
      <c r="E410" s="424"/>
      <c r="F410" s="424"/>
      <c r="G410" s="424"/>
      <c r="H410" s="424"/>
      <c r="I410" s="424"/>
      <c r="J410" s="424"/>
      <c r="K410" s="424"/>
      <c r="L410" s="424"/>
      <c r="M410" s="424"/>
      <c r="N410" s="424"/>
      <c r="O410" s="424"/>
      <c r="P410" s="424"/>
      <c r="Q410" s="435" t="n">
        <v>36</v>
      </c>
      <c r="R410" s="434" t="s">
        <v>520</v>
      </c>
      <c r="S410" s="424"/>
      <c r="T410" s="434" t="s">
        <v>521</v>
      </c>
      <c r="U410" s="434" t="s">
        <v>522</v>
      </c>
      <c r="V410" s="436" t="n">
        <f aca="false">AY415</f>
        <v>0</v>
      </c>
    </row>
    <row r="411" customFormat="false" ht="13.5" hidden="false" customHeight="false" outlineLevel="0" collapsed="false">
      <c r="A411" s="440"/>
      <c r="B411" s="440" t="str">
        <f aca="false">K392</f>
        <v/>
      </c>
      <c r="C411" s="424"/>
      <c r="D411" s="424"/>
      <c r="E411" s="424"/>
      <c r="F411" s="424"/>
      <c r="G411" s="424"/>
      <c r="H411" s="424"/>
      <c r="I411" s="424"/>
      <c r="J411" s="424"/>
      <c r="K411" s="424"/>
      <c r="L411" s="424"/>
      <c r="M411" s="424"/>
      <c r="N411" s="424"/>
      <c r="O411" s="424"/>
      <c r="P411" s="424"/>
      <c r="Q411" s="435" t="n">
        <v>37</v>
      </c>
      <c r="R411" s="434" t="s">
        <v>523</v>
      </c>
      <c r="S411" s="424"/>
      <c r="T411" s="434" t="s">
        <v>524</v>
      </c>
      <c r="U411" s="434" t="s">
        <v>525</v>
      </c>
      <c r="V411" s="436" t="n">
        <f aca="false">AY416</f>
        <v>0</v>
      </c>
    </row>
    <row r="412" customFormat="false" ht="13.5" hidden="false" customHeight="false" outlineLevel="0" collapsed="false">
      <c r="A412" s="440"/>
      <c r="B412" s="435" t="str">
        <f aca="false">L392</f>
        <v/>
      </c>
      <c r="C412" s="424"/>
      <c r="D412" s="424"/>
      <c r="E412" s="424"/>
      <c r="F412" s="424"/>
      <c r="G412" s="424"/>
      <c r="H412" s="424"/>
      <c r="I412" s="424"/>
      <c r="J412" s="424"/>
      <c r="K412" s="424"/>
      <c r="L412" s="424"/>
      <c r="M412" s="424"/>
      <c r="N412" s="424"/>
      <c r="O412" s="424"/>
      <c r="P412" s="424"/>
      <c r="Q412" s="435" t="n">
        <v>38</v>
      </c>
      <c r="R412" s="434" t="s">
        <v>526</v>
      </c>
      <c r="S412" s="424"/>
      <c r="T412" s="434" t="s">
        <v>527</v>
      </c>
      <c r="U412" s="434" t="s">
        <v>528</v>
      </c>
      <c r="V412" s="436" t="n">
        <f aca="false">AY417</f>
        <v>0</v>
      </c>
    </row>
    <row r="413" customFormat="false" ht="13.5" hidden="false" customHeight="false" outlineLevel="0" collapsed="false">
      <c r="A413" s="440"/>
      <c r="B413" s="435" t="str">
        <f aca="false">M392</f>
        <v> Rupiah </v>
      </c>
      <c r="C413" s="424"/>
      <c r="D413" s="424"/>
      <c r="E413" s="424"/>
      <c r="F413" s="424"/>
      <c r="G413" s="424"/>
      <c r="H413" s="424"/>
      <c r="I413" s="424"/>
      <c r="J413" s="424"/>
      <c r="K413" s="424"/>
      <c r="L413" s="424"/>
      <c r="M413" s="424"/>
      <c r="N413" s="424"/>
      <c r="O413" s="424"/>
      <c r="P413" s="424"/>
      <c r="Q413" s="435" t="n">
        <v>39</v>
      </c>
      <c r="R413" s="434" t="s">
        <v>529</v>
      </c>
      <c r="S413" s="424"/>
      <c r="T413" s="434" t="s">
        <v>530</v>
      </c>
      <c r="U413" s="434" t="s">
        <v>531</v>
      </c>
      <c r="V413" s="436" t="n">
        <f aca="false">AY418</f>
        <v>0</v>
      </c>
    </row>
    <row r="414" customFormat="false" ht="13.5" hidden="false" customHeight="false" outlineLevel="0" collapsed="false">
      <c r="A414" s="436" t="e">
        <f aca="false">+#REF!</f>
        <v>#REF!</v>
      </c>
      <c r="B414" s="435" t="str">
        <f aca="false">O392</f>
        <v/>
      </c>
      <c r="C414" s="424"/>
      <c r="D414" s="424"/>
      <c r="E414" s="424"/>
      <c r="F414" s="424"/>
      <c r="G414" s="424"/>
      <c r="H414" s="424"/>
      <c r="I414" s="424"/>
      <c r="J414" s="424"/>
      <c r="K414" s="424"/>
      <c r="L414" s="424"/>
      <c r="M414" s="424"/>
      <c r="N414" s="424"/>
      <c r="O414" s="424"/>
      <c r="P414" s="424"/>
      <c r="Q414" s="435" t="n">
        <v>40</v>
      </c>
      <c r="R414" s="434" t="s">
        <v>532</v>
      </c>
      <c r="S414" s="424"/>
      <c r="T414" s="434" t="s">
        <v>533</v>
      </c>
      <c r="U414" s="434" t="s">
        <v>534</v>
      </c>
      <c r="V414" s="436" t="n">
        <f aca="false">AY419</f>
        <v>0</v>
      </c>
    </row>
    <row r="415" customFormat="false" ht="13.5" hidden="false" customHeight="false" outlineLevel="0" collapsed="false">
      <c r="A415" s="440"/>
      <c r="B415" s="435" t="str">
        <f aca="false">IF(N390&gt;0,"-","====")</f>
        <v>====</v>
      </c>
      <c r="C415" s="424"/>
      <c r="D415" s="424"/>
      <c r="E415" s="424"/>
      <c r="F415" s="424"/>
      <c r="G415" s="424"/>
      <c r="H415" s="424"/>
      <c r="I415" s="424"/>
      <c r="J415" s="424"/>
      <c r="K415" s="424"/>
      <c r="L415" s="424"/>
      <c r="M415" s="424"/>
      <c r="N415" s="424"/>
      <c r="O415" s="424"/>
      <c r="P415" s="424"/>
      <c r="Q415" s="435" t="n">
        <v>41</v>
      </c>
      <c r="R415" s="434" t="s">
        <v>535</v>
      </c>
      <c r="S415" s="424"/>
      <c r="T415" s="434" t="s">
        <v>536</v>
      </c>
      <c r="U415" s="434" t="s">
        <v>537</v>
      </c>
      <c r="V415" s="436" t="n">
        <f aca="false">AY420</f>
        <v>0</v>
      </c>
    </row>
    <row r="416" customFormat="false" ht="13.5" hidden="false" customHeight="false" outlineLevel="0" collapsed="false">
      <c r="A416" s="435" t="e">
        <f aca="false">B392&amp;C392&amp;D392&amp;E392&amp;F392&amp;G392&amp;H392&amp;I392&amp;J392&amp;K392&amp;L392&amp;M392&amp;O392</f>
        <v>#N/A</v>
      </c>
      <c r="B416" s="424"/>
      <c r="C416" s="424"/>
      <c r="D416" s="424"/>
      <c r="E416" s="424"/>
      <c r="F416" s="424"/>
      <c r="G416" s="424"/>
      <c r="H416" s="424"/>
      <c r="I416" s="424"/>
      <c r="J416" s="424"/>
      <c r="K416" s="424"/>
      <c r="L416" s="424"/>
      <c r="M416" s="424"/>
      <c r="N416" s="424"/>
      <c r="O416" s="424"/>
      <c r="P416" s="424"/>
      <c r="Q416" s="435" t="n">
        <v>42</v>
      </c>
      <c r="R416" s="434" t="s">
        <v>538</v>
      </c>
      <c r="S416" s="424"/>
      <c r="T416" s="434" t="s">
        <v>539</v>
      </c>
      <c r="U416" s="434" t="s">
        <v>540</v>
      </c>
      <c r="V416" s="436" t="n">
        <f aca="false">AY421</f>
        <v>0</v>
      </c>
    </row>
    <row r="417" customFormat="false" ht="13.5" hidden="false" customHeight="false" outlineLevel="0" collapsed="false">
      <c r="A417" s="440" t="str">
        <f aca="false">I392&amp;J392&amp;K392&amp;L392&amp;M392&amp;O392</f>
        <v>  Lima puluh ribu Rupiah </v>
      </c>
      <c r="B417" s="424"/>
      <c r="C417" s="424"/>
      <c r="D417" s="424"/>
      <c r="E417" s="424"/>
      <c r="F417" s="424"/>
      <c r="G417" s="424"/>
      <c r="H417" s="424"/>
      <c r="I417" s="424"/>
      <c r="J417" s="424"/>
      <c r="K417" s="424"/>
      <c r="L417" s="424"/>
      <c r="M417" s="424"/>
      <c r="N417" s="424"/>
      <c r="O417" s="424"/>
      <c r="P417" s="424"/>
      <c r="Q417" s="435" t="n">
        <v>43</v>
      </c>
      <c r="R417" s="434" t="s">
        <v>541</v>
      </c>
      <c r="S417" s="424"/>
      <c r="T417" s="434" t="s">
        <v>542</v>
      </c>
      <c r="U417" s="434" t="s">
        <v>543</v>
      </c>
      <c r="V417" s="436" t="n">
        <f aca="false">AY422</f>
        <v>0</v>
      </c>
    </row>
    <row r="418" customFormat="false" ht="13.5" hidden="false" customHeight="false" outlineLevel="0" collapsed="false">
      <c r="A418" s="440"/>
      <c r="B418" s="424"/>
      <c r="C418" s="424"/>
      <c r="D418" s="424"/>
      <c r="E418" s="424"/>
      <c r="F418" s="424"/>
      <c r="G418" s="424"/>
      <c r="H418" s="424"/>
      <c r="I418" s="424"/>
      <c r="J418" s="424"/>
      <c r="K418" s="424"/>
      <c r="L418" s="424"/>
      <c r="M418" s="424"/>
      <c r="N418" s="424"/>
      <c r="O418" s="424"/>
      <c r="P418" s="424"/>
      <c r="Q418" s="435" t="n">
        <v>44</v>
      </c>
      <c r="R418" s="434" t="s">
        <v>544</v>
      </c>
      <c r="S418" s="424"/>
      <c r="T418" s="434" t="s">
        <v>545</v>
      </c>
      <c r="U418" s="434" t="s">
        <v>546</v>
      </c>
      <c r="V418" s="436" t="n">
        <f aca="false">AY423</f>
        <v>0</v>
      </c>
    </row>
    <row r="419" customFormat="false" ht="13.5" hidden="false" customHeight="false" outlineLevel="0" collapsed="false">
      <c r="A419" s="440"/>
      <c r="B419" s="424"/>
      <c r="C419" s="424"/>
      <c r="D419" s="424"/>
      <c r="E419" s="424"/>
      <c r="F419" s="424"/>
      <c r="G419" s="424"/>
      <c r="H419" s="424"/>
      <c r="I419" s="424"/>
      <c r="J419" s="424"/>
      <c r="K419" s="424"/>
      <c r="L419" s="424"/>
      <c r="M419" s="424"/>
      <c r="N419" s="424"/>
      <c r="O419" s="424"/>
      <c r="P419" s="424"/>
      <c r="Q419" s="435" t="n">
        <v>45</v>
      </c>
      <c r="R419" s="434" t="s">
        <v>547</v>
      </c>
      <c r="S419" s="424"/>
      <c r="T419" s="434" t="s">
        <v>548</v>
      </c>
      <c r="U419" s="434" t="s">
        <v>549</v>
      </c>
      <c r="V419" s="436" t="n">
        <f aca="false">AY424</f>
        <v>0</v>
      </c>
    </row>
    <row r="420" customFormat="false" ht="13.5" hidden="false" customHeight="false" outlineLevel="0" collapsed="false">
      <c r="A420" s="440"/>
      <c r="B420" s="424"/>
      <c r="C420" s="424"/>
      <c r="D420" s="424"/>
      <c r="E420" s="424"/>
      <c r="F420" s="424"/>
      <c r="G420" s="424"/>
      <c r="H420" s="424"/>
      <c r="I420" s="424"/>
      <c r="J420" s="424"/>
      <c r="K420" s="424"/>
      <c r="L420" s="424"/>
      <c r="M420" s="424"/>
      <c r="N420" s="424"/>
      <c r="O420" s="424"/>
      <c r="P420" s="424"/>
      <c r="Q420" s="435" t="n">
        <v>46</v>
      </c>
      <c r="R420" s="434" t="s">
        <v>550</v>
      </c>
      <c r="S420" s="424"/>
      <c r="T420" s="434" t="s">
        <v>551</v>
      </c>
      <c r="U420" s="434" t="s">
        <v>552</v>
      </c>
      <c r="V420" s="436" t="n">
        <f aca="false">AY425</f>
        <v>0</v>
      </c>
    </row>
    <row r="421" customFormat="false" ht="13.5" hidden="false" customHeight="false" outlineLevel="0" collapsed="false">
      <c r="A421" s="440"/>
      <c r="B421" s="424"/>
      <c r="C421" s="424"/>
      <c r="D421" s="424"/>
      <c r="E421" s="424"/>
      <c r="F421" s="424"/>
      <c r="G421" s="424"/>
      <c r="H421" s="424"/>
      <c r="I421" s="424"/>
      <c r="J421" s="424"/>
      <c r="K421" s="424"/>
      <c r="L421" s="424"/>
      <c r="M421" s="424"/>
      <c r="N421" s="424"/>
      <c r="O421" s="424"/>
      <c r="P421" s="424"/>
      <c r="Q421" s="435" t="n">
        <v>47</v>
      </c>
      <c r="R421" s="434" t="s">
        <v>553</v>
      </c>
      <c r="S421" s="424"/>
      <c r="T421" s="434" t="s">
        <v>554</v>
      </c>
      <c r="U421" s="434" t="s">
        <v>555</v>
      </c>
      <c r="V421" s="436" t="n">
        <f aca="false">AY426</f>
        <v>0</v>
      </c>
    </row>
    <row r="422" customFormat="false" ht="13.5" hidden="false" customHeight="false" outlineLevel="0" collapsed="false">
      <c r="A422" s="424"/>
      <c r="B422" s="424"/>
      <c r="C422" s="424"/>
      <c r="D422" s="424"/>
      <c r="E422" s="424"/>
      <c r="F422" s="424"/>
      <c r="G422" s="424"/>
      <c r="H422" s="424"/>
      <c r="I422" s="424"/>
      <c r="J422" s="424"/>
      <c r="K422" s="424"/>
      <c r="L422" s="424"/>
      <c r="M422" s="424"/>
      <c r="N422" s="424"/>
      <c r="O422" s="424"/>
      <c r="P422" s="424"/>
      <c r="Q422" s="435" t="n">
        <v>48</v>
      </c>
      <c r="R422" s="434" t="s">
        <v>556</v>
      </c>
      <c r="S422" s="424"/>
      <c r="T422" s="434" t="s">
        <v>557</v>
      </c>
      <c r="U422" s="434" t="s">
        <v>558</v>
      </c>
      <c r="V422" s="436" t="n">
        <f aca="false">AY427</f>
        <v>0</v>
      </c>
    </row>
    <row r="423" customFormat="false" ht="13.5" hidden="false" customHeight="false" outlineLevel="0" collapsed="false">
      <c r="A423" s="424"/>
      <c r="B423" s="424"/>
      <c r="C423" s="424"/>
      <c r="D423" s="424"/>
      <c r="E423" s="424"/>
      <c r="F423" s="424"/>
      <c r="G423" s="424"/>
      <c r="H423" s="424"/>
      <c r="I423" s="424"/>
      <c r="J423" s="424"/>
      <c r="K423" s="424"/>
      <c r="L423" s="424"/>
      <c r="M423" s="424"/>
      <c r="N423" s="424"/>
      <c r="O423" s="424"/>
      <c r="P423" s="424"/>
      <c r="Q423" s="435" t="n">
        <v>49</v>
      </c>
      <c r="R423" s="434" t="s">
        <v>559</v>
      </c>
      <c r="S423" s="424"/>
      <c r="T423" s="434" t="s">
        <v>560</v>
      </c>
      <c r="U423" s="434" t="s">
        <v>561</v>
      </c>
      <c r="V423" s="436" t="n">
        <f aca="false">AY428</f>
        <v>0</v>
      </c>
    </row>
    <row r="424" customFormat="false" ht="13.5" hidden="false" customHeight="false" outlineLevel="0" collapsed="false">
      <c r="A424" s="424"/>
      <c r="B424" s="424"/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424"/>
      <c r="Q424" s="435" t="n">
        <v>50</v>
      </c>
      <c r="R424" s="434" t="s">
        <v>562</v>
      </c>
      <c r="S424" s="424"/>
      <c r="T424" s="434" t="s">
        <v>563</v>
      </c>
      <c r="U424" s="434" t="s">
        <v>564</v>
      </c>
      <c r="V424" s="436" t="n">
        <f aca="false">AY429</f>
        <v>0</v>
      </c>
    </row>
    <row r="425" customFormat="false" ht="13.5" hidden="false" customHeight="false" outlineLevel="0" collapsed="false">
      <c r="A425" s="424"/>
      <c r="B425" s="424"/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424"/>
      <c r="Q425" s="435" t="n">
        <v>51</v>
      </c>
      <c r="R425" s="434" t="s">
        <v>565</v>
      </c>
      <c r="S425" s="424"/>
      <c r="T425" s="434" t="s">
        <v>566</v>
      </c>
      <c r="U425" s="434" t="s">
        <v>567</v>
      </c>
      <c r="V425" s="436" t="n">
        <f aca="false">AY430</f>
        <v>0</v>
      </c>
    </row>
    <row r="426" customFormat="false" ht="13.5" hidden="false" customHeight="false" outlineLevel="0" collapsed="false">
      <c r="A426" s="424"/>
      <c r="B426" s="424"/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424"/>
      <c r="Q426" s="435" t="n">
        <v>52</v>
      </c>
      <c r="R426" s="434" t="s">
        <v>568</v>
      </c>
      <c r="S426" s="424"/>
      <c r="T426" s="434" t="s">
        <v>569</v>
      </c>
      <c r="U426" s="434" t="s">
        <v>570</v>
      </c>
      <c r="V426" s="436" t="n">
        <f aca="false">AY431</f>
        <v>0</v>
      </c>
    </row>
    <row r="427" customFormat="false" ht="13.5" hidden="false" customHeight="false" outlineLevel="0" collapsed="false">
      <c r="A427" s="424"/>
      <c r="B427" s="424"/>
      <c r="C427" s="424"/>
      <c r="D427" s="424"/>
      <c r="E427" s="424"/>
      <c r="F427" s="424"/>
      <c r="G427" s="424"/>
      <c r="H427" s="424"/>
      <c r="I427" s="424"/>
      <c r="J427" s="424"/>
      <c r="K427" s="424"/>
      <c r="L427" s="424"/>
      <c r="M427" s="424"/>
      <c r="N427" s="424"/>
      <c r="O427" s="424"/>
      <c r="P427" s="424"/>
      <c r="Q427" s="435" t="n">
        <v>53</v>
      </c>
      <c r="R427" s="434" t="s">
        <v>571</v>
      </c>
      <c r="S427" s="424"/>
      <c r="T427" s="434" t="s">
        <v>572</v>
      </c>
      <c r="U427" s="434" t="s">
        <v>573</v>
      </c>
      <c r="V427" s="436" t="n">
        <f aca="false">AY432</f>
        <v>0</v>
      </c>
    </row>
    <row r="428" customFormat="false" ht="13.5" hidden="false" customHeight="false" outlineLevel="0" collapsed="false">
      <c r="A428" s="424"/>
      <c r="B428" s="424"/>
      <c r="C428" s="424"/>
      <c r="D428" s="424"/>
      <c r="E428" s="424"/>
      <c r="F428" s="424"/>
      <c r="G428" s="424"/>
      <c r="H428" s="424"/>
      <c r="I428" s="424"/>
      <c r="J428" s="424"/>
      <c r="K428" s="424"/>
      <c r="L428" s="424"/>
      <c r="M428" s="424"/>
      <c r="N428" s="424"/>
      <c r="O428" s="424"/>
      <c r="P428" s="424"/>
      <c r="Q428" s="435" t="n">
        <v>54</v>
      </c>
      <c r="R428" s="434" t="s">
        <v>574</v>
      </c>
      <c r="S428" s="424"/>
      <c r="T428" s="434" t="s">
        <v>575</v>
      </c>
      <c r="U428" s="434" t="s">
        <v>576</v>
      </c>
      <c r="V428" s="436" t="n">
        <f aca="false">AY433</f>
        <v>0</v>
      </c>
    </row>
    <row r="429" customFormat="false" ht="13.5" hidden="false" customHeight="false" outlineLevel="0" collapsed="false">
      <c r="A429" s="424"/>
      <c r="B429" s="424"/>
      <c r="C429" s="424"/>
      <c r="D429" s="424"/>
      <c r="E429" s="424"/>
      <c r="F429" s="424"/>
      <c r="G429" s="424"/>
      <c r="H429" s="424"/>
      <c r="I429" s="424"/>
      <c r="J429" s="424"/>
      <c r="K429" s="424"/>
      <c r="L429" s="424"/>
      <c r="M429" s="424"/>
      <c r="N429" s="424"/>
      <c r="O429" s="424"/>
      <c r="P429" s="424"/>
      <c r="Q429" s="435" t="n">
        <v>55</v>
      </c>
      <c r="R429" s="434" t="s">
        <v>577</v>
      </c>
      <c r="S429" s="424"/>
      <c r="T429" s="434" t="s">
        <v>578</v>
      </c>
      <c r="U429" s="434" t="s">
        <v>579</v>
      </c>
      <c r="V429" s="436" t="n">
        <f aca="false">AY434</f>
        <v>0</v>
      </c>
    </row>
    <row r="430" customFormat="false" ht="13.5" hidden="false" customHeight="false" outlineLevel="0" collapsed="false">
      <c r="A430" s="424"/>
      <c r="B430" s="424"/>
      <c r="C430" s="424"/>
      <c r="D430" s="424"/>
      <c r="E430" s="424"/>
      <c r="F430" s="424"/>
      <c r="G430" s="424"/>
      <c r="H430" s="424"/>
      <c r="I430" s="424"/>
      <c r="J430" s="424"/>
      <c r="K430" s="424"/>
      <c r="L430" s="424"/>
      <c r="M430" s="424"/>
      <c r="N430" s="424"/>
      <c r="O430" s="424"/>
      <c r="P430" s="424"/>
      <c r="Q430" s="435" t="n">
        <v>56</v>
      </c>
      <c r="R430" s="434" t="s">
        <v>580</v>
      </c>
      <c r="S430" s="424"/>
      <c r="T430" s="434" t="s">
        <v>581</v>
      </c>
      <c r="U430" s="434" t="s">
        <v>582</v>
      </c>
      <c r="V430" s="436" t="n">
        <f aca="false">AY435</f>
        <v>0</v>
      </c>
    </row>
    <row r="431" customFormat="false" ht="13.5" hidden="false" customHeight="false" outlineLevel="0" collapsed="false">
      <c r="A431" s="424"/>
      <c r="B431" s="424"/>
      <c r="C431" s="424"/>
      <c r="D431" s="424"/>
      <c r="E431" s="424"/>
      <c r="F431" s="424"/>
      <c r="G431" s="424"/>
      <c r="H431" s="424"/>
      <c r="I431" s="424"/>
      <c r="J431" s="424"/>
      <c r="K431" s="424"/>
      <c r="L431" s="424"/>
      <c r="M431" s="424"/>
      <c r="N431" s="424"/>
      <c r="O431" s="424"/>
      <c r="P431" s="424"/>
      <c r="Q431" s="435" t="n">
        <v>57</v>
      </c>
      <c r="R431" s="434" t="s">
        <v>583</v>
      </c>
      <c r="S431" s="424"/>
      <c r="T431" s="434" t="s">
        <v>584</v>
      </c>
      <c r="U431" s="434" t="s">
        <v>585</v>
      </c>
      <c r="V431" s="436" t="n">
        <f aca="false">AY436</f>
        <v>0</v>
      </c>
    </row>
    <row r="432" customFormat="false" ht="13.5" hidden="false" customHeight="false" outlineLevel="0" collapsed="false">
      <c r="A432" s="424"/>
      <c r="B432" s="424"/>
      <c r="C432" s="424"/>
      <c r="D432" s="424"/>
      <c r="E432" s="424"/>
      <c r="F432" s="424"/>
      <c r="G432" s="424"/>
      <c r="H432" s="424"/>
      <c r="I432" s="424"/>
      <c r="J432" s="424"/>
      <c r="K432" s="424"/>
      <c r="L432" s="424"/>
      <c r="M432" s="424"/>
      <c r="N432" s="424"/>
      <c r="O432" s="424"/>
      <c r="P432" s="424"/>
      <c r="Q432" s="435" t="n">
        <v>58</v>
      </c>
      <c r="R432" s="434" t="s">
        <v>586</v>
      </c>
      <c r="S432" s="424"/>
      <c r="T432" s="434" t="s">
        <v>587</v>
      </c>
      <c r="U432" s="434" t="s">
        <v>588</v>
      </c>
      <c r="V432" s="436" t="n">
        <f aca="false">AY437</f>
        <v>0</v>
      </c>
    </row>
    <row r="433" customFormat="false" ht="13.5" hidden="false" customHeight="false" outlineLevel="0" collapsed="false">
      <c r="A433" s="424"/>
      <c r="B433" s="424"/>
      <c r="C433" s="424"/>
      <c r="D433" s="424"/>
      <c r="E433" s="424"/>
      <c r="F433" s="424"/>
      <c r="G433" s="424"/>
      <c r="H433" s="424"/>
      <c r="I433" s="424"/>
      <c r="J433" s="424"/>
      <c r="K433" s="424"/>
      <c r="L433" s="424"/>
      <c r="M433" s="424"/>
      <c r="N433" s="424"/>
      <c r="O433" s="424"/>
      <c r="P433" s="424"/>
      <c r="Q433" s="435" t="n">
        <v>59</v>
      </c>
      <c r="R433" s="434" t="s">
        <v>589</v>
      </c>
      <c r="S433" s="424"/>
      <c r="T433" s="434" t="s">
        <v>590</v>
      </c>
      <c r="U433" s="434" t="s">
        <v>591</v>
      </c>
      <c r="V433" s="436" t="n">
        <f aca="false">AY438</f>
        <v>0</v>
      </c>
    </row>
    <row r="434" customFormat="false" ht="13.5" hidden="false" customHeight="false" outlineLevel="0" collapsed="false">
      <c r="A434" s="424"/>
      <c r="B434" s="424"/>
      <c r="C434" s="424"/>
      <c r="D434" s="424"/>
      <c r="E434" s="424"/>
      <c r="F434" s="424"/>
      <c r="G434" s="424"/>
      <c r="H434" s="424"/>
      <c r="I434" s="424"/>
      <c r="J434" s="424"/>
      <c r="K434" s="424"/>
      <c r="L434" s="424"/>
      <c r="M434" s="424"/>
      <c r="N434" s="424"/>
      <c r="O434" s="424"/>
      <c r="P434" s="424"/>
      <c r="Q434" s="435" t="n">
        <v>60</v>
      </c>
      <c r="R434" s="434" t="s">
        <v>592</v>
      </c>
      <c r="S434" s="424"/>
      <c r="T434" s="434" t="s">
        <v>593</v>
      </c>
      <c r="U434" s="434" t="s">
        <v>594</v>
      </c>
      <c r="V434" s="436" t="n">
        <f aca="false">AY439</f>
        <v>0</v>
      </c>
    </row>
    <row r="435" customFormat="false" ht="13.5" hidden="false" customHeight="false" outlineLevel="0" collapsed="false">
      <c r="A435" s="424"/>
      <c r="B435" s="424"/>
      <c r="C435" s="424"/>
      <c r="D435" s="424"/>
      <c r="E435" s="424"/>
      <c r="F435" s="424"/>
      <c r="G435" s="424"/>
      <c r="H435" s="424"/>
      <c r="I435" s="424"/>
      <c r="J435" s="424"/>
      <c r="K435" s="424"/>
      <c r="L435" s="424"/>
      <c r="M435" s="424"/>
      <c r="N435" s="424"/>
      <c r="O435" s="424"/>
      <c r="P435" s="424"/>
      <c r="Q435" s="435" t="n">
        <v>61</v>
      </c>
      <c r="R435" s="434" t="s">
        <v>595</v>
      </c>
      <c r="S435" s="424"/>
      <c r="T435" s="434" t="s">
        <v>596</v>
      </c>
      <c r="U435" s="434" t="s">
        <v>597</v>
      </c>
      <c r="V435" s="436" t="n">
        <f aca="false">AY440</f>
        <v>0</v>
      </c>
    </row>
    <row r="436" customFormat="false" ht="13.5" hidden="false" customHeight="false" outlineLevel="0" collapsed="false">
      <c r="A436" s="424"/>
      <c r="B436" s="424"/>
      <c r="C436" s="424"/>
      <c r="D436" s="424"/>
      <c r="E436" s="424"/>
      <c r="F436" s="424"/>
      <c r="G436" s="424"/>
      <c r="H436" s="424"/>
      <c r="I436" s="424"/>
      <c r="J436" s="424"/>
      <c r="K436" s="424"/>
      <c r="L436" s="424"/>
      <c r="M436" s="424"/>
      <c r="N436" s="424"/>
      <c r="O436" s="424"/>
      <c r="P436" s="424"/>
      <c r="Q436" s="435" t="n">
        <v>62</v>
      </c>
      <c r="R436" s="434" t="s">
        <v>598</v>
      </c>
      <c r="S436" s="424"/>
      <c r="T436" s="434" t="s">
        <v>599</v>
      </c>
      <c r="U436" s="434" t="s">
        <v>600</v>
      </c>
      <c r="V436" s="436" t="n">
        <f aca="false">AY441</f>
        <v>0</v>
      </c>
    </row>
    <row r="437" customFormat="false" ht="13.5" hidden="false" customHeight="false" outlineLevel="0" collapsed="false">
      <c r="A437" s="424"/>
      <c r="B437" s="424"/>
      <c r="C437" s="424"/>
      <c r="D437" s="424"/>
      <c r="E437" s="424"/>
      <c r="F437" s="424"/>
      <c r="G437" s="424"/>
      <c r="H437" s="424"/>
      <c r="I437" s="424"/>
      <c r="J437" s="424"/>
      <c r="K437" s="424"/>
      <c r="L437" s="424"/>
      <c r="M437" s="424"/>
      <c r="N437" s="424"/>
      <c r="O437" s="424"/>
      <c r="P437" s="424"/>
      <c r="Q437" s="435" t="n">
        <v>63</v>
      </c>
      <c r="R437" s="434" t="s">
        <v>601</v>
      </c>
      <c r="S437" s="424"/>
      <c r="T437" s="434" t="s">
        <v>602</v>
      </c>
      <c r="U437" s="434" t="s">
        <v>603</v>
      </c>
      <c r="V437" s="436" t="n">
        <f aca="false">AY442</f>
        <v>0</v>
      </c>
    </row>
    <row r="438" customFormat="false" ht="13.5" hidden="false" customHeight="false" outlineLevel="0" collapsed="false">
      <c r="A438" s="424"/>
      <c r="B438" s="424"/>
      <c r="C438" s="424"/>
      <c r="D438" s="424"/>
      <c r="E438" s="424"/>
      <c r="F438" s="424"/>
      <c r="G438" s="424"/>
      <c r="H438" s="424"/>
      <c r="I438" s="424"/>
      <c r="J438" s="424"/>
      <c r="K438" s="424"/>
      <c r="L438" s="424"/>
      <c r="M438" s="424"/>
      <c r="N438" s="424"/>
      <c r="O438" s="424"/>
      <c r="P438" s="424"/>
      <c r="Q438" s="435" t="n">
        <v>64</v>
      </c>
      <c r="R438" s="434" t="s">
        <v>604</v>
      </c>
      <c r="S438" s="424"/>
      <c r="T438" s="434" t="s">
        <v>605</v>
      </c>
      <c r="U438" s="434" t="s">
        <v>606</v>
      </c>
      <c r="V438" s="436" t="n">
        <f aca="false">AY443</f>
        <v>0</v>
      </c>
    </row>
    <row r="439" customFormat="false" ht="13.5" hidden="false" customHeight="false" outlineLevel="0" collapsed="false">
      <c r="A439" s="424"/>
      <c r="B439" s="424"/>
      <c r="C439" s="424"/>
      <c r="D439" s="424"/>
      <c r="E439" s="424"/>
      <c r="F439" s="424"/>
      <c r="G439" s="424"/>
      <c r="H439" s="424"/>
      <c r="I439" s="424"/>
      <c r="J439" s="424"/>
      <c r="K439" s="424"/>
      <c r="L439" s="424"/>
      <c r="M439" s="424"/>
      <c r="N439" s="424"/>
      <c r="O439" s="424"/>
      <c r="P439" s="424"/>
      <c r="Q439" s="435" t="n">
        <v>65</v>
      </c>
      <c r="R439" s="434" t="s">
        <v>607</v>
      </c>
      <c r="S439" s="424"/>
      <c r="T439" s="434" t="s">
        <v>608</v>
      </c>
      <c r="U439" s="434" t="s">
        <v>609</v>
      </c>
      <c r="V439" s="436" t="n">
        <f aca="false">AY444</f>
        <v>0</v>
      </c>
    </row>
    <row r="440" customFormat="false" ht="13.5" hidden="false" customHeight="false" outlineLevel="0" collapsed="false">
      <c r="A440" s="424"/>
      <c r="B440" s="424"/>
      <c r="C440" s="424"/>
      <c r="D440" s="424"/>
      <c r="E440" s="424"/>
      <c r="F440" s="424"/>
      <c r="G440" s="424"/>
      <c r="H440" s="424"/>
      <c r="I440" s="424"/>
      <c r="J440" s="424"/>
      <c r="K440" s="424"/>
      <c r="L440" s="424"/>
      <c r="M440" s="424"/>
      <c r="N440" s="424"/>
      <c r="O440" s="424"/>
      <c r="P440" s="424"/>
      <c r="Q440" s="435" t="n">
        <v>66</v>
      </c>
      <c r="R440" s="434" t="s">
        <v>610</v>
      </c>
      <c r="S440" s="424"/>
      <c r="T440" s="434" t="s">
        <v>611</v>
      </c>
      <c r="U440" s="434" t="s">
        <v>612</v>
      </c>
      <c r="V440" s="436" t="n">
        <f aca="false">AY445</f>
        <v>0</v>
      </c>
    </row>
    <row r="441" customFormat="false" ht="13.5" hidden="false" customHeight="false" outlineLevel="0" collapsed="false">
      <c r="A441" s="424"/>
      <c r="B441" s="424"/>
      <c r="C441" s="424"/>
      <c r="D441" s="424"/>
      <c r="E441" s="424"/>
      <c r="F441" s="424"/>
      <c r="G441" s="424"/>
      <c r="H441" s="424"/>
      <c r="I441" s="424"/>
      <c r="J441" s="424"/>
      <c r="K441" s="424"/>
      <c r="L441" s="424"/>
      <c r="M441" s="424"/>
      <c r="N441" s="424"/>
      <c r="O441" s="424"/>
      <c r="P441" s="424"/>
      <c r="Q441" s="435" t="n">
        <v>67</v>
      </c>
      <c r="R441" s="434" t="s">
        <v>613</v>
      </c>
      <c r="S441" s="424"/>
      <c r="T441" s="434" t="s">
        <v>614</v>
      </c>
      <c r="U441" s="434" t="s">
        <v>615</v>
      </c>
      <c r="V441" s="436" t="n">
        <f aca="false">AY446</f>
        <v>0</v>
      </c>
    </row>
    <row r="442" customFormat="false" ht="13.5" hidden="false" customHeight="false" outlineLevel="0" collapsed="false">
      <c r="A442" s="424"/>
      <c r="B442" s="424"/>
      <c r="C442" s="424"/>
      <c r="D442" s="424"/>
      <c r="E442" s="424"/>
      <c r="F442" s="424"/>
      <c r="G442" s="424"/>
      <c r="H442" s="424"/>
      <c r="I442" s="424"/>
      <c r="J442" s="424"/>
      <c r="K442" s="424"/>
      <c r="L442" s="424"/>
      <c r="M442" s="424"/>
      <c r="N442" s="424"/>
      <c r="O442" s="424"/>
      <c r="P442" s="424"/>
      <c r="Q442" s="435" t="n">
        <v>68</v>
      </c>
      <c r="R442" s="434" t="s">
        <v>616</v>
      </c>
      <c r="S442" s="424"/>
      <c r="T442" s="434" t="s">
        <v>617</v>
      </c>
      <c r="U442" s="434" t="s">
        <v>618</v>
      </c>
      <c r="V442" s="436" t="n">
        <f aca="false">AY447</f>
        <v>0</v>
      </c>
    </row>
    <row r="443" customFormat="false" ht="13.5" hidden="false" customHeight="false" outlineLevel="0" collapsed="false">
      <c r="A443" s="424"/>
      <c r="B443" s="424"/>
      <c r="C443" s="424"/>
      <c r="D443" s="424"/>
      <c r="E443" s="424"/>
      <c r="F443" s="424"/>
      <c r="G443" s="424"/>
      <c r="H443" s="424"/>
      <c r="I443" s="424"/>
      <c r="J443" s="424"/>
      <c r="K443" s="424"/>
      <c r="L443" s="424"/>
      <c r="M443" s="424"/>
      <c r="N443" s="424"/>
      <c r="O443" s="424"/>
      <c r="P443" s="424"/>
      <c r="Q443" s="435" t="n">
        <v>69</v>
      </c>
      <c r="R443" s="434" t="s">
        <v>619</v>
      </c>
      <c r="S443" s="424"/>
      <c r="T443" s="434" t="s">
        <v>620</v>
      </c>
      <c r="U443" s="434" t="s">
        <v>621</v>
      </c>
      <c r="V443" s="436" t="n">
        <f aca="false">AY448</f>
        <v>0</v>
      </c>
    </row>
    <row r="444" customFormat="false" ht="13.5" hidden="false" customHeight="false" outlineLevel="0" collapsed="false">
      <c r="A444" s="424"/>
      <c r="B444" s="424"/>
      <c r="C444" s="424"/>
      <c r="D444" s="424"/>
      <c r="E444" s="424"/>
      <c r="F444" s="424"/>
      <c r="G444" s="424"/>
      <c r="H444" s="424"/>
      <c r="I444" s="424"/>
      <c r="J444" s="424"/>
      <c r="K444" s="424"/>
      <c r="L444" s="424"/>
      <c r="M444" s="424"/>
      <c r="N444" s="424"/>
      <c r="O444" s="424"/>
      <c r="P444" s="424"/>
      <c r="Q444" s="435" t="n">
        <v>70</v>
      </c>
      <c r="R444" s="434" t="s">
        <v>622</v>
      </c>
      <c r="S444" s="424"/>
      <c r="T444" s="434" t="s">
        <v>623</v>
      </c>
      <c r="U444" s="434" t="s">
        <v>624</v>
      </c>
      <c r="V444" s="436" t="n">
        <f aca="false">AY449</f>
        <v>0</v>
      </c>
    </row>
    <row r="445" customFormat="false" ht="13.5" hidden="false" customHeight="false" outlineLevel="0" collapsed="false">
      <c r="A445" s="424"/>
      <c r="B445" s="424"/>
      <c r="C445" s="424"/>
      <c r="D445" s="424"/>
      <c r="E445" s="424"/>
      <c r="F445" s="424"/>
      <c r="G445" s="424"/>
      <c r="H445" s="424"/>
      <c r="I445" s="424"/>
      <c r="J445" s="424"/>
      <c r="K445" s="424"/>
      <c r="L445" s="424"/>
      <c r="M445" s="424"/>
      <c r="N445" s="424"/>
      <c r="O445" s="424"/>
      <c r="P445" s="424"/>
      <c r="Q445" s="435" t="n">
        <v>71</v>
      </c>
      <c r="R445" s="434" t="s">
        <v>625</v>
      </c>
      <c r="S445" s="424"/>
      <c r="T445" s="434" t="s">
        <v>626</v>
      </c>
      <c r="U445" s="434" t="s">
        <v>627</v>
      </c>
      <c r="V445" s="436" t="n">
        <f aca="false">AY450</f>
        <v>0</v>
      </c>
    </row>
    <row r="446" customFormat="false" ht="13.5" hidden="false" customHeight="false" outlineLevel="0" collapsed="false">
      <c r="A446" s="424"/>
      <c r="B446" s="424"/>
      <c r="C446" s="424"/>
      <c r="D446" s="424"/>
      <c r="E446" s="424"/>
      <c r="F446" s="424"/>
      <c r="G446" s="424"/>
      <c r="H446" s="424"/>
      <c r="I446" s="424"/>
      <c r="J446" s="424"/>
      <c r="K446" s="424"/>
      <c r="L446" s="424"/>
      <c r="M446" s="424"/>
      <c r="N446" s="424"/>
      <c r="O446" s="424"/>
      <c r="P446" s="424"/>
      <c r="Q446" s="435" t="n">
        <v>72</v>
      </c>
      <c r="R446" s="434" t="s">
        <v>628</v>
      </c>
      <c r="S446" s="424"/>
      <c r="T446" s="434" t="s">
        <v>629</v>
      </c>
      <c r="U446" s="434" t="s">
        <v>630</v>
      </c>
      <c r="V446" s="436" t="n">
        <f aca="false">AY451</f>
        <v>0</v>
      </c>
    </row>
    <row r="447" customFormat="false" ht="13.5" hidden="false" customHeight="false" outlineLevel="0" collapsed="false">
      <c r="A447" s="424"/>
      <c r="B447" s="424"/>
      <c r="C447" s="424"/>
      <c r="D447" s="424"/>
      <c r="E447" s="424"/>
      <c r="F447" s="424"/>
      <c r="G447" s="424"/>
      <c r="H447" s="424"/>
      <c r="I447" s="424"/>
      <c r="J447" s="424"/>
      <c r="K447" s="424"/>
      <c r="L447" s="424"/>
      <c r="M447" s="424"/>
      <c r="N447" s="424"/>
      <c r="O447" s="424"/>
      <c r="P447" s="424"/>
      <c r="Q447" s="435" t="n">
        <v>73</v>
      </c>
      <c r="R447" s="434" t="s">
        <v>631</v>
      </c>
      <c r="S447" s="424"/>
      <c r="T447" s="434" t="s">
        <v>632</v>
      </c>
      <c r="U447" s="434" t="s">
        <v>633</v>
      </c>
      <c r="V447" s="436" t="n">
        <f aca="false">AY452</f>
        <v>0</v>
      </c>
    </row>
    <row r="448" customFormat="false" ht="13.5" hidden="false" customHeight="false" outlineLevel="0" collapsed="false">
      <c r="A448" s="424"/>
      <c r="B448" s="424"/>
      <c r="C448" s="424"/>
      <c r="D448" s="424"/>
      <c r="E448" s="424"/>
      <c r="F448" s="424"/>
      <c r="G448" s="424"/>
      <c r="H448" s="424"/>
      <c r="I448" s="424"/>
      <c r="J448" s="424"/>
      <c r="K448" s="424"/>
      <c r="L448" s="424"/>
      <c r="M448" s="424"/>
      <c r="N448" s="424"/>
      <c r="O448" s="424"/>
      <c r="P448" s="424"/>
      <c r="Q448" s="435" t="n">
        <v>74</v>
      </c>
      <c r="R448" s="434" t="s">
        <v>634</v>
      </c>
      <c r="S448" s="424"/>
      <c r="T448" s="434" t="s">
        <v>635</v>
      </c>
      <c r="U448" s="434" t="s">
        <v>636</v>
      </c>
      <c r="V448" s="436" t="n">
        <f aca="false">AY453</f>
        <v>0</v>
      </c>
    </row>
    <row r="449" customFormat="false" ht="13.5" hidden="false" customHeight="false" outlineLevel="0" collapsed="false">
      <c r="A449" s="424"/>
      <c r="B449" s="424"/>
      <c r="C449" s="424"/>
      <c r="D449" s="424"/>
      <c r="E449" s="424"/>
      <c r="F449" s="424"/>
      <c r="G449" s="424"/>
      <c r="H449" s="424"/>
      <c r="I449" s="424"/>
      <c r="J449" s="424"/>
      <c r="K449" s="424"/>
      <c r="L449" s="424"/>
      <c r="M449" s="424"/>
      <c r="N449" s="424"/>
      <c r="O449" s="424"/>
      <c r="P449" s="424"/>
      <c r="Q449" s="435" t="n">
        <v>75</v>
      </c>
      <c r="R449" s="434" t="s">
        <v>637</v>
      </c>
      <c r="S449" s="424"/>
      <c r="T449" s="434" t="s">
        <v>638</v>
      </c>
      <c r="U449" s="434" t="s">
        <v>639</v>
      </c>
      <c r="V449" s="436" t="n">
        <f aca="false">AY454</f>
        <v>0</v>
      </c>
    </row>
    <row r="450" customFormat="false" ht="13.5" hidden="false" customHeight="false" outlineLevel="0" collapsed="false">
      <c r="A450" s="424"/>
      <c r="B450" s="424"/>
      <c r="C450" s="424"/>
      <c r="D450" s="424"/>
      <c r="E450" s="424"/>
      <c r="F450" s="424"/>
      <c r="G450" s="424"/>
      <c r="H450" s="424"/>
      <c r="I450" s="424"/>
      <c r="J450" s="424"/>
      <c r="K450" s="424"/>
      <c r="L450" s="424"/>
      <c r="M450" s="424"/>
      <c r="N450" s="424"/>
      <c r="O450" s="424"/>
      <c r="P450" s="424"/>
      <c r="Q450" s="435" t="n">
        <v>76</v>
      </c>
      <c r="R450" s="434" t="s">
        <v>640</v>
      </c>
      <c r="S450" s="424"/>
      <c r="T450" s="434" t="s">
        <v>641</v>
      </c>
      <c r="U450" s="434" t="s">
        <v>642</v>
      </c>
      <c r="V450" s="436" t="n">
        <f aca="false">AY455</f>
        <v>0</v>
      </c>
    </row>
    <row r="451" customFormat="false" ht="13.5" hidden="false" customHeight="false" outlineLevel="0" collapsed="false">
      <c r="A451" s="424"/>
      <c r="B451" s="424"/>
      <c r="C451" s="424"/>
      <c r="D451" s="424"/>
      <c r="E451" s="424"/>
      <c r="F451" s="424"/>
      <c r="G451" s="424"/>
      <c r="H451" s="424"/>
      <c r="I451" s="424"/>
      <c r="J451" s="424"/>
      <c r="K451" s="424"/>
      <c r="L451" s="424"/>
      <c r="M451" s="424"/>
      <c r="N451" s="424"/>
      <c r="O451" s="424"/>
      <c r="P451" s="424"/>
      <c r="Q451" s="435" t="n">
        <v>77</v>
      </c>
      <c r="R451" s="434" t="s">
        <v>643</v>
      </c>
      <c r="S451" s="424"/>
      <c r="T451" s="434" t="s">
        <v>644</v>
      </c>
      <c r="U451" s="434" t="s">
        <v>645</v>
      </c>
      <c r="V451" s="436" t="n">
        <f aca="false">AY456</f>
        <v>0</v>
      </c>
    </row>
    <row r="452" customFormat="false" ht="13.5" hidden="false" customHeight="false" outlineLevel="0" collapsed="false">
      <c r="A452" s="424"/>
      <c r="B452" s="424"/>
      <c r="C452" s="424"/>
      <c r="D452" s="424"/>
      <c r="E452" s="424"/>
      <c r="F452" s="424"/>
      <c r="G452" s="424"/>
      <c r="H452" s="424"/>
      <c r="I452" s="424"/>
      <c r="J452" s="424"/>
      <c r="K452" s="424"/>
      <c r="L452" s="424"/>
      <c r="M452" s="424"/>
      <c r="N452" s="424"/>
      <c r="O452" s="424"/>
      <c r="P452" s="424"/>
      <c r="Q452" s="435" t="n">
        <v>78</v>
      </c>
      <c r="R452" s="434" t="s">
        <v>646</v>
      </c>
      <c r="S452" s="424"/>
      <c r="T452" s="434" t="s">
        <v>647</v>
      </c>
      <c r="U452" s="434" t="s">
        <v>648</v>
      </c>
      <c r="V452" s="436" t="n">
        <f aca="false">AY457</f>
        <v>0</v>
      </c>
    </row>
    <row r="453" customFormat="false" ht="13.5" hidden="false" customHeight="false" outlineLevel="0" collapsed="false">
      <c r="A453" s="424"/>
      <c r="B453" s="424"/>
      <c r="C453" s="424"/>
      <c r="D453" s="424"/>
      <c r="E453" s="424"/>
      <c r="F453" s="424"/>
      <c r="G453" s="424"/>
      <c r="H453" s="424"/>
      <c r="I453" s="424"/>
      <c r="J453" s="424"/>
      <c r="K453" s="424"/>
      <c r="L453" s="424"/>
      <c r="M453" s="424"/>
      <c r="N453" s="424"/>
      <c r="O453" s="424"/>
      <c r="P453" s="424"/>
      <c r="Q453" s="435" t="n">
        <v>79</v>
      </c>
      <c r="R453" s="434" t="s">
        <v>649</v>
      </c>
      <c r="S453" s="424"/>
      <c r="T453" s="434" t="s">
        <v>650</v>
      </c>
      <c r="U453" s="434" t="s">
        <v>651</v>
      </c>
      <c r="V453" s="436" t="n">
        <f aca="false">AY458</f>
        <v>0</v>
      </c>
    </row>
    <row r="454" customFormat="false" ht="13.5" hidden="false" customHeight="false" outlineLevel="0" collapsed="false">
      <c r="A454" s="424"/>
      <c r="B454" s="424"/>
      <c r="C454" s="424"/>
      <c r="D454" s="424"/>
      <c r="E454" s="424"/>
      <c r="F454" s="424"/>
      <c r="G454" s="424"/>
      <c r="H454" s="424"/>
      <c r="I454" s="424"/>
      <c r="J454" s="424"/>
      <c r="K454" s="424"/>
      <c r="L454" s="424"/>
      <c r="M454" s="424"/>
      <c r="N454" s="424"/>
      <c r="O454" s="424"/>
      <c r="P454" s="424"/>
      <c r="Q454" s="435" t="n">
        <v>80</v>
      </c>
      <c r="R454" s="434" t="s">
        <v>652</v>
      </c>
      <c r="S454" s="424"/>
      <c r="T454" s="434" t="s">
        <v>653</v>
      </c>
      <c r="U454" s="434" t="s">
        <v>654</v>
      </c>
      <c r="V454" s="436" t="n">
        <f aca="false">AY459</f>
        <v>0</v>
      </c>
    </row>
    <row r="455" customFormat="false" ht="13.5" hidden="false" customHeight="false" outlineLevel="0" collapsed="false">
      <c r="A455" s="424"/>
      <c r="B455" s="424"/>
      <c r="C455" s="424"/>
      <c r="D455" s="424"/>
      <c r="E455" s="424"/>
      <c r="F455" s="424"/>
      <c r="G455" s="424"/>
      <c r="H455" s="424"/>
      <c r="I455" s="424"/>
      <c r="J455" s="424"/>
      <c r="K455" s="424"/>
      <c r="L455" s="424"/>
      <c r="M455" s="424"/>
      <c r="N455" s="424"/>
      <c r="O455" s="424"/>
      <c r="P455" s="424"/>
      <c r="Q455" s="435" t="n">
        <v>81</v>
      </c>
      <c r="R455" s="434" t="s">
        <v>655</v>
      </c>
      <c r="S455" s="424"/>
      <c r="T455" s="434" t="s">
        <v>656</v>
      </c>
      <c r="U455" s="434" t="s">
        <v>657</v>
      </c>
      <c r="V455" s="436" t="n">
        <f aca="false">AY460</f>
        <v>0</v>
      </c>
    </row>
    <row r="456" customFormat="false" ht="13.5" hidden="false" customHeight="false" outlineLevel="0" collapsed="false">
      <c r="A456" s="424"/>
      <c r="B456" s="424"/>
      <c r="C456" s="424"/>
      <c r="D456" s="424"/>
      <c r="E456" s="424"/>
      <c r="F456" s="424"/>
      <c r="G456" s="424"/>
      <c r="H456" s="424"/>
      <c r="I456" s="424"/>
      <c r="J456" s="424"/>
      <c r="K456" s="424"/>
      <c r="L456" s="424"/>
      <c r="M456" s="424"/>
      <c r="N456" s="424"/>
      <c r="O456" s="424"/>
      <c r="P456" s="424"/>
      <c r="Q456" s="435" t="n">
        <v>82</v>
      </c>
      <c r="R456" s="434" t="s">
        <v>658</v>
      </c>
      <c r="S456" s="424"/>
      <c r="T456" s="434" t="s">
        <v>659</v>
      </c>
      <c r="U456" s="434" t="s">
        <v>660</v>
      </c>
      <c r="V456" s="436" t="n">
        <f aca="false">AY461</f>
        <v>0</v>
      </c>
    </row>
    <row r="457" customFormat="false" ht="13.5" hidden="false" customHeight="false" outlineLevel="0" collapsed="false">
      <c r="A457" s="424"/>
      <c r="B457" s="424"/>
      <c r="C457" s="424"/>
      <c r="D457" s="424"/>
      <c r="E457" s="424"/>
      <c r="F457" s="424"/>
      <c r="G457" s="424"/>
      <c r="H457" s="424"/>
      <c r="I457" s="424"/>
      <c r="J457" s="424"/>
      <c r="K457" s="424"/>
      <c r="L457" s="424"/>
      <c r="M457" s="424"/>
      <c r="N457" s="424"/>
      <c r="O457" s="424"/>
      <c r="P457" s="424"/>
      <c r="Q457" s="435" t="n">
        <v>83</v>
      </c>
      <c r="R457" s="434" t="s">
        <v>661</v>
      </c>
      <c r="S457" s="424"/>
      <c r="T457" s="434" t="s">
        <v>662</v>
      </c>
      <c r="U457" s="434" t="s">
        <v>663</v>
      </c>
      <c r="V457" s="436" t="n">
        <f aca="false">AY462</f>
        <v>0</v>
      </c>
    </row>
    <row r="458" customFormat="false" ht="13.5" hidden="false" customHeight="false" outlineLevel="0" collapsed="false">
      <c r="A458" s="424"/>
      <c r="B458" s="424"/>
      <c r="C458" s="424"/>
      <c r="D458" s="424"/>
      <c r="E458" s="424"/>
      <c r="F458" s="424"/>
      <c r="G458" s="424"/>
      <c r="H458" s="424"/>
      <c r="I458" s="424"/>
      <c r="J458" s="424"/>
      <c r="K458" s="424"/>
      <c r="L458" s="424"/>
      <c r="M458" s="424"/>
      <c r="N458" s="424"/>
      <c r="O458" s="424"/>
      <c r="P458" s="424"/>
      <c r="Q458" s="435" t="n">
        <v>84</v>
      </c>
      <c r="R458" s="434" t="s">
        <v>664</v>
      </c>
      <c r="S458" s="424"/>
      <c r="T458" s="434" t="s">
        <v>665</v>
      </c>
      <c r="U458" s="434" t="s">
        <v>666</v>
      </c>
      <c r="V458" s="436" t="n">
        <f aca="false">AY463</f>
        <v>0</v>
      </c>
    </row>
    <row r="459" customFormat="false" ht="13.5" hidden="false" customHeight="false" outlineLevel="0" collapsed="false">
      <c r="A459" s="424"/>
      <c r="B459" s="424"/>
      <c r="C459" s="424"/>
      <c r="D459" s="424"/>
      <c r="E459" s="424"/>
      <c r="F459" s="424"/>
      <c r="G459" s="424"/>
      <c r="H459" s="424"/>
      <c r="I459" s="424"/>
      <c r="J459" s="424"/>
      <c r="K459" s="424"/>
      <c r="L459" s="424"/>
      <c r="M459" s="424"/>
      <c r="N459" s="424"/>
      <c r="O459" s="424"/>
      <c r="P459" s="424"/>
      <c r="Q459" s="435" t="n">
        <v>85</v>
      </c>
      <c r="R459" s="434" t="s">
        <v>667</v>
      </c>
      <c r="S459" s="424"/>
      <c r="T459" s="434" t="s">
        <v>668</v>
      </c>
      <c r="U459" s="434" t="s">
        <v>669</v>
      </c>
      <c r="V459" s="436" t="n">
        <f aca="false">AY464</f>
        <v>0</v>
      </c>
    </row>
    <row r="460" customFormat="false" ht="13.5" hidden="false" customHeight="false" outlineLevel="0" collapsed="false">
      <c r="A460" s="424"/>
      <c r="B460" s="424"/>
      <c r="C460" s="424"/>
      <c r="D460" s="424"/>
      <c r="E460" s="424"/>
      <c r="F460" s="424"/>
      <c r="G460" s="424"/>
      <c r="H460" s="424"/>
      <c r="I460" s="424"/>
      <c r="J460" s="424"/>
      <c r="K460" s="424"/>
      <c r="L460" s="424"/>
      <c r="M460" s="424"/>
      <c r="N460" s="424"/>
      <c r="O460" s="424"/>
      <c r="P460" s="424"/>
      <c r="Q460" s="435" t="n">
        <v>86</v>
      </c>
      <c r="R460" s="434" t="s">
        <v>670</v>
      </c>
      <c r="S460" s="424"/>
      <c r="T460" s="434" t="s">
        <v>671</v>
      </c>
      <c r="U460" s="434" t="s">
        <v>672</v>
      </c>
      <c r="V460" s="436" t="n">
        <f aca="false">AY465</f>
        <v>0</v>
      </c>
    </row>
    <row r="461" customFormat="false" ht="13.5" hidden="false" customHeight="false" outlineLevel="0" collapsed="false">
      <c r="A461" s="424"/>
      <c r="B461" s="424"/>
      <c r="C461" s="424"/>
      <c r="D461" s="424"/>
      <c r="E461" s="424"/>
      <c r="F461" s="424"/>
      <c r="G461" s="424"/>
      <c r="H461" s="424"/>
      <c r="I461" s="424"/>
      <c r="J461" s="424"/>
      <c r="K461" s="424"/>
      <c r="L461" s="424"/>
      <c r="M461" s="424"/>
      <c r="N461" s="424"/>
      <c r="O461" s="424"/>
      <c r="P461" s="424"/>
      <c r="Q461" s="435" t="n">
        <v>87</v>
      </c>
      <c r="R461" s="434" t="s">
        <v>673</v>
      </c>
      <c r="S461" s="424"/>
      <c r="T461" s="434" t="s">
        <v>674</v>
      </c>
      <c r="U461" s="434" t="s">
        <v>675</v>
      </c>
      <c r="V461" s="436" t="n">
        <f aca="false">AY466</f>
        <v>0</v>
      </c>
    </row>
    <row r="462" customFormat="false" ht="13.5" hidden="false" customHeight="false" outlineLevel="0" collapsed="false">
      <c r="A462" s="424"/>
      <c r="B462" s="424"/>
      <c r="C462" s="424"/>
      <c r="D462" s="424"/>
      <c r="E462" s="424"/>
      <c r="F462" s="424"/>
      <c r="G462" s="424"/>
      <c r="H462" s="424"/>
      <c r="I462" s="424"/>
      <c r="J462" s="424"/>
      <c r="K462" s="424"/>
      <c r="L462" s="424"/>
      <c r="M462" s="424"/>
      <c r="N462" s="424"/>
      <c r="O462" s="424"/>
      <c r="P462" s="424"/>
      <c r="Q462" s="435" t="n">
        <v>88</v>
      </c>
      <c r="R462" s="434" t="s">
        <v>676</v>
      </c>
      <c r="S462" s="424"/>
      <c r="T462" s="434" t="s">
        <v>677</v>
      </c>
      <c r="U462" s="434" t="s">
        <v>678</v>
      </c>
      <c r="V462" s="436" t="n">
        <f aca="false">AY467</f>
        <v>0</v>
      </c>
    </row>
    <row r="463" customFormat="false" ht="13.5" hidden="false" customHeight="false" outlineLevel="0" collapsed="false">
      <c r="A463" s="424"/>
      <c r="B463" s="424"/>
      <c r="C463" s="424"/>
      <c r="D463" s="424"/>
      <c r="E463" s="424"/>
      <c r="F463" s="424"/>
      <c r="G463" s="424"/>
      <c r="H463" s="424"/>
      <c r="I463" s="424"/>
      <c r="J463" s="424"/>
      <c r="K463" s="424"/>
      <c r="L463" s="424"/>
      <c r="M463" s="424"/>
      <c r="N463" s="424"/>
      <c r="O463" s="424"/>
      <c r="P463" s="424"/>
      <c r="Q463" s="435" t="n">
        <v>89</v>
      </c>
      <c r="R463" s="434" t="s">
        <v>679</v>
      </c>
      <c r="S463" s="424"/>
      <c r="T463" s="434" t="s">
        <v>680</v>
      </c>
      <c r="U463" s="434" t="s">
        <v>681</v>
      </c>
      <c r="V463" s="436" t="n">
        <f aca="false">AY468</f>
        <v>0</v>
      </c>
    </row>
    <row r="464" customFormat="false" ht="13.5" hidden="false" customHeight="false" outlineLevel="0" collapsed="false">
      <c r="A464" s="424"/>
      <c r="B464" s="424"/>
      <c r="C464" s="424"/>
      <c r="D464" s="424"/>
      <c r="E464" s="424"/>
      <c r="F464" s="424"/>
      <c r="G464" s="424"/>
      <c r="H464" s="424"/>
      <c r="I464" s="424"/>
      <c r="J464" s="424"/>
      <c r="K464" s="424"/>
      <c r="L464" s="424"/>
      <c r="M464" s="424"/>
      <c r="N464" s="424"/>
      <c r="O464" s="424"/>
      <c r="P464" s="424"/>
      <c r="Q464" s="435" t="n">
        <v>90</v>
      </c>
      <c r="R464" s="434" t="s">
        <v>682</v>
      </c>
      <c r="S464" s="424"/>
      <c r="T464" s="434" t="s">
        <v>683</v>
      </c>
      <c r="U464" s="434" t="s">
        <v>684</v>
      </c>
      <c r="V464" s="436" t="n">
        <f aca="false">AY469</f>
        <v>0</v>
      </c>
    </row>
    <row r="465" customFormat="false" ht="13.5" hidden="false" customHeight="false" outlineLevel="0" collapsed="false">
      <c r="A465" s="424"/>
      <c r="B465" s="424"/>
      <c r="C465" s="424"/>
      <c r="D465" s="424"/>
      <c r="E465" s="424"/>
      <c r="F465" s="424"/>
      <c r="G465" s="424"/>
      <c r="H465" s="424"/>
      <c r="I465" s="424"/>
      <c r="J465" s="424"/>
      <c r="K465" s="424"/>
      <c r="L465" s="424"/>
      <c r="M465" s="424"/>
      <c r="N465" s="424"/>
      <c r="O465" s="424"/>
      <c r="P465" s="424"/>
      <c r="Q465" s="435" t="n">
        <v>91</v>
      </c>
      <c r="R465" s="434" t="s">
        <v>685</v>
      </c>
      <c r="S465" s="424"/>
      <c r="T465" s="434" t="s">
        <v>686</v>
      </c>
      <c r="U465" s="434" t="s">
        <v>687</v>
      </c>
      <c r="V465" s="436" t="n">
        <f aca="false">AY470</f>
        <v>0</v>
      </c>
    </row>
    <row r="466" customFormat="false" ht="13.5" hidden="false" customHeight="false" outlineLevel="0" collapsed="false">
      <c r="A466" s="424"/>
      <c r="B466" s="424"/>
      <c r="C466" s="424"/>
      <c r="D466" s="424"/>
      <c r="E466" s="424"/>
      <c r="F466" s="424"/>
      <c r="G466" s="424"/>
      <c r="H466" s="424"/>
      <c r="I466" s="424"/>
      <c r="J466" s="424"/>
      <c r="K466" s="424"/>
      <c r="L466" s="424"/>
      <c r="M466" s="424"/>
      <c r="N466" s="424"/>
      <c r="O466" s="424"/>
      <c r="P466" s="424"/>
      <c r="Q466" s="435" t="n">
        <v>92</v>
      </c>
      <c r="R466" s="434" t="s">
        <v>688</v>
      </c>
      <c r="S466" s="424"/>
      <c r="T466" s="434" t="s">
        <v>689</v>
      </c>
      <c r="U466" s="434" t="s">
        <v>690</v>
      </c>
      <c r="V466" s="436" t="n">
        <f aca="false">AY471</f>
        <v>0</v>
      </c>
    </row>
    <row r="467" customFormat="false" ht="13.5" hidden="false" customHeight="false" outlineLevel="0" collapsed="false">
      <c r="A467" s="424"/>
      <c r="B467" s="424"/>
      <c r="C467" s="424"/>
      <c r="D467" s="424"/>
      <c r="E467" s="424"/>
      <c r="F467" s="424"/>
      <c r="G467" s="424"/>
      <c r="H467" s="424"/>
      <c r="I467" s="424"/>
      <c r="J467" s="424"/>
      <c r="K467" s="424"/>
      <c r="L467" s="424"/>
      <c r="M467" s="424"/>
      <c r="N467" s="424"/>
      <c r="O467" s="424"/>
      <c r="P467" s="424"/>
      <c r="Q467" s="435" t="n">
        <v>93</v>
      </c>
      <c r="R467" s="434" t="s">
        <v>691</v>
      </c>
      <c r="S467" s="424"/>
      <c r="T467" s="434" t="s">
        <v>692</v>
      </c>
      <c r="U467" s="434" t="s">
        <v>693</v>
      </c>
      <c r="V467" s="436" t="n">
        <f aca="false">AY472</f>
        <v>0</v>
      </c>
    </row>
    <row r="468" customFormat="false" ht="13.5" hidden="false" customHeight="false" outlineLevel="0" collapsed="false">
      <c r="A468" s="424"/>
      <c r="B468" s="424"/>
      <c r="C468" s="424"/>
      <c r="D468" s="424"/>
      <c r="E468" s="424"/>
      <c r="F468" s="424"/>
      <c r="G468" s="424"/>
      <c r="H468" s="424"/>
      <c r="I468" s="424"/>
      <c r="J468" s="424"/>
      <c r="K468" s="424"/>
      <c r="L468" s="424"/>
      <c r="M468" s="424"/>
      <c r="N468" s="424"/>
      <c r="O468" s="424"/>
      <c r="P468" s="424"/>
      <c r="Q468" s="435" t="n">
        <v>94</v>
      </c>
      <c r="R468" s="434" t="s">
        <v>694</v>
      </c>
      <c r="S468" s="424"/>
      <c r="T468" s="434" t="s">
        <v>695</v>
      </c>
      <c r="U468" s="434" t="s">
        <v>696</v>
      </c>
      <c r="V468" s="436" t="n">
        <f aca="false">AY473</f>
        <v>0</v>
      </c>
    </row>
    <row r="469" customFormat="false" ht="13.5" hidden="false" customHeight="false" outlineLevel="0" collapsed="false">
      <c r="A469" s="424"/>
      <c r="B469" s="424"/>
      <c r="C469" s="424"/>
      <c r="D469" s="424"/>
      <c r="E469" s="424"/>
      <c r="F469" s="424"/>
      <c r="G469" s="424"/>
      <c r="H469" s="424"/>
      <c r="I469" s="424"/>
      <c r="J469" s="424"/>
      <c r="K469" s="424"/>
      <c r="L469" s="424"/>
      <c r="M469" s="424"/>
      <c r="N469" s="424"/>
      <c r="O469" s="424"/>
      <c r="P469" s="424"/>
      <c r="Q469" s="435" t="n">
        <v>95</v>
      </c>
      <c r="R469" s="434" t="s">
        <v>697</v>
      </c>
      <c r="S469" s="424"/>
      <c r="T469" s="434" t="s">
        <v>698</v>
      </c>
      <c r="U469" s="434" t="s">
        <v>699</v>
      </c>
      <c r="V469" s="436" t="n">
        <f aca="false">AY474</f>
        <v>0</v>
      </c>
    </row>
    <row r="470" customFormat="false" ht="13.5" hidden="false" customHeight="false" outlineLevel="0" collapsed="false">
      <c r="A470" s="424"/>
      <c r="B470" s="424"/>
      <c r="C470" s="424"/>
      <c r="D470" s="424"/>
      <c r="E470" s="424"/>
      <c r="F470" s="424"/>
      <c r="G470" s="424"/>
      <c r="H470" s="424"/>
      <c r="I470" s="424"/>
      <c r="J470" s="424"/>
      <c r="K470" s="424"/>
      <c r="L470" s="424"/>
      <c r="M470" s="424"/>
      <c r="N470" s="424"/>
      <c r="O470" s="424"/>
      <c r="P470" s="424"/>
      <c r="Q470" s="435" t="n">
        <v>96</v>
      </c>
      <c r="R470" s="434" t="s">
        <v>700</v>
      </c>
      <c r="S470" s="424"/>
      <c r="T470" s="434" t="s">
        <v>701</v>
      </c>
      <c r="U470" s="434" t="s">
        <v>702</v>
      </c>
      <c r="V470" s="436" t="n">
        <f aca="false">AY475</f>
        <v>0</v>
      </c>
    </row>
    <row r="471" customFormat="false" ht="13.5" hidden="false" customHeight="false" outlineLevel="0" collapsed="false">
      <c r="A471" s="424"/>
      <c r="B471" s="424"/>
      <c r="C471" s="424"/>
      <c r="D471" s="424"/>
      <c r="E471" s="424"/>
      <c r="F471" s="424"/>
      <c r="G471" s="424"/>
      <c r="H471" s="424"/>
      <c r="I471" s="424"/>
      <c r="J471" s="424"/>
      <c r="K471" s="424"/>
      <c r="L471" s="424"/>
      <c r="M471" s="424"/>
      <c r="N471" s="424"/>
      <c r="O471" s="424"/>
      <c r="P471" s="424"/>
      <c r="Q471" s="435" t="n">
        <v>97</v>
      </c>
      <c r="R471" s="434" t="s">
        <v>703</v>
      </c>
      <c r="S471" s="424"/>
      <c r="T471" s="434" t="s">
        <v>704</v>
      </c>
      <c r="U471" s="434" t="s">
        <v>705</v>
      </c>
      <c r="V471" s="436" t="n">
        <f aca="false">AY476</f>
        <v>0</v>
      </c>
    </row>
    <row r="472" customFormat="false" ht="13.5" hidden="false" customHeight="false" outlineLevel="0" collapsed="false">
      <c r="A472" s="424"/>
      <c r="B472" s="424"/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  <c r="P472" s="424"/>
      <c r="Q472" s="435" t="n">
        <v>98</v>
      </c>
      <c r="R472" s="434" t="s">
        <v>706</v>
      </c>
      <c r="S472" s="424"/>
      <c r="T472" s="434" t="s">
        <v>707</v>
      </c>
      <c r="U472" s="434" t="s">
        <v>708</v>
      </c>
      <c r="V472" s="436" t="n">
        <f aca="false">AY477</f>
        <v>0</v>
      </c>
    </row>
    <row r="473" customFormat="false" ht="13.5" hidden="false" customHeight="false" outlineLevel="0" collapsed="false">
      <c r="A473" s="424"/>
      <c r="B473" s="424"/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  <c r="P473" s="424"/>
      <c r="Q473" s="435" t="n">
        <v>99</v>
      </c>
      <c r="R473" s="434" t="s">
        <v>709</v>
      </c>
      <c r="S473" s="424"/>
      <c r="T473" s="434" t="s">
        <v>710</v>
      </c>
      <c r="U473" s="434" t="s">
        <v>711</v>
      </c>
      <c r="V473" s="436" t="n">
        <f aca="false">AY478</f>
        <v>0</v>
      </c>
    </row>
    <row r="474" customFormat="false" ht="13.5" hidden="false" customHeight="false" outlineLevel="0" collapsed="false">
      <c r="A474" s="424"/>
      <c r="B474" s="424"/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  <c r="P474" s="424"/>
      <c r="Q474" s="424"/>
      <c r="R474" s="424"/>
      <c r="S474" s="424"/>
      <c r="T474" s="424"/>
      <c r="U474" s="424"/>
      <c r="V474" s="436" t="n">
        <f aca="false">AY479</f>
        <v>0</v>
      </c>
    </row>
    <row r="475" customFormat="false" ht="13.5" hidden="false" customHeight="false" outlineLevel="0" collapsed="false">
      <c r="A475" s="424"/>
      <c r="B475" s="424"/>
      <c r="C475" s="424"/>
      <c r="D475" s="424"/>
      <c r="E475" s="424"/>
      <c r="F475" s="424"/>
      <c r="G475" s="424"/>
      <c r="H475" s="424"/>
      <c r="I475" s="424"/>
      <c r="J475" s="424"/>
      <c r="K475" s="424"/>
      <c r="L475" s="424"/>
      <c r="M475" s="424"/>
      <c r="N475" s="424"/>
      <c r="O475" s="424"/>
      <c r="P475" s="424"/>
      <c r="Q475" s="424"/>
      <c r="R475" s="424"/>
      <c r="S475" s="424"/>
      <c r="T475" s="424"/>
      <c r="U475" s="424"/>
      <c r="V475" s="436" t="n">
        <f aca="false">AY480</f>
        <v>0</v>
      </c>
    </row>
    <row r="476" customFormat="false" ht="13.5" hidden="false" customHeight="false" outlineLevel="0" collapsed="false">
      <c r="A476" s="424"/>
      <c r="B476" s="424"/>
      <c r="C476" s="424"/>
      <c r="D476" s="424"/>
      <c r="E476" s="424"/>
      <c r="F476" s="424"/>
      <c r="G476" s="424"/>
      <c r="H476" s="424"/>
      <c r="I476" s="424"/>
      <c r="J476" s="424"/>
      <c r="K476" s="424"/>
      <c r="L476" s="424"/>
      <c r="M476" s="424"/>
      <c r="N476" s="424"/>
      <c r="O476" s="424"/>
      <c r="P476" s="424"/>
      <c r="Q476" s="424"/>
      <c r="R476" s="424"/>
      <c r="S476" s="424"/>
      <c r="T476" s="424"/>
      <c r="U476" s="424"/>
      <c r="V476" s="436" t="n">
        <f aca="false">AY481</f>
        <v>0</v>
      </c>
    </row>
    <row r="477" customFormat="false" ht="13.5" hidden="false" customHeight="false" outlineLevel="0" collapsed="false">
      <c r="A477" s="424"/>
      <c r="B477" s="424"/>
      <c r="C477" s="424"/>
      <c r="D477" s="424"/>
      <c r="E477" s="424"/>
      <c r="F477" s="424"/>
      <c r="G477" s="424"/>
      <c r="H477" s="424"/>
      <c r="I477" s="424"/>
      <c r="J477" s="424"/>
      <c r="K477" s="424"/>
      <c r="L477" s="424"/>
      <c r="M477" s="424"/>
      <c r="N477" s="424"/>
      <c r="O477" s="424"/>
      <c r="P477" s="424"/>
      <c r="Q477" s="424"/>
      <c r="R477" s="424"/>
      <c r="S477" s="424"/>
      <c r="T477" s="424"/>
      <c r="U477" s="424"/>
      <c r="V477" s="436" t="n">
        <f aca="false">AY482</f>
        <v>0</v>
      </c>
    </row>
    <row r="478" customFormat="false" ht="13.5" hidden="false" customHeight="false" outlineLevel="0" collapsed="false">
      <c r="A478" s="424"/>
      <c r="B478" s="424"/>
      <c r="C478" s="424"/>
      <c r="D478" s="424"/>
      <c r="E478" s="424"/>
      <c r="F478" s="424"/>
      <c r="G478" s="424"/>
      <c r="H478" s="424"/>
      <c r="I478" s="424"/>
      <c r="J478" s="424"/>
      <c r="K478" s="424"/>
      <c r="L478" s="424"/>
      <c r="M478" s="424"/>
      <c r="N478" s="424"/>
      <c r="O478" s="424"/>
      <c r="P478" s="424"/>
      <c r="Q478" s="424"/>
      <c r="R478" s="424"/>
      <c r="S478" s="424"/>
      <c r="T478" s="424"/>
      <c r="U478" s="424"/>
      <c r="V478" s="436" t="n">
        <f aca="false">AY483</f>
        <v>0</v>
      </c>
    </row>
    <row r="479" customFormat="false" ht="13.5" hidden="false" customHeight="false" outlineLevel="0" collapsed="false">
      <c r="A479" s="424"/>
      <c r="B479" s="424"/>
      <c r="C479" s="424"/>
      <c r="D479" s="424"/>
      <c r="E479" s="424"/>
      <c r="F479" s="424"/>
      <c r="G479" s="424"/>
      <c r="H479" s="424"/>
      <c r="I479" s="424"/>
      <c r="J479" s="424"/>
      <c r="K479" s="424"/>
      <c r="L479" s="424"/>
      <c r="M479" s="424"/>
      <c r="N479" s="424"/>
      <c r="O479" s="424"/>
      <c r="P479" s="424"/>
      <c r="Q479" s="424"/>
      <c r="R479" s="424"/>
      <c r="S479" s="424"/>
      <c r="T479" s="424"/>
      <c r="U479" s="424"/>
      <c r="V479" s="436" t="n">
        <f aca="false">AY484</f>
        <v>0</v>
      </c>
    </row>
    <row r="480" customFormat="false" ht="13.5" hidden="false" customHeight="false" outlineLevel="0" collapsed="false">
      <c r="A480" s="424"/>
      <c r="B480" s="424"/>
      <c r="C480" s="424"/>
      <c r="D480" s="424"/>
      <c r="E480" s="424"/>
      <c r="F480" s="424"/>
      <c r="G480" s="424"/>
      <c r="H480" s="424"/>
      <c r="I480" s="424"/>
      <c r="J480" s="424"/>
      <c r="K480" s="424"/>
      <c r="L480" s="424"/>
      <c r="M480" s="424"/>
      <c r="N480" s="424"/>
      <c r="O480" s="424"/>
      <c r="P480" s="424"/>
      <c r="Q480" s="424"/>
      <c r="R480" s="424"/>
      <c r="S480" s="424"/>
      <c r="T480" s="424"/>
      <c r="U480" s="424"/>
      <c r="V480" s="436" t="n">
        <f aca="false">AY485</f>
        <v>0</v>
      </c>
    </row>
    <row r="481" customFormat="false" ht="13.5" hidden="false" customHeight="false" outlineLevel="0" collapsed="false">
      <c r="A481" s="424"/>
      <c r="B481" s="424"/>
      <c r="C481" s="424"/>
      <c r="D481" s="424"/>
      <c r="E481" s="424"/>
      <c r="F481" s="424"/>
      <c r="G481" s="424"/>
      <c r="H481" s="424"/>
      <c r="I481" s="424"/>
      <c r="J481" s="424"/>
      <c r="K481" s="424"/>
      <c r="L481" s="424"/>
      <c r="M481" s="424"/>
      <c r="N481" s="424"/>
      <c r="O481" s="424"/>
      <c r="P481" s="424"/>
      <c r="Q481" s="424"/>
      <c r="R481" s="424"/>
      <c r="S481" s="424"/>
      <c r="T481" s="424"/>
      <c r="U481" s="424"/>
      <c r="V481" s="436" t="n">
        <f aca="false">AY486</f>
        <v>0</v>
      </c>
    </row>
    <row r="482" customFormat="false" ht="13.5" hidden="false" customHeight="false" outlineLevel="0" collapsed="false">
      <c r="A482" s="424"/>
      <c r="B482" s="424"/>
      <c r="C482" s="424"/>
      <c r="D482" s="424"/>
      <c r="E482" s="424"/>
      <c r="F482" s="424"/>
      <c r="G482" s="424"/>
      <c r="H482" s="424"/>
      <c r="I482" s="424"/>
      <c r="J482" s="424"/>
      <c r="K482" s="424"/>
      <c r="L482" s="424"/>
      <c r="M482" s="424"/>
      <c r="N482" s="424"/>
      <c r="O482" s="424"/>
      <c r="P482" s="424"/>
      <c r="Q482" s="424"/>
      <c r="R482" s="424"/>
      <c r="S482" s="424"/>
      <c r="T482" s="424"/>
      <c r="U482" s="424"/>
      <c r="V482" s="436" t="n">
        <f aca="false">AY487</f>
        <v>0</v>
      </c>
    </row>
    <row r="483" customFormat="false" ht="13.5" hidden="false" customHeight="false" outlineLevel="0" collapsed="false">
      <c r="A483" s="424"/>
      <c r="B483" s="424"/>
      <c r="C483" s="424"/>
      <c r="D483" s="424"/>
      <c r="E483" s="424"/>
      <c r="F483" s="424"/>
      <c r="G483" s="424"/>
      <c r="H483" s="424"/>
      <c r="I483" s="424"/>
      <c r="J483" s="424"/>
      <c r="K483" s="424"/>
      <c r="L483" s="424"/>
      <c r="M483" s="424"/>
      <c r="N483" s="424"/>
      <c r="O483" s="424"/>
      <c r="P483" s="424"/>
      <c r="Q483" s="424"/>
      <c r="R483" s="424"/>
      <c r="S483" s="424"/>
      <c r="T483" s="424"/>
      <c r="U483" s="424"/>
      <c r="V483" s="436" t="n">
        <f aca="false">AY488</f>
        <v>0</v>
      </c>
    </row>
    <row r="484" customFormat="false" ht="13.5" hidden="false" customHeight="false" outlineLevel="0" collapsed="false">
      <c r="A484" s="424"/>
      <c r="B484" s="424"/>
      <c r="C484" s="424"/>
      <c r="D484" s="424"/>
      <c r="E484" s="424"/>
      <c r="F484" s="424"/>
      <c r="G484" s="424"/>
      <c r="H484" s="424"/>
      <c r="I484" s="424"/>
      <c r="J484" s="424"/>
      <c r="K484" s="424"/>
      <c r="L484" s="424"/>
      <c r="M484" s="424"/>
      <c r="N484" s="424"/>
      <c r="O484" s="424"/>
      <c r="P484" s="424"/>
      <c r="Q484" s="424"/>
      <c r="R484" s="424"/>
      <c r="S484" s="424"/>
      <c r="T484" s="424"/>
      <c r="U484" s="424"/>
      <c r="V484" s="436" t="n">
        <f aca="false">AY489</f>
        <v>0</v>
      </c>
    </row>
    <row r="485" customFormat="false" ht="13.5" hidden="false" customHeight="false" outlineLevel="0" collapsed="false">
      <c r="A485" s="424"/>
      <c r="B485" s="424"/>
      <c r="C485" s="424"/>
      <c r="D485" s="424"/>
      <c r="E485" s="424"/>
      <c r="F485" s="424"/>
      <c r="G485" s="424"/>
      <c r="H485" s="424"/>
      <c r="I485" s="424"/>
      <c r="J485" s="424"/>
      <c r="K485" s="424"/>
      <c r="L485" s="424"/>
      <c r="M485" s="424"/>
      <c r="N485" s="424"/>
      <c r="O485" s="424"/>
      <c r="P485" s="424"/>
      <c r="Q485" s="424"/>
      <c r="R485" s="424"/>
      <c r="S485" s="424"/>
      <c r="T485" s="424"/>
      <c r="U485" s="424"/>
      <c r="V485" s="436" t="n">
        <f aca="false">AY490</f>
        <v>0</v>
      </c>
    </row>
    <row r="486" customFormat="false" ht="13.5" hidden="false" customHeight="false" outlineLevel="0" collapsed="false">
      <c r="A486" s="424"/>
      <c r="B486" s="424"/>
      <c r="C486" s="424"/>
      <c r="D486" s="424"/>
      <c r="E486" s="424"/>
      <c r="F486" s="424"/>
      <c r="G486" s="424"/>
      <c r="H486" s="424"/>
      <c r="I486" s="424"/>
      <c r="J486" s="424"/>
      <c r="K486" s="424"/>
      <c r="L486" s="424"/>
      <c r="M486" s="424"/>
      <c r="N486" s="424"/>
      <c r="O486" s="424"/>
      <c r="P486" s="424"/>
      <c r="Q486" s="424"/>
      <c r="R486" s="424"/>
      <c r="S486" s="424"/>
      <c r="T486" s="424"/>
      <c r="U486" s="424"/>
      <c r="V486" s="436" t="n">
        <f aca="false">AY491</f>
        <v>0</v>
      </c>
    </row>
    <row r="487" customFormat="false" ht="13.5" hidden="false" customHeight="false" outlineLevel="0" collapsed="false">
      <c r="A487" s="424"/>
      <c r="B487" s="424"/>
      <c r="C487" s="424"/>
      <c r="D487" s="424"/>
      <c r="E487" s="424"/>
      <c r="F487" s="424"/>
      <c r="G487" s="424"/>
      <c r="H487" s="424"/>
      <c r="I487" s="424"/>
      <c r="J487" s="424"/>
      <c r="K487" s="424"/>
      <c r="L487" s="424"/>
      <c r="M487" s="424"/>
      <c r="N487" s="424"/>
      <c r="O487" s="424"/>
      <c r="P487" s="424"/>
      <c r="Q487" s="424"/>
      <c r="R487" s="424"/>
      <c r="S487" s="424"/>
      <c r="T487" s="424"/>
      <c r="U487" s="424"/>
      <c r="V487" s="436" t="n">
        <f aca="false">AY492</f>
        <v>0</v>
      </c>
    </row>
    <row r="488" customFormat="false" ht="13.5" hidden="false" customHeight="false" outlineLevel="0" collapsed="false">
      <c r="A488" s="424"/>
      <c r="B488" s="424"/>
      <c r="C488" s="424"/>
      <c r="D488" s="424"/>
      <c r="E488" s="424"/>
      <c r="F488" s="424"/>
      <c r="G488" s="424"/>
      <c r="H488" s="424"/>
      <c r="I488" s="424"/>
      <c r="J488" s="424"/>
      <c r="K488" s="424"/>
      <c r="L488" s="424"/>
      <c r="M488" s="424"/>
      <c r="N488" s="424"/>
      <c r="O488" s="424"/>
      <c r="P488" s="424"/>
      <c r="Q488" s="424"/>
      <c r="R488" s="424"/>
      <c r="S488" s="424"/>
      <c r="T488" s="424"/>
      <c r="U488" s="424"/>
      <c r="V488" s="436" t="n">
        <f aca="false">AY493</f>
        <v>0</v>
      </c>
    </row>
    <row r="489" customFormat="false" ht="13.5" hidden="false" customHeight="false" outlineLevel="0" collapsed="false">
      <c r="A489" s="424"/>
      <c r="B489" s="424"/>
      <c r="C489" s="424"/>
      <c r="D489" s="424"/>
      <c r="E489" s="424"/>
      <c r="F489" s="424"/>
      <c r="G489" s="424"/>
      <c r="H489" s="424"/>
      <c r="I489" s="424"/>
      <c r="J489" s="424"/>
      <c r="K489" s="424"/>
      <c r="L489" s="424"/>
      <c r="M489" s="424"/>
      <c r="N489" s="424"/>
      <c r="O489" s="424"/>
      <c r="P489" s="424"/>
      <c r="Q489" s="424"/>
      <c r="R489" s="424"/>
      <c r="S489" s="424"/>
      <c r="T489" s="424"/>
      <c r="U489" s="424"/>
      <c r="V489" s="436" t="n">
        <f aca="false">AY494</f>
        <v>0</v>
      </c>
    </row>
    <row r="490" customFormat="false" ht="13.5" hidden="false" customHeight="false" outlineLevel="0" collapsed="false">
      <c r="A490" s="424"/>
      <c r="B490" s="424"/>
      <c r="C490" s="424"/>
      <c r="D490" s="424"/>
      <c r="E490" s="424"/>
      <c r="F490" s="424"/>
      <c r="G490" s="424"/>
      <c r="H490" s="424"/>
      <c r="I490" s="424"/>
      <c r="J490" s="424"/>
      <c r="K490" s="424"/>
      <c r="L490" s="424"/>
      <c r="M490" s="424"/>
      <c r="N490" s="424"/>
      <c r="O490" s="424"/>
      <c r="P490" s="424"/>
      <c r="Q490" s="424"/>
      <c r="R490" s="424"/>
      <c r="S490" s="424"/>
      <c r="T490" s="424"/>
      <c r="U490" s="424"/>
      <c r="V490" s="436" t="n">
        <f aca="false">AY495</f>
        <v>0</v>
      </c>
    </row>
    <row r="491" customFormat="false" ht="13.5" hidden="false" customHeight="false" outlineLevel="0" collapsed="false">
      <c r="A491" s="424"/>
      <c r="B491" s="424"/>
      <c r="C491" s="424"/>
      <c r="D491" s="424"/>
      <c r="E491" s="424"/>
      <c r="F491" s="424"/>
      <c r="G491" s="424"/>
      <c r="H491" s="424"/>
      <c r="I491" s="424"/>
      <c r="J491" s="424"/>
      <c r="K491" s="424"/>
      <c r="L491" s="424"/>
      <c r="M491" s="424"/>
      <c r="N491" s="424"/>
      <c r="O491" s="424"/>
      <c r="P491" s="424"/>
      <c r="Q491" s="424"/>
      <c r="R491" s="424"/>
      <c r="S491" s="424"/>
      <c r="T491" s="424"/>
      <c r="U491" s="424"/>
      <c r="V491" s="436" t="n">
        <f aca="false">AY496</f>
        <v>0</v>
      </c>
    </row>
    <row r="492" customFormat="false" ht="13.5" hidden="false" customHeight="false" outlineLevel="0" collapsed="false">
      <c r="A492" s="424"/>
      <c r="B492" s="424"/>
      <c r="C492" s="424"/>
      <c r="D492" s="424"/>
      <c r="E492" s="424"/>
      <c r="F492" s="424"/>
      <c r="G492" s="424"/>
      <c r="H492" s="424"/>
      <c r="I492" s="424"/>
      <c r="J492" s="424"/>
      <c r="K492" s="424"/>
      <c r="L492" s="424"/>
      <c r="M492" s="424"/>
      <c r="N492" s="424"/>
      <c r="O492" s="424"/>
      <c r="P492" s="424"/>
      <c r="Q492" s="424"/>
      <c r="R492" s="424"/>
      <c r="S492" s="424"/>
      <c r="T492" s="424"/>
      <c r="U492" s="424"/>
      <c r="V492" s="424"/>
    </row>
    <row r="493" customFormat="false" ht="13.5" hidden="false" customHeight="false" outlineLevel="0" collapsed="false">
      <c r="A493" s="424"/>
      <c r="B493" s="424"/>
      <c r="C493" s="424"/>
      <c r="D493" s="424"/>
      <c r="E493" s="424"/>
      <c r="F493" s="424"/>
      <c r="G493" s="424"/>
      <c r="H493" s="424"/>
      <c r="I493" s="424"/>
      <c r="J493" s="424"/>
      <c r="K493" s="424"/>
      <c r="L493" s="424"/>
      <c r="M493" s="424"/>
      <c r="N493" s="424"/>
      <c r="O493" s="424"/>
      <c r="P493" s="424"/>
      <c r="Q493" s="424"/>
      <c r="R493" s="424"/>
      <c r="S493" s="424"/>
      <c r="T493" s="424"/>
      <c r="U493" s="424"/>
      <c r="V493" s="424"/>
    </row>
    <row r="494" customFormat="false" ht="13.5" hidden="false" customHeight="false" outlineLevel="0" collapsed="false">
      <c r="A494" s="424"/>
      <c r="B494" s="424"/>
      <c r="C494" s="424"/>
      <c r="D494" s="424"/>
      <c r="E494" s="424"/>
      <c r="F494" s="424"/>
      <c r="G494" s="424"/>
      <c r="H494" s="424"/>
      <c r="I494" s="424"/>
      <c r="J494" s="424"/>
      <c r="K494" s="424"/>
      <c r="L494" s="424"/>
      <c r="M494" s="424"/>
      <c r="N494" s="424"/>
      <c r="O494" s="424"/>
      <c r="P494" s="424"/>
      <c r="Q494" s="424"/>
      <c r="R494" s="434" t="s">
        <v>400</v>
      </c>
      <c r="S494" s="424"/>
      <c r="T494" s="424"/>
      <c r="U494" s="424"/>
      <c r="V494" s="435" t="n">
        <f aca="false">SUM(V496:V528)</f>
        <v>0</v>
      </c>
    </row>
    <row r="495" customFormat="false" ht="13.5" hidden="false" customHeight="false" outlineLevel="0" collapsed="false">
      <c r="A495" s="424"/>
      <c r="B495" s="424"/>
      <c r="C495" s="424"/>
      <c r="D495" s="424"/>
      <c r="E495" s="424"/>
      <c r="F495" s="424"/>
      <c r="G495" s="424"/>
      <c r="H495" s="424"/>
      <c r="I495" s="424"/>
      <c r="J495" s="424"/>
      <c r="K495" s="424"/>
      <c r="L495" s="424"/>
      <c r="M495" s="424"/>
      <c r="N495" s="424"/>
      <c r="O495" s="424"/>
      <c r="P495" s="424"/>
      <c r="Q495" s="435" t="n">
        <v>0</v>
      </c>
      <c r="R495" s="424"/>
      <c r="S495" s="435" t="n">
        <v>0</v>
      </c>
      <c r="T495" s="424"/>
      <c r="U495" s="424"/>
      <c r="V495" s="436" t="n">
        <f aca="false">AY495</f>
        <v>0</v>
      </c>
    </row>
    <row r="496" customFormat="false" ht="13.5" hidden="false" customHeight="false" outlineLevel="0" collapsed="false">
      <c r="A496" s="424"/>
      <c r="B496" s="424"/>
      <c r="C496" s="424"/>
      <c r="D496" s="424"/>
      <c r="E496" s="424"/>
      <c r="F496" s="424"/>
      <c r="G496" s="424"/>
      <c r="H496" s="424"/>
      <c r="I496" s="424"/>
      <c r="J496" s="424"/>
      <c r="K496" s="424"/>
      <c r="L496" s="424"/>
      <c r="M496" s="424"/>
      <c r="N496" s="424"/>
      <c r="O496" s="424"/>
      <c r="P496" s="424"/>
      <c r="Q496" s="435" t="n">
        <v>1</v>
      </c>
      <c r="R496" s="434" t="s">
        <v>401</v>
      </c>
      <c r="S496" s="434" t="s">
        <v>402</v>
      </c>
      <c r="T496" s="434" t="s">
        <v>403</v>
      </c>
      <c r="U496" s="434" t="s">
        <v>404</v>
      </c>
      <c r="V496" s="436" t="n">
        <f aca="false">AY496</f>
        <v>0</v>
      </c>
    </row>
    <row r="497" customFormat="false" ht="13.5" hidden="false" customHeight="false" outlineLevel="0" collapsed="false">
      <c r="A497" s="424"/>
      <c r="B497" s="424"/>
      <c r="C497" s="424"/>
      <c r="D497" s="424"/>
      <c r="E497" s="424"/>
      <c r="F497" s="424"/>
      <c r="G497" s="424"/>
      <c r="H497" s="424"/>
      <c r="I497" s="424"/>
      <c r="J497" s="424"/>
      <c r="K497" s="424"/>
      <c r="L497" s="424"/>
      <c r="M497" s="424"/>
      <c r="N497" s="424"/>
      <c r="O497" s="424"/>
      <c r="P497" s="424"/>
      <c r="Q497" s="435" t="n">
        <v>2</v>
      </c>
      <c r="R497" s="434" t="s">
        <v>405</v>
      </c>
      <c r="S497" s="434" t="s">
        <v>406</v>
      </c>
      <c r="T497" s="434" t="s">
        <v>407</v>
      </c>
      <c r="U497" s="434" t="s">
        <v>408</v>
      </c>
      <c r="V497" s="436" t="n">
        <f aca="false">AY497</f>
        <v>0</v>
      </c>
    </row>
    <row r="498" customFormat="false" ht="13.5" hidden="false" customHeight="false" outlineLevel="0" collapsed="false">
      <c r="A498" s="424"/>
      <c r="B498" s="424"/>
      <c r="C498" s="424"/>
      <c r="D498" s="424"/>
      <c r="E498" s="424"/>
      <c r="F498" s="424"/>
      <c r="G498" s="424"/>
      <c r="H498" s="424"/>
      <c r="I498" s="424"/>
      <c r="J498" s="424"/>
      <c r="K498" s="424"/>
      <c r="L498" s="424"/>
      <c r="M498" s="424"/>
      <c r="N498" s="424"/>
      <c r="O498" s="424"/>
      <c r="P498" s="424"/>
      <c r="Q498" s="435" t="n">
        <v>3</v>
      </c>
      <c r="R498" s="434" t="s">
        <v>409</v>
      </c>
      <c r="S498" s="434" t="s">
        <v>410</v>
      </c>
      <c r="T498" s="434" t="s">
        <v>411</v>
      </c>
      <c r="U498" s="434" t="s">
        <v>412</v>
      </c>
      <c r="V498" s="436" t="n">
        <f aca="false">AY498</f>
        <v>0</v>
      </c>
    </row>
    <row r="499" customFormat="false" ht="13.5" hidden="false" customHeight="false" outlineLevel="0" collapsed="false">
      <c r="A499" s="424"/>
      <c r="B499" s="424"/>
      <c r="C499" s="424"/>
      <c r="D499" s="424"/>
      <c r="E499" s="424"/>
      <c r="F499" s="424"/>
      <c r="G499" s="424"/>
      <c r="H499" s="424"/>
      <c r="I499" s="424"/>
      <c r="J499" s="424"/>
      <c r="K499" s="424"/>
      <c r="L499" s="424"/>
      <c r="M499" s="424"/>
      <c r="N499" s="424"/>
      <c r="O499" s="424"/>
      <c r="P499" s="424"/>
      <c r="Q499" s="435" t="n">
        <v>4</v>
      </c>
      <c r="R499" s="434" t="s">
        <v>413</v>
      </c>
      <c r="S499" s="434" t="s">
        <v>414</v>
      </c>
      <c r="T499" s="434" t="s">
        <v>415</v>
      </c>
      <c r="U499" s="434" t="s">
        <v>416</v>
      </c>
      <c r="V499" s="436" t="n">
        <f aca="false">AY499</f>
        <v>0</v>
      </c>
    </row>
    <row r="500" customFormat="false" ht="13.5" hidden="false" customHeight="false" outlineLevel="0" collapsed="false">
      <c r="A500" s="424"/>
      <c r="B500" s="424"/>
      <c r="C500" s="424"/>
      <c r="D500" s="424"/>
      <c r="E500" s="424"/>
      <c r="F500" s="424"/>
      <c r="G500" s="424"/>
      <c r="H500" s="424"/>
      <c r="I500" s="424"/>
      <c r="J500" s="424"/>
      <c r="K500" s="424"/>
      <c r="L500" s="424"/>
      <c r="M500" s="424"/>
      <c r="N500" s="424"/>
      <c r="O500" s="424"/>
      <c r="P500" s="438" t="s">
        <v>417</v>
      </c>
      <c r="Q500" s="435" t="n">
        <v>5</v>
      </c>
      <c r="R500" s="434" t="s">
        <v>418</v>
      </c>
      <c r="S500" s="434" t="s">
        <v>419</v>
      </c>
      <c r="T500" s="434" t="s">
        <v>420</v>
      </c>
      <c r="U500" s="434" t="s">
        <v>421</v>
      </c>
      <c r="V500" s="436" t="n">
        <f aca="false">AY500</f>
        <v>0</v>
      </c>
    </row>
    <row r="501" customFormat="false" ht="13.5" hidden="false" customHeight="false" outlineLevel="0" collapsed="false">
      <c r="A501" s="424"/>
      <c r="B501" s="424"/>
      <c r="C501" s="424"/>
      <c r="D501" s="424"/>
      <c r="E501" s="424"/>
      <c r="F501" s="424"/>
      <c r="G501" s="424"/>
      <c r="H501" s="424"/>
      <c r="I501" s="424"/>
      <c r="J501" s="424"/>
      <c r="K501" s="424"/>
      <c r="L501" s="424"/>
      <c r="M501" s="424"/>
      <c r="N501" s="424"/>
      <c r="O501" s="424"/>
      <c r="P501" s="438" t="s">
        <v>417</v>
      </c>
      <c r="Q501" s="435" t="n">
        <v>6</v>
      </c>
      <c r="R501" s="434" t="s">
        <v>422</v>
      </c>
      <c r="S501" s="434" t="s">
        <v>423</v>
      </c>
      <c r="T501" s="434" t="s">
        <v>424</v>
      </c>
      <c r="U501" s="434" t="s">
        <v>425</v>
      </c>
      <c r="V501" s="436" t="n">
        <f aca="false">AY501</f>
        <v>0</v>
      </c>
    </row>
    <row r="502" customFormat="false" ht="13.5" hidden="false" customHeight="false" outlineLevel="0" collapsed="false">
      <c r="A502" s="424"/>
      <c r="B502" s="424"/>
      <c r="C502" s="424"/>
      <c r="D502" s="424"/>
      <c r="E502" s="424"/>
      <c r="F502" s="424"/>
      <c r="G502" s="424"/>
      <c r="H502" s="424"/>
      <c r="I502" s="424"/>
      <c r="J502" s="424"/>
      <c r="K502" s="424"/>
      <c r="L502" s="424"/>
      <c r="M502" s="424"/>
      <c r="N502" s="424"/>
      <c r="O502" s="424"/>
      <c r="P502" s="438" t="s">
        <v>417</v>
      </c>
      <c r="Q502" s="435" t="n">
        <v>7</v>
      </c>
      <c r="R502" s="434" t="s">
        <v>426</v>
      </c>
      <c r="S502" s="434" t="s">
        <v>427</v>
      </c>
      <c r="T502" s="434" t="s">
        <v>428</v>
      </c>
      <c r="U502" s="434" t="s">
        <v>429</v>
      </c>
      <c r="V502" s="436" t="n">
        <f aca="false">AY502</f>
        <v>0</v>
      </c>
    </row>
    <row r="503" customFormat="false" ht="13.5" hidden="false" customHeight="false" outlineLevel="0" collapsed="false">
      <c r="A503" s="424"/>
      <c r="B503" s="424"/>
      <c r="C503" s="424"/>
      <c r="D503" s="424"/>
      <c r="E503" s="424"/>
      <c r="F503" s="424"/>
      <c r="G503" s="424"/>
      <c r="H503" s="424"/>
      <c r="I503" s="424"/>
      <c r="J503" s="424"/>
      <c r="K503" s="424"/>
      <c r="L503" s="424"/>
      <c r="M503" s="424"/>
      <c r="N503" s="424"/>
      <c r="O503" s="424"/>
      <c r="P503" s="438" t="s">
        <v>417</v>
      </c>
      <c r="Q503" s="435" t="n">
        <v>8</v>
      </c>
      <c r="R503" s="434" t="s">
        <v>430</v>
      </c>
      <c r="S503" s="434" t="s">
        <v>431</v>
      </c>
      <c r="T503" s="434" t="s">
        <v>432</v>
      </c>
      <c r="U503" s="434" t="s">
        <v>433</v>
      </c>
      <c r="V503" s="436" t="n">
        <f aca="false">AY503</f>
        <v>0</v>
      </c>
    </row>
    <row r="504" customFormat="false" ht="13.5" hidden="false" customHeight="false" outlineLevel="0" collapsed="false">
      <c r="A504" s="424"/>
      <c r="B504" s="424"/>
      <c r="C504" s="424"/>
      <c r="D504" s="424"/>
      <c r="E504" s="424"/>
      <c r="F504" s="424"/>
      <c r="G504" s="424"/>
      <c r="H504" s="424"/>
      <c r="I504" s="424"/>
      <c r="J504" s="424"/>
      <c r="K504" s="424"/>
      <c r="L504" s="424"/>
      <c r="M504" s="424"/>
      <c r="N504" s="424"/>
      <c r="O504" s="424"/>
      <c r="P504" s="438" t="s">
        <v>417</v>
      </c>
      <c r="Q504" s="435" t="n">
        <v>9</v>
      </c>
      <c r="R504" s="434" t="s">
        <v>434</v>
      </c>
      <c r="S504" s="434" t="s">
        <v>435</v>
      </c>
      <c r="T504" s="434" t="s">
        <v>436</v>
      </c>
      <c r="U504" s="434" t="s">
        <v>437</v>
      </c>
      <c r="V504" s="436" t="n">
        <f aca="false">AY504</f>
        <v>0</v>
      </c>
    </row>
    <row r="505" customFormat="false" ht="13.5" hidden="false" customHeight="false" outlineLevel="0" collapsed="false">
      <c r="A505" s="424"/>
      <c r="B505" s="424"/>
      <c r="C505" s="424"/>
      <c r="D505" s="424"/>
      <c r="E505" s="424"/>
      <c r="F505" s="424"/>
      <c r="G505" s="424"/>
      <c r="H505" s="424"/>
      <c r="I505" s="424"/>
      <c r="J505" s="424"/>
      <c r="K505" s="424"/>
      <c r="L505" s="424"/>
      <c r="M505" s="424"/>
      <c r="N505" s="424"/>
      <c r="O505" s="424"/>
      <c r="P505" s="438" t="s">
        <v>417</v>
      </c>
      <c r="Q505" s="435" t="n">
        <v>10</v>
      </c>
      <c r="R505" s="434" t="s">
        <v>438</v>
      </c>
      <c r="S505" s="424"/>
      <c r="T505" s="434" t="s">
        <v>439</v>
      </c>
      <c r="U505" s="434" t="s">
        <v>440</v>
      </c>
      <c r="V505" s="436" t="n">
        <f aca="false">AY505</f>
        <v>0</v>
      </c>
    </row>
    <row r="506" customFormat="false" ht="13.5" hidden="false" customHeight="false" outlineLevel="0" collapsed="false">
      <c r="A506" s="424"/>
      <c r="B506" s="424"/>
      <c r="C506" s="424"/>
      <c r="D506" s="424"/>
      <c r="E506" s="424"/>
      <c r="F506" s="435" t="e">
        <f aca="false">TRUNC(+A508/1000000)</f>
        <v>#N/A</v>
      </c>
      <c r="G506" s="424"/>
      <c r="H506" s="424"/>
      <c r="I506" s="424"/>
      <c r="J506" s="424"/>
      <c r="K506" s="424"/>
      <c r="L506" s="424"/>
      <c r="M506" s="424"/>
      <c r="N506" s="424"/>
      <c r="O506" s="424"/>
      <c r="P506" s="438" t="s">
        <v>417</v>
      </c>
      <c r="Q506" s="435" t="n">
        <v>11</v>
      </c>
      <c r="R506" s="434" t="s">
        <v>441</v>
      </c>
      <c r="S506" s="424"/>
      <c r="T506" s="434" t="s">
        <v>442</v>
      </c>
      <c r="U506" s="434" t="s">
        <v>443</v>
      </c>
      <c r="V506" s="436" t="n">
        <f aca="false">AY506</f>
        <v>0</v>
      </c>
    </row>
    <row r="507" customFormat="false" ht="13.5" hidden="false" customHeight="false" outlineLevel="0" collapsed="false">
      <c r="A507" s="424"/>
      <c r="B507" s="424"/>
      <c r="C507" s="424"/>
      <c r="D507" s="424"/>
      <c r="E507" s="424"/>
      <c r="F507" s="435" t="e">
        <f aca="false">(+B511*100000+C511*1000+E511*100)</f>
        <v>#N/A</v>
      </c>
      <c r="G507" s="424"/>
      <c r="H507" s="424"/>
      <c r="I507" s="424"/>
      <c r="J507" s="424"/>
      <c r="K507" s="424"/>
      <c r="L507" s="434" t="s">
        <v>444</v>
      </c>
      <c r="M507" s="424"/>
      <c r="N507" s="424"/>
      <c r="O507" s="424"/>
      <c r="P507" s="438" t="s">
        <v>417</v>
      </c>
      <c r="Q507" s="435" t="n">
        <v>12</v>
      </c>
      <c r="R507" s="434" t="s">
        <v>445</v>
      </c>
      <c r="S507" s="424"/>
      <c r="T507" s="434" t="s">
        <v>446</v>
      </c>
      <c r="U507" s="434" t="s">
        <v>447</v>
      </c>
      <c r="V507" s="436" t="n">
        <f aca="false">AY507</f>
        <v>0</v>
      </c>
    </row>
    <row r="508" customFormat="false" ht="13.5" hidden="false" customHeight="false" outlineLevel="0" collapsed="false">
      <c r="A508" s="436" t="e">
        <f aca="false">TRUNC(+A509)</f>
        <v>#N/A</v>
      </c>
      <c r="B508" s="424"/>
      <c r="C508" s="424"/>
      <c r="D508" s="424"/>
      <c r="E508" s="440" t="e">
        <f aca="false">TRUNC(+A508/100000000)</f>
        <v>#N/A</v>
      </c>
      <c r="F508" s="424"/>
      <c r="G508" s="424"/>
      <c r="H508" s="424"/>
      <c r="I508" s="424"/>
      <c r="J508" s="424"/>
      <c r="K508" s="424"/>
      <c r="L508" s="424"/>
      <c r="M508" s="424"/>
      <c r="N508" s="424"/>
      <c r="O508" s="424"/>
      <c r="P508" s="438" t="s">
        <v>417</v>
      </c>
      <c r="Q508" s="435" t="n">
        <v>13</v>
      </c>
      <c r="R508" s="434" t="s">
        <v>448</v>
      </c>
      <c r="S508" s="424"/>
      <c r="T508" s="434" t="s">
        <v>449</v>
      </c>
      <c r="U508" s="434" t="s">
        <v>450</v>
      </c>
      <c r="V508" s="436" t="n">
        <f aca="false">AY508</f>
        <v>0</v>
      </c>
    </row>
    <row r="509" customFormat="false" ht="13.5" hidden="false" customHeight="false" outlineLevel="0" collapsed="false">
      <c r="A509" s="441" t="e">
        <f aca="false">'Buku Besar'!H21</f>
        <v>#N/A</v>
      </c>
      <c r="B509" s="434" t="s">
        <v>451</v>
      </c>
      <c r="C509" s="434" t="s">
        <v>452</v>
      </c>
      <c r="D509" s="424"/>
      <c r="E509" s="434" t="s">
        <v>452</v>
      </c>
      <c r="F509" s="424"/>
      <c r="G509" s="424"/>
      <c r="H509" s="424"/>
      <c r="I509" s="440" t="e">
        <f aca="false">TRUNC((+A508-(+F506*1000000))/1000)</f>
        <v>#N/A</v>
      </c>
      <c r="J509" s="424"/>
      <c r="K509" s="440" t="e">
        <f aca="false">(TRUNC((+A508-(+F506*1000000))/1))-I509*1000</f>
        <v>#N/A</v>
      </c>
      <c r="L509" s="424"/>
      <c r="M509" s="424"/>
      <c r="N509" s="424"/>
      <c r="O509" s="424"/>
      <c r="P509" s="438" t="s">
        <v>417</v>
      </c>
      <c r="Q509" s="435" t="n">
        <v>14</v>
      </c>
      <c r="R509" s="434" t="s">
        <v>453</v>
      </c>
      <c r="S509" s="424"/>
      <c r="T509" s="434" t="s">
        <v>454</v>
      </c>
      <c r="U509" s="434" t="s">
        <v>455</v>
      </c>
      <c r="V509" s="436" t="n">
        <f aca="false">AY509</f>
        <v>0</v>
      </c>
    </row>
    <row r="510" customFormat="false" ht="13.5" hidden="false" customHeight="false" outlineLevel="0" collapsed="false">
      <c r="A510" s="424"/>
      <c r="B510" s="442" t="s">
        <v>712</v>
      </c>
      <c r="C510" s="442" t="s">
        <v>712</v>
      </c>
      <c r="D510" s="424"/>
      <c r="E510" s="442" t="s">
        <v>712</v>
      </c>
      <c r="F510" s="424"/>
      <c r="G510" s="424"/>
      <c r="H510" s="424"/>
      <c r="I510" s="424"/>
      <c r="J510" s="424"/>
      <c r="K510" s="424"/>
      <c r="L510" s="424"/>
      <c r="M510" s="424"/>
      <c r="N510" s="440" t="e">
        <f aca="false">ROUND(((+A509-A508)*100),1)</f>
        <v>#N/A</v>
      </c>
      <c r="O510" s="424"/>
      <c r="P510" s="438" t="s">
        <v>417</v>
      </c>
      <c r="Q510" s="435" t="n">
        <v>15</v>
      </c>
      <c r="R510" s="434" t="s">
        <v>457</v>
      </c>
      <c r="S510" s="424"/>
      <c r="T510" s="434" t="s">
        <v>458</v>
      </c>
      <c r="U510" s="434" t="s">
        <v>459</v>
      </c>
      <c r="V510" s="436" t="n">
        <f aca="false">AY510</f>
        <v>0</v>
      </c>
    </row>
    <row r="511" customFormat="false" ht="13.5" hidden="false" customHeight="false" outlineLevel="0" collapsed="false">
      <c r="A511" s="424"/>
      <c r="B511" s="440" t="e">
        <f aca="false">TRUNC(+A509/100000000000)</f>
        <v>#N/A</v>
      </c>
      <c r="C511" s="440" t="e">
        <f aca="false">(TRUNC(+A508/1000000000))-B511*100</f>
        <v>#N/A</v>
      </c>
      <c r="D511" s="424"/>
      <c r="E511" s="435" t="e">
        <f aca="false">IF(E508&gt;0,TRUNC(+E508-B511*1000-C511*10),"")</f>
        <v>#N/A</v>
      </c>
      <c r="F511" s="435" t="e">
        <f aca="false">F506-F507</f>
        <v>#N/A</v>
      </c>
      <c r="G511" s="435" t="e">
        <f aca="false">G513</f>
        <v>#N/A</v>
      </c>
      <c r="H511" s="440" t="e">
        <f aca="false">TRUNC((+A508-(+F506*1000000))/100000)</f>
        <v>#N/A</v>
      </c>
      <c r="I511" s="440" t="e">
        <f aca="false">I509-H511*100</f>
        <v>#N/A</v>
      </c>
      <c r="J511" s="424"/>
      <c r="K511" s="440" t="e">
        <f aca="false">TRUNC(+K509/100)</f>
        <v>#N/A</v>
      </c>
      <c r="L511" s="440" t="e">
        <f aca="false">K509-K511*100</f>
        <v>#N/A</v>
      </c>
      <c r="M511" s="440" t="e">
        <f aca="false">IF(N511&gt;0," &amp; Sen ","")</f>
        <v>#N/A</v>
      </c>
      <c r="N511" s="435" t="e">
        <f aca="false">N510</f>
        <v>#N/A</v>
      </c>
      <c r="O511" s="424"/>
      <c r="P511" s="438" t="s">
        <v>417</v>
      </c>
      <c r="Q511" s="435" t="n">
        <v>16</v>
      </c>
      <c r="R511" s="434" t="s">
        <v>460</v>
      </c>
      <c r="S511" s="424"/>
      <c r="T511" s="434" t="s">
        <v>461</v>
      </c>
      <c r="U511" s="434" t="s">
        <v>462</v>
      </c>
      <c r="V511" s="436" t="n">
        <f aca="false">AY511</f>
        <v>0</v>
      </c>
    </row>
    <row r="512" customFormat="false" ht="13.5" hidden="false" customHeight="false" outlineLevel="0" collapsed="false">
      <c r="A512" s="424"/>
      <c r="B512" s="424"/>
      <c r="C512" s="424"/>
      <c r="D512" s="424"/>
      <c r="E512" s="424"/>
      <c r="F512" s="424"/>
      <c r="G512" s="424"/>
      <c r="H512" s="424"/>
      <c r="I512" s="424"/>
      <c r="J512" s="424"/>
      <c r="K512" s="424"/>
      <c r="L512" s="424"/>
      <c r="M512" s="424"/>
      <c r="N512" s="424"/>
      <c r="O512" s="424"/>
      <c r="P512" s="438" t="s">
        <v>417</v>
      </c>
      <c r="Q512" s="435" t="n">
        <v>17</v>
      </c>
      <c r="R512" s="434" t="s">
        <v>463</v>
      </c>
      <c r="S512" s="424"/>
      <c r="T512" s="434" t="s">
        <v>464</v>
      </c>
      <c r="U512" s="434" t="s">
        <v>465</v>
      </c>
      <c r="V512" s="436" t="n">
        <f aca="false">AY512</f>
        <v>0</v>
      </c>
    </row>
    <row r="513" customFormat="false" ht="13.5" hidden="false" customHeight="false" outlineLevel="0" collapsed="false">
      <c r="A513" s="440" t="e">
        <f aca="false">B511*100000000000</f>
        <v>#N/A</v>
      </c>
      <c r="B513" s="440" t="e">
        <f aca="false">IF(B511&gt;0,VLOOKUP(B511,$Q$7:$T$15,3),"")</f>
        <v>#N/A</v>
      </c>
      <c r="C513" s="440" t="e">
        <f aca="false">IF(C511&gt;0,VLOOKUP(C511,Q496:R594,2),"")</f>
        <v>#N/A</v>
      </c>
      <c r="D513" s="440" t="e">
        <f aca="false">IF(B508+C511&gt;0," Milyar ","")</f>
        <v>#N/A</v>
      </c>
      <c r="E513" s="440" t="e">
        <f aca="false">IF(E511&gt;0,VLOOKUP(E511,$Q$7:$T$15,3),"")</f>
        <v>#N/A</v>
      </c>
      <c r="F513" s="440" t="e">
        <f aca="false">IF(F511&gt;0,VLOOKUP(F511,Q496:R594,2),"")</f>
        <v>#N/A</v>
      </c>
      <c r="G513" s="435" t="e">
        <f aca="false">IF(F511+E511&gt;0," Juta","")</f>
        <v>#N/A</v>
      </c>
      <c r="H513" s="440" t="e">
        <f aca="false">IF(H511&gt;0,VLOOKUP(H511,$Q$7:$T$15,3),"")</f>
        <v>#N/A</v>
      </c>
      <c r="I513" s="440" t="e">
        <f aca="false">IF(I511=1," Se",IF(I511=0,"",VLOOKUP(I511,Q496:R594,2)))</f>
        <v>#N/A</v>
      </c>
      <c r="J513" s="435" t="e">
        <f aca="false">IF(I511+H511&gt;0," ribu","")</f>
        <v>#N/A</v>
      </c>
      <c r="K513" s="440" t="e">
        <f aca="false">IF(K511&gt;0,VLOOKUP(K511,Q496:S504,3),"")</f>
        <v>#N/A</v>
      </c>
      <c r="L513" s="440" t="e">
        <f aca="false">IF(L511&gt;0,VLOOKUP(L511,Q496:R594,2),"")</f>
        <v>#N/A</v>
      </c>
      <c r="M513" s="440" t="e">
        <f aca="false">IF(N511&gt;0,VLOOKUP(N510,Q495:U594,5)," Rupiah ")</f>
        <v>#N/A</v>
      </c>
      <c r="N513" s="424"/>
      <c r="O513" s="435" t="e">
        <f aca="false">IF(N511&gt;0," ====","")</f>
        <v>#N/A</v>
      </c>
      <c r="P513" s="435" t="e">
        <f aca="false">IF(N511&gt;0,"-","====")</f>
        <v>#N/A</v>
      </c>
      <c r="Q513" s="435" t="n">
        <v>18</v>
      </c>
      <c r="R513" s="434" t="s">
        <v>466</v>
      </c>
      <c r="S513" s="424"/>
      <c r="T513" s="434" t="s">
        <v>467</v>
      </c>
      <c r="U513" s="434" t="s">
        <v>468</v>
      </c>
      <c r="V513" s="436" t="n">
        <f aca="false">AY513</f>
        <v>0</v>
      </c>
    </row>
    <row r="514" customFormat="false" ht="13.5" hidden="false" customHeight="false" outlineLevel="0" collapsed="false">
      <c r="A514" s="440"/>
      <c r="B514" s="435" t="e">
        <f aca="false">B513</f>
        <v>#N/A</v>
      </c>
      <c r="C514" s="424"/>
      <c r="D514" s="424"/>
      <c r="E514" s="424"/>
      <c r="F514" s="424"/>
      <c r="G514" s="424"/>
      <c r="H514" s="424"/>
      <c r="I514" s="424"/>
      <c r="J514" s="424"/>
      <c r="K514" s="424"/>
      <c r="L514" s="424"/>
      <c r="M514" s="424"/>
      <c r="N514" s="424"/>
      <c r="O514" s="424"/>
      <c r="P514" s="438" t="s">
        <v>417</v>
      </c>
      <c r="Q514" s="435" t="n">
        <v>19</v>
      </c>
      <c r="R514" s="434" t="s">
        <v>469</v>
      </c>
      <c r="S514" s="424"/>
      <c r="T514" s="434" t="s">
        <v>470</v>
      </c>
      <c r="U514" s="434" t="s">
        <v>471</v>
      </c>
      <c r="V514" s="436" t="n">
        <f aca="false">AY519</f>
        <v>0</v>
      </c>
    </row>
    <row r="515" customFormat="false" ht="13.5" hidden="false" customHeight="false" outlineLevel="0" collapsed="false">
      <c r="A515" s="440"/>
      <c r="B515" s="435" t="e">
        <f aca="false">C513</f>
        <v>#N/A</v>
      </c>
      <c r="C515" s="424"/>
      <c r="D515" s="424"/>
      <c r="E515" s="424"/>
      <c r="F515" s="424"/>
      <c r="G515" s="424"/>
      <c r="H515" s="424"/>
      <c r="I515" s="424"/>
      <c r="J515" s="424"/>
      <c r="K515" s="424"/>
      <c r="L515" s="424"/>
      <c r="M515" s="424"/>
      <c r="N515" s="424"/>
      <c r="O515" s="424"/>
      <c r="P515" s="438" t="s">
        <v>417</v>
      </c>
      <c r="Q515" s="435" t="n">
        <v>20</v>
      </c>
      <c r="R515" s="434" t="s">
        <v>472</v>
      </c>
      <c r="S515" s="424"/>
      <c r="T515" s="434" t="s">
        <v>473</v>
      </c>
      <c r="U515" s="434" t="s">
        <v>474</v>
      </c>
      <c r="V515" s="436" t="n">
        <f aca="false">AY520</f>
        <v>0</v>
      </c>
    </row>
    <row r="516" customFormat="false" ht="13.5" hidden="false" customHeight="false" outlineLevel="0" collapsed="false">
      <c r="A516" s="440"/>
      <c r="B516" s="435" t="e">
        <f aca="false">D513</f>
        <v>#N/A</v>
      </c>
      <c r="C516" s="424"/>
      <c r="D516" s="424"/>
      <c r="E516" s="424"/>
      <c r="F516" s="424"/>
      <c r="G516" s="424"/>
      <c r="H516" s="424"/>
      <c r="I516" s="424"/>
      <c r="J516" s="424"/>
      <c r="K516" s="424"/>
      <c r="L516" s="424"/>
      <c r="M516" s="424"/>
      <c r="N516" s="424"/>
      <c r="O516" s="424"/>
      <c r="P516" s="438" t="s">
        <v>417</v>
      </c>
      <c r="Q516" s="435" t="n">
        <v>21</v>
      </c>
      <c r="R516" s="434" t="s">
        <v>475</v>
      </c>
      <c r="S516" s="424"/>
      <c r="T516" s="434" t="s">
        <v>476</v>
      </c>
      <c r="U516" s="434" t="s">
        <v>477</v>
      </c>
      <c r="V516" s="436" t="n">
        <f aca="false">AY521</f>
        <v>0</v>
      </c>
    </row>
    <row r="517" customFormat="false" ht="13.5" hidden="false" customHeight="false" outlineLevel="0" collapsed="false">
      <c r="A517" s="440"/>
      <c r="B517" s="435" t="e">
        <f aca="false">E513</f>
        <v>#N/A</v>
      </c>
      <c r="C517" s="424"/>
      <c r="D517" s="424"/>
      <c r="E517" s="424"/>
      <c r="F517" s="424"/>
      <c r="G517" s="424"/>
      <c r="H517" s="424"/>
      <c r="I517" s="424"/>
      <c r="J517" s="424"/>
      <c r="K517" s="424"/>
      <c r="L517" s="424"/>
      <c r="M517" s="424"/>
      <c r="N517" s="424"/>
      <c r="O517" s="424"/>
      <c r="P517" s="424"/>
      <c r="Q517" s="435" t="n">
        <v>22</v>
      </c>
      <c r="R517" s="434" t="s">
        <v>478</v>
      </c>
      <c r="S517" s="424"/>
      <c r="T517" s="434" t="s">
        <v>479</v>
      </c>
      <c r="U517" s="434" t="s">
        <v>480</v>
      </c>
      <c r="V517" s="436" t="n">
        <f aca="false">AY522</f>
        <v>0</v>
      </c>
    </row>
    <row r="518" customFormat="false" ht="13.5" hidden="false" customHeight="false" outlineLevel="0" collapsed="false">
      <c r="A518" s="440"/>
      <c r="B518" s="435" t="e">
        <f aca="false">F513</f>
        <v>#N/A</v>
      </c>
      <c r="C518" s="424"/>
      <c r="D518" s="424"/>
      <c r="E518" s="424"/>
      <c r="F518" s="424"/>
      <c r="G518" s="424"/>
      <c r="H518" s="424"/>
      <c r="I518" s="424"/>
      <c r="J518" s="424"/>
      <c r="K518" s="424"/>
      <c r="L518" s="424"/>
      <c r="M518" s="424"/>
      <c r="N518" s="424"/>
      <c r="O518" s="424"/>
      <c r="P518" s="438" t="s">
        <v>417</v>
      </c>
      <c r="Q518" s="435" t="n">
        <v>23</v>
      </c>
      <c r="R518" s="434" t="s">
        <v>481</v>
      </c>
      <c r="S518" s="424"/>
      <c r="T518" s="434" t="s">
        <v>482</v>
      </c>
      <c r="U518" s="434" t="s">
        <v>483</v>
      </c>
      <c r="V518" s="436" t="n">
        <f aca="false">AY523</f>
        <v>0</v>
      </c>
    </row>
    <row r="519" customFormat="false" ht="13.5" hidden="false" customHeight="false" outlineLevel="0" collapsed="false">
      <c r="A519" s="424"/>
      <c r="B519" s="424"/>
      <c r="C519" s="424"/>
      <c r="D519" s="424"/>
      <c r="E519" s="424"/>
      <c r="F519" s="424"/>
      <c r="G519" s="424"/>
      <c r="H519" s="424"/>
      <c r="I519" s="424"/>
      <c r="J519" s="424"/>
      <c r="K519" s="424"/>
      <c r="L519" s="424"/>
      <c r="M519" s="424"/>
      <c r="N519" s="424"/>
      <c r="O519" s="424"/>
      <c r="P519" s="438" t="s">
        <v>417</v>
      </c>
      <c r="Q519" s="435" t="n">
        <v>24</v>
      </c>
      <c r="R519" s="434" t="s">
        <v>484</v>
      </c>
      <c r="S519" s="424"/>
      <c r="T519" s="434" t="s">
        <v>485</v>
      </c>
      <c r="U519" s="434" t="s">
        <v>486</v>
      </c>
      <c r="V519" s="436" t="n">
        <f aca="false">AY524</f>
        <v>0</v>
      </c>
    </row>
    <row r="520" customFormat="false" ht="13.5" hidden="false" customHeight="false" outlineLevel="0" collapsed="false">
      <c r="A520" s="424"/>
      <c r="B520" s="424"/>
      <c r="C520" s="424"/>
      <c r="D520" s="424"/>
      <c r="E520" s="424"/>
      <c r="F520" s="424"/>
      <c r="G520" s="424"/>
      <c r="H520" s="424"/>
      <c r="I520" s="424"/>
      <c r="J520" s="424"/>
      <c r="K520" s="424"/>
      <c r="L520" s="424"/>
      <c r="M520" s="424"/>
      <c r="N520" s="424"/>
      <c r="O520" s="424"/>
      <c r="P520" s="438" t="s">
        <v>417</v>
      </c>
      <c r="Q520" s="435" t="n">
        <v>25</v>
      </c>
      <c r="R520" s="434" t="s">
        <v>487</v>
      </c>
      <c r="S520" s="424"/>
      <c r="T520" s="434" t="s">
        <v>488</v>
      </c>
      <c r="U520" s="434" t="s">
        <v>489</v>
      </c>
      <c r="V520" s="436" t="n">
        <f aca="false">AY525</f>
        <v>0</v>
      </c>
    </row>
    <row r="521" customFormat="false" ht="13.5" hidden="false" customHeight="false" outlineLevel="0" collapsed="false">
      <c r="A521" s="424"/>
      <c r="B521" s="424"/>
      <c r="C521" s="424"/>
      <c r="D521" s="424"/>
      <c r="E521" s="424"/>
      <c r="F521" s="424"/>
      <c r="G521" s="424"/>
      <c r="H521" s="424"/>
      <c r="I521" s="424"/>
      <c r="J521" s="424"/>
      <c r="K521" s="424"/>
      <c r="L521" s="424"/>
      <c r="M521" s="424"/>
      <c r="N521" s="424"/>
      <c r="O521" s="424"/>
      <c r="P521" s="438" t="s">
        <v>417</v>
      </c>
      <c r="Q521" s="435" t="n">
        <v>26</v>
      </c>
      <c r="R521" s="434" t="s">
        <v>490</v>
      </c>
      <c r="S521" s="424"/>
      <c r="T521" s="434" t="s">
        <v>491</v>
      </c>
      <c r="U521" s="434" t="s">
        <v>492</v>
      </c>
      <c r="V521" s="436" t="n">
        <f aca="false">AY526</f>
        <v>0</v>
      </c>
    </row>
    <row r="522" customFormat="false" ht="13.5" hidden="false" customHeight="false" outlineLevel="0" collapsed="false">
      <c r="A522" s="424"/>
      <c r="B522" s="424"/>
      <c r="C522" s="424"/>
      <c r="D522" s="424"/>
      <c r="E522" s="424"/>
      <c r="F522" s="424"/>
      <c r="G522" s="424"/>
      <c r="H522" s="424"/>
      <c r="I522" s="424"/>
      <c r="J522" s="424"/>
      <c r="K522" s="424"/>
      <c r="L522" s="424"/>
      <c r="M522" s="424"/>
      <c r="N522" s="424"/>
      <c r="O522" s="424"/>
      <c r="P522" s="424"/>
      <c r="Q522" s="435" t="n">
        <v>27</v>
      </c>
      <c r="R522" s="434" t="s">
        <v>493</v>
      </c>
      <c r="S522" s="424"/>
      <c r="T522" s="434" t="s">
        <v>494</v>
      </c>
      <c r="U522" s="434" t="s">
        <v>495</v>
      </c>
      <c r="V522" s="436" t="n">
        <f aca="false">AY527</f>
        <v>0</v>
      </c>
    </row>
    <row r="523" customFormat="false" ht="13.5" hidden="false" customHeight="false" outlineLevel="0" collapsed="false">
      <c r="A523" s="424"/>
      <c r="B523" s="424"/>
      <c r="C523" s="424"/>
      <c r="D523" s="424"/>
      <c r="E523" s="424"/>
      <c r="F523" s="424"/>
      <c r="G523" s="424"/>
      <c r="H523" s="424"/>
      <c r="I523" s="424"/>
      <c r="J523" s="424"/>
      <c r="K523" s="424"/>
      <c r="L523" s="424"/>
      <c r="M523" s="424"/>
      <c r="N523" s="424"/>
      <c r="O523" s="424"/>
      <c r="P523" s="424"/>
      <c r="Q523" s="435" t="n">
        <v>28</v>
      </c>
      <c r="R523" s="434" t="s">
        <v>496</v>
      </c>
      <c r="S523" s="424"/>
      <c r="T523" s="434" t="s">
        <v>497</v>
      </c>
      <c r="U523" s="434" t="s">
        <v>498</v>
      </c>
      <c r="V523" s="436" t="n">
        <f aca="false">AY528</f>
        <v>0</v>
      </c>
    </row>
    <row r="524" customFormat="false" ht="13.5" hidden="false" customHeight="false" outlineLevel="0" collapsed="false">
      <c r="A524" s="424"/>
      <c r="B524" s="424"/>
      <c r="C524" s="424"/>
      <c r="D524" s="424"/>
      <c r="E524" s="424"/>
      <c r="F524" s="424"/>
      <c r="G524" s="424"/>
      <c r="H524" s="424"/>
      <c r="I524" s="424"/>
      <c r="J524" s="424"/>
      <c r="K524" s="424"/>
      <c r="L524" s="424"/>
      <c r="M524" s="424"/>
      <c r="N524" s="424"/>
      <c r="O524" s="424"/>
      <c r="P524" s="424"/>
      <c r="Q524" s="435" t="n">
        <v>29</v>
      </c>
      <c r="R524" s="434" t="s">
        <v>499</v>
      </c>
      <c r="S524" s="424"/>
      <c r="T524" s="434" t="s">
        <v>500</v>
      </c>
      <c r="U524" s="434" t="s">
        <v>501</v>
      </c>
      <c r="V524" s="436" t="n">
        <f aca="false">AY529</f>
        <v>0</v>
      </c>
    </row>
    <row r="525" customFormat="false" ht="13.5" hidden="false" customHeight="false" outlineLevel="0" collapsed="false">
      <c r="A525" s="424"/>
      <c r="B525" s="424"/>
      <c r="C525" s="424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35" t="n">
        <v>30</v>
      </c>
      <c r="R525" s="434" t="s">
        <v>502</v>
      </c>
      <c r="S525" s="424"/>
      <c r="T525" s="434" t="s">
        <v>503</v>
      </c>
      <c r="U525" s="434" t="s">
        <v>504</v>
      </c>
      <c r="V525" s="436" t="n">
        <f aca="false">AY530</f>
        <v>0</v>
      </c>
    </row>
    <row r="526" customFormat="false" ht="13.5" hidden="false" customHeight="false" outlineLevel="0" collapsed="false">
      <c r="A526" s="424"/>
      <c r="B526" s="424"/>
      <c r="C526" s="424"/>
      <c r="D526" s="424"/>
      <c r="E526" s="424"/>
      <c r="F526" s="424"/>
      <c r="G526" s="424"/>
      <c r="H526" s="424"/>
      <c r="I526" s="424"/>
      <c r="J526" s="424"/>
      <c r="K526" s="424"/>
      <c r="L526" s="424"/>
      <c r="M526" s="424"/>
      <c r="N526" s="424"/>
      <c r="O526" s="424"/>
      <c r="P526" s="424"/>
      <c r="Q526" s="435" t="n">
        <v>31</v>
      </c>
      <c r="R526" s="434" t="s">
        <v>505</v>
      </c>
      <c r="S526" s="424"/>
      <c r="T526" s="434" t="s">
        <v>506</v>
      </c>
      <c r="U526" s="434" t="s">
        <v>507</v>
      </c>
      <c r="V526" s="436" t="n">
        <f aca="false">AY531</f>
        <v>0</v>
      </c>
    </row>
    <row r="527" customFormat="false" ht="13.5" hidden="false" customHeight="false" outlineLevel="0" collapsed="false">
      <c r="A527" s="424"/>
      <c r="B527" s="424"/>
      <c r="C527" s="424"/>
      <c r="D527" s="424"/>
      <c r="E527" s="424"/>
      <c r="F527" s="424"/>
      <c r="G527" s="424"/>
      <c r="H527" s="424"/>
      <c r="I527" s="424"/>
      <c r="J527" s="424"/>
      <c r="K527" s="424"/>
      <c r="L527" s="424"/>
      <c r="M527" s="424"/>
      <c r="N527" s="424"/>
      <c r="O527" s="424"/>
      <c r="P527" s="424"/>
      <c r="Q527" s="435" t="n">
        <v>32</v>
      </c>
      <c r="R527" s="434" t="s">
        <v>508</v>
      </c>
      <c r="S527" s="424"/>
      <c r="T527" s="434" t="s">
        <v>509</v>
      </c>
      <c r="U527" s="434" t="s">
        <v>510</v>
      </c>
      <c r="V527" s="436" t="n">
        <f aca="false">AY532</f>
        <v>0</v>
      </c>
    </row>
    <row r="528" customFormat="false" ht="13.5" hidden="false" customHeight="false" outlineLevel="0" collapsed="false">
      <c r="A528" s="440"/>
      <c r="B528" s="435" t="e">
        <f aca="false">G513</f>
        <v>#N/A</v>
      </c>
      <c r="C528" s="424"/>
      <c r="D528" s="424"/>
      <c r="E528" s="424"/>
      <c r="F528" s="424"/>
      <c r="G528" s="424"/>
      <c r="H528" s="424"/>
      <c r="I528" s="424"/>
      <c r="J528" s="424"/>
      <c r="K528" s="424"/>
      <c r="L528" s="424"/>
      <c r="M528" s="424"/>
      <c r="N528" s="424"/>
      <c r="O528" s="424"/>
      <c r="P528" s="424"/>
      <c r="Q528" s="435" t="n">
        <v>33</v>
      </c>
      <c r="R528" s="434" t="s">
        <v>511</v>
      </c>
      <c r="S528" s="424"/>
      <c r="T528" s="434" t="s">
        <v>512</v>
      </c>
      <c r="U528" s="434" t="s">
        <v>513</v>
      </c>
      <c r="V528" s="436" t="n">
        <f aca="false">AY533</f>
        <v>0</v>
      </c>
    </row>
    <row r="529" customFormat="false" ht="13.5" hidden="false" customHeight="false" outlineLevel="0" collapsed="false">
      <c r="A529" s="440"/>
      <c r="B529" s="435" t="e">
        <f aca="false">H513</f>
        <v>#N/A</v>
      </c>
      <c r="C529" s="424"/>
      <c r="D529" s="424"/>
      <c r="E529" s="424"/>
      <c r="F529" s="424"/>
      <c r="G529" s="424"/>
      <c r="H529" s="424"/>
      <c r="I529" s="424"/>
      <c r="J529" s="424"/>
      <c r="K529" s="424"/>
      <c r="L529" s="424"/>
      <c r="M529" s="424"/>
      <c r="N529" s="424"/>
      <c r="O529" s="424"/>
      <c r="P529" s="424"/>
      <c r="Q529" s="435" t="n">
        <v>34</v>
      </c>
      <c r="R529" s="434" t="s">
        <v>514</v>
      </c>
      <c r="S529" s="424"/>
      <c r="T529" s="434" t="s">
        <v>515</v>
      </c>
      <c r="U529" s="434" t="s">
        <v>516</v>
      </c>
      <c r="V529" s="436" t="n">
        <f aca="false">AY534</f>
        <v>0</v>
      </c>
    </row>
    <row r="530" customFormat="false" ht="13.5" hidden="false" customHeight="false" outlineLevel="0" collapsed="false">
      <c r="A530" s="440"/>
      <c r="B530" s="435" t="e">
        <f aca="false">I513</f>
        <v>#N/A</v>
      </c>
      <c r="C530" s="424"/>
      <c r="D530" s="424"/>
      <c r="E530" s="424"/>
      <c r="F530" s="424"/>
      <c r="G530" s="424"/>
      <c r="H530" s="424"/>
      <c r="I530" s="424"/>
      <c r="J530" s="424"/>
      <c r="K530" s="424"/>
      <c r="L530" s="424"/>
      <c r="M530" s="424"/>
      <c r="N530" s="424"/>
      <c r="O530" s="424"/>
      <c r="P530" s="424"/>
      <c r="Q530" s="435" t="n">
        <v>35</v>
      </c>
      <c r="R530" s="434" t="s">
        <v>517</v>
      </c>
      <c r="S530" s="424"/>
      <c r="T530" s="434" t="s">
        <v>518</v>
      </c>
      <c r="U530" s="434" t="s">
        <v>519</v>
      </c>
      <c r="V530" s="436" t="n">
        <f aca="false">AY535</f>
        <v>0</v>
      </c>
    </row>
    <row r="531" customFormat="false" ht="13.5" hidden="false" customHeight="false" outlineLevel="0" collapsed="false">
      <c r="A531" s="440"/>
      <c r="B531" s="435" t="e">
        <f aca="false">J513</f>
        <v>#N/A</v>
      </c>
      <c r="C531" s="424"/>
      <c r="D531" s="424"/>
      <c r="E531" s="424"/>
      <c r="F531" s="424"/>
      <c r="G531" s="424"/>
      <c r="H531" s="424"/>
      <c r="I531" s="424"/>
      <c r="J531" s="424"/>
      <c r="K531" s="424"/>
      <c r="L531" s="424"/>
      <c r="M531" s="424"/>
      <c r="N531" s="424"/>
      <c r="O531" s="424"/>
      <c r="P531" s="424"/>
      <c r="Q531" s="435" t="n">
        <v>36</v>
      </c>
      <c r="R531" s="434" t="s">
        <v>520</v>
      </c>
      <c r="S531" s="424"/>
      <c r="T531" s="434" t="s">
        <v>521</v>
      </c>
      <c r="U531" s="434" t="s">
        <v>522</v>
      </c>
      <c r="V531" s="436" t="n">
        <f aca="false">AY536</f>
        <v>0</v>
      </c>
    </row>
    <row r="532" customFormat="false" ht="13.5" hidden="false" customHeight="false" outlineLevel="0" collapsed="false">
      <c r="A532" s="440"/>
      <c r="B532" s="440" t="e">
        <f aca="false">K513</f>
        <v>#N/A</v>
      </c>
      <c r="C532" s="424"/>
      <c r="D532" s="424"/>
      <c r="E532" s="424"/>
      <c r="F532" s="424"/>
      <c r="G532" s="424"/>
      <c r="H532" s="424"/>
      <c r="I532" s="424"/>
      <c r="J532" s="424"/>
      <c r="K532" s="424"/>
      <c r="L532" s="424"/>
      <c r="M532" s="424"/>
      <c r="N532" s="424"/>
      <c r="O532" s="424"/>
      <c r="P532" s="424"/>
      <c r="Q532" s="435" t="n">
        <v>37</v>
      </c>
      <c r="R532" s="434" t="s">
        <v>523</v>
      </c>
      <c r="S532" s="424"/>
      <c r="T532" s="434" t="s">
        <v>524</v>
      </c>
      <c r="U532" s="434" t="s">
        <v>525</v>
      </c>
      <c r="V532" s="436" t="n">
        <f aca="false">AY537</f>
        <v>0</v>
      </c>
    </row>
    <row r="533" customFormat="false" ht="13.5" hidden="false" customHeight="false" outlineLevel="0" collapsed="false">
      <c r="A533" s="440"/>
      <c r="B533" s="435" t="e">
        <f aca="false">L513</f>
        <v>#N/A</v>
      </c>
      <c r="C533" s="424"/>
      <c r="D533" s="424"/>
      <c r="E533" s="424"/>
      <c r="F533" s="424"/>
      <c r="G533" s="424"/>
      <c r="H533" s="424"/>
      <c r="I533" s="424"/>
      <c r="J533" s="424"/>
      <c r="K533" s="424"/>
      <c r="L533" s="424"/>
      <c r="M533" s="424"/>
      <c r="N533" s="424"/>
      <c r="O533" s="424"/>
      <c r="P533" s="424"/>
      <c r="Q533" s="435" t="n">
        <v>38</v>
      </c>
      <c r="R533" s="434" t="s">
        <v>526</v>
      </c>
      <c r="S533" s="424"/>
      <c r="T533" s="434" t="s">
        <v>527</v>
      </c>
      <c r="U533" s="434" t="s">
        <v>528</v>
      </c>
      <c r="V533" s="436" t="n">
        <f aca="false">AY538</f>
        <v>0</v>
      </c>
    </row>
    <row r="534" customFormat="false" ht="13.5" hidden="false" customHeight="false" outlineLevel="0" collapsed="false">
      <c r="A534" s="440"/>
      <c r="B534" s="435" t="e">
        <f aca="false">M513</f>
        <v>#N/A</v>
      </c>
      <c r="C534" s="424"/>
      <c r="D534" s="424"/>
      <c r="E534" s="424"/>
      <c r="F534" s="424"/>
      <c r="G534" s="424"/>
      <c r="H534" s="424"/>
      <c r="I534" s="424"/>
      <c r="J534" s="424"/>
      <c r="K534" s="424"/>
      <c r="L534" s="424"/>
      <c r="M534" s="424"/>
      <c r="N534" s="424"/>
      <c r="O534" s="424"/>
      <c r="P534" s="424"/>
      <c r="Q534" s="435" t="n">
        <v>39</v>
      </c>
      <c r="R534" s="434" t="s">
        <v>529</v>
      </c>
      <c r="S534" s="424"/>
      <c r="T534" s="434" t="s">
        <v>530</v>
      </c>
      <c r="U534" s="434" t="s">
        <v>531</v>
      </c>
      <c r="V534" s="436" t="n">
        <f aca="false">AY539</f>
        <v>0</v>
      </c>
    </row>
    <row r="535" customFormat="false" ht="13.5" hidden="false" customHeight="false" outlineLevel="0" collapsed="false">
      <c r="A535" s="436" t="e">
        <f aca="false">+#REF!</f>
        <v>#REF!</v>
      </c>
      <c r="B535" s="435" t="e">
        <f aca="false">O513</f>
        <v>#N/A</v>
      </c>
      <c r="C535" s="424"/>
      <c r="D535" s="424"/>
      <c r="E535" s="424"/>
      <c r="F535" s="424"/>
      <c r="G535" s="424"/>
      <c r="H535" s="424"/>
      <c r="I535" s="424"/>
      <c r="J535" s="424"/>
      <c r="K535" s="424"/>
      <c r="L535" s="424"/>
      <c r="M535" s="424"/>
      <c r="N535" s="424"/>
      <c r="O535" s="424"/>
      <c r="P535" s="424"/>
      <c r="Q535" s="435" t="n">
        <v>40</v>
      </c>
      <c r="R535" s="434" t="s">
        <v>532</v>
      </c>
      <c r="S535" s="424"/>
      <c r="T535" s="434" t="s">
        <v>533</v>
      </c>
      <c r="U535" s="434" t="s">
        <v>534</v>
      </c>
      <c r="V535" s="436" t="n">
        <f aca="false">AY540</f>
        <v>0</v>
      </c>
    </row>
    <row r="536" customFormat="false" ht="13.5" hidden="false" customHeight="false" outlineLevel="0" collapsed="false">
      <c r="A536" s="440"/>
      <c r="B536" s="435" t="e">
        <f aca="false">IF(N511&gt;0,"-","====")</f>
        <v>#N/A</v>
      </c>
      <c r="C536" s="424"/>
      <c r="D536" s="424"/>
      <c r="E536" s="424"/>
      <c r="F536" s="424"/>
      <c r="G536" s="424"/>
      <c r="H536" s="424"/>
      <c r="I536" s="424"/>
      <c r="J536" s="424"/>
      <c r="K536" s="424"/>
      <c r="L536" s="424"/>
      <c r="M536" s="424"/>
      <c r="N536" s="424"/>
      <c r="O536" s="424"/>
      <c r="P536" s="424"/>
      <c r="Q536" s="435" t="n">
        <v>41</v>
      </c>
      <c r="R536" s="434" t="s">
        <v>535</v>
      </c>
      <c r="S536" s="424"/>
      <c r="T536" s="434" t="s">
        <v>536</v>
      </c>
      <c r="U536" s="434" t="s">
        <v>537</v>
      </c>
      <c r="V536" s="436" t="n">
        <f aca="false">AY541</f>
        <v>0</v>
      </c>
    </row>
    <row r="537" customFormat="false" ht="13.5" hidden="false" customHeight="false" outlineLevel="0" collapsed="false">
      <c r="A537" s="435" t="e">
        <f aca="false">B513&amp;C513&amp;D513&amp;E513&amp;F513&amp;G513&amp;H513&amp;I513&amp;J513&amp;K513&amp;L513&amp;M513&amp;O513</f>
        <v>#N/A</v>
      </c>
      <c r="B537" s="424"/>
      <c r="C537" s="424"/>
      <c r="D537" s="424"/>
      <c r="E537" s="424"/>
      <c r="F537" s="424"/>
      <c r="G537" s="424"/>
      <c r="H537" s="424"/>
      <c r="I537" s="424"/>
      <c r="J537" s="424"/>
      <c r="K537" s="424"/>
      <c r="L537" s="424"/>
      <c r="M537" s="424"/>
      <c r="N537" s="424"/>
      <c r="O537" s="424"/>
      <c r="P537" s="424"/>
      <c r="Q537" s="435" t="n">
        <v>42</v>
      </c>
      <c r="R537" s="434" t="s">
        <v>538</v>
      </c>
      <c r="S537" s="424"/>
      <c r="T537" s="434" t="s">
        <v>539</v>
      </c>
      <c r="U537" s="434" t="s">
        <v>540</v>
      </c>
      <c r="V537" s="436" t="n">
        <f aca="false">AY542</f>
        <v>0</v>
      </c>
    </row>
    <row r="538" customFormat="false" ht="13.5" hidden="false" customHeight="false" outlineLevel="0" collapsed="false">
      <c r="A538" s="440" t="e">
        <f aca="false">I513&amp;J513&amp;K513&amp;L513&amp;M513&amp;O513</f>
        <v>#N/A</v>
      </c>
      <c r="B538" s="424"/>
      <c r="C538" s="424"/>
      <c r="D538" s="424"/>
      <c r="E538" s="424"/>
      <c r="F538" s="424"/>
      <c r="G538" s="424"/>
      <c r="H538" s="424"/>
      <c r="I538" s="424"/>
      <c r="J538" s="424"/>
      <c r="K538" s="424"/>
      <c r="L538" s="424"/>
      <c r="M538" s="424"/>
      <c r="N538" s="424"/>
      <c r="O538" s="424"/>
      <c r="P538" s="424"/>
      <c r="Q538" s="435" t="n">
        <v>43</v>
      </c>
      <c r="R538" s="434" t="s">
        <v>541</v>
      </c>
      <c r="S538" s="424"/>
      <c r="T538" s="434" t="s">
        <v>542</v>
      </c>
      <c r="U538" s="434" t="s">
        <v>543</v>
      </c>
      <c r="V538" s="436" t="n">
        <f aca="false">AY543</f>
        <v>0</v>
      </c>
    </row>
    <row r="539" customFormat="false" ht="13.5" hidden="false" customHeight="false" outlineLevel="0" collapsed="false">
      <c r="A539" s="440"/>
      <c r="B539" s="424"/>
      <c r="C539" s="424"/>
      <c r="D539" s="424"/>
      <c r="E539" s="424"/>
      <c r="F539" s="424"/>
      <c r="G539" s="424"/>
      <c r="H539" s="424"/>
      <c r="I539" s="424"/>
      <c r="J539" s="424"/>
      <c r="K539" s="424"/>
      <c r="L539" s="424"/>
      <c r="M539" s="424"/>
      <c r="N539" s="424"/>
      <c r="O539" s="424"/>
      <c r="P539" s="424"/>
      <c r="Q539" s="435" t="n">
        <v>44</v>
      </c>
      <c r="R539" s="434" t="s">
        <v>544</v>
      </c>
      <c r="S539" s="424"/>
      <c r="T539" s="434" t="s">
        <v>545</v>
      </c>
      <c r="U539" s="434" t="s">
        <v>546</v>
      </c>
      <c r="V539" s="436" t="n">
        <f aca="false">AY544</f>
        <v>0</v>
      </c>
    </row>
    <row r="540" customFormat="false" ht="13.5" hidden="false" customHeight="false" outlineLevel="0" collapsed="false">
      <c r="A540" s="440"/>
      <c r="B540" s="424"/>
      <c r="C540" s="424"/>
      <c r="D540" s="424"/>
      <c r="E540" s="424"/>
      <c r="F540" s="424"/>
      <c r="G540" s="424"/>
      <c r="H540" s="424"/>
      <c r="I540" s="424"/>
      <c r="J540" s="424"/>
      <c r="K540" s="424"/>
      <c r="L540" s="424"/>
      <c r="M540" s="424"/>
      <c r="N540" s="424"/>
      <c r="O540" s="424"/>
      <c r="P540" s="424"/>
      <c r="Q540" s="435" t="n">
        <v>45</v>
      </c>
      <c r="R540" s="434" t="s">
        <v>547</v>
      </c>
      <c r="S540" s="424"/>
      <c r="T540" s="434" t="s">
        <v>548</v>
      </c>
      <c r="U540" s="434" t="s">
        <v>549</v>
      </c>
      <c r="V540" s="436" t="n">
        <f aca="false">AY545</f>
        <v>0</v>
      </c>
    </row>
    <row r="541" customFormat="false" ht="13.5" hidden="false" customHeight="false" outlineLevel="0" collapsed="false">
      <c r="A541" s="440"/>
      <c r="B541" s="424"/>
      <c r="C541" s="424"/>
      <c r="D541" s="424"/>
      <c r="E541" s="424"/>
      <c r="F541" s="424"/>
      <c r="G541" s="424"/>
      <c r="H541" s="424"/>
      <c r="I541" s="424"/>
      <c r="J541" s="424"/>
      <c r="K541" s="424"/>
      <c r="L541" s="424"/>
      <c r="M541" s="424"/>
      <c r="N541" s="424"/>
      <c r="O541" s="424"/>
      <c r="P541" s="424"/>
      <c r="Q541" s="435" t="n">
        <v>46</v>
      </c>
      <c r="R541" s="434" t="s">
        <v>550</v>
      </c>
      <c r="S541" s="424"/>
      <c r="T541" s="434" t="s">
        <v>551</v>
      </c>
      <c r="U541" s="434" t="s">
        <v>552</v>
      </c>
      <c r="V541" s="436" t="n">
        <f aca="false">AY546</f>
        <v>0</v>
      </c>
    </row>
    <row r="542" customFormat="false" ht="13.5" hidden="false" customHeight="false" outlineLevel="0" collapsed="false">
      <c r="A542" s="440"/>
      <c r="B542" s="424"/>
      <c r="C542" s="424"/>
      <c r="D542" s="424"/>
      <c r="E542" s="424"/>
      <c r="F542" s="424"/>
      <c r="G542" s="424"/>
      <c r="H542" s="424"/>
      <c r="I542" s="424"/>
      <c r="J542" s="424"/>
      <c r="K542" s="424"/>
      <c r="L542" s="424"/>
      <c r="M542" s="424"/>
      <c r="N542" s="424"/>
      <c r="O542" s="424"/>
      <c r="P542" s="424"/>
      <c r="Q542" s="435" t="n">
        <v>47</v>
      </c>
      <c r="R542" s="434" t="s">
        <v>553</v>
      </c>
      <c r="S542" s="424"/>
      <c r="T542" s="434" t="s">
        <v>554</v>
      </c>
      <c r="U542" s="434" t="s">
        <v>555</v>
      </c>
      <c r="V542" s="436" t="n">
        <f aca="false">AY547</f>
        <v>0</v>
      </c>
    </row>
    <row r="543" customFormat="false" ht="13.5" hidden="false" customHeight="false" outlineLevel="0" collapsed="false">
      <c r="A543" s="424"/>
      <c r="B543" s="424"/>
      <c r="C543" s="424"/>
      <c r="D543" s="424"/>
      <c r="E543" s="424"/>
      <c r="F543" s="424"/>
      <c r="G543" s="424"/>
      <c r="H543" s="424"/>
      <c r="I543" s="424"/>
      <c r="J543" s="424"/>
      <c r="K543" s="424"/>
      <c r="L543" s="424"/>
      <c r="M543" s="424"/>
      <c r="N543" s="424"/>
      <c r="O543" s="424"/>
      <c r="P543" s="424"/>
      <c r="Q543" s="435" t="n">
        <v>48</v>
      </c>
      <c r="R543" s="434" t="s">
        <v>556</v>
      </c>
      <c r="S543" s="424"/>
      <c r="T543" s="434" t="s">
        <v>557</v>
      </c>
      <c r="U543" s="434" t="s">
        <v>558</v>
      </c>
      <c r="V543" s="436" t="n">
        <f aca="false">AY548</f>
        <v>0</v>
      </c>
    </row>
    <row r="544" customFormat="false" ht="13.5" hidden="false" customHeight="false" outlineLevel="0" collapsed="false">
      <c r="A544" s="424"/>
      <c r="B544" s="424"/>
      <c r="C544" s="424"/>
      <c r="D544" s="424"/>
      <c r="E544" s="424"/>
      <c r="F544" s="424"/>
      <c r="G544" s="424"/>
      <c r="H544" s="424"/>
      <c r="I544" s="424"/>
      <c r="J544" s="424"/>
      <c r="K544" s="424"/>
      <c r="L544" s="424"/>
      <c r="M544" s="424"/>
      <c r="N544" s="424"/>
      <c r="O544" s="424"/>
      <c r="P544" s="424"/>
      <c r="Q544" s="435" t="n">
        <v>49</v>
      </c>
      <c r="R544" s="434" t="s">
        <v>559</v>
      </c>
      <c r="S544" s="424"/>
      <c r="T544" s="434" t="s">
        <v>560</v>
      </c>
      <c r="U544" s="434" t="s">
        <v>561</v>
      </c>
      <c r="V544" s="436" t="n">
        <f aca="false">AY549</f>
        <v>0</v>
      </c>
    </row>
    <row r="545" customFormat="false" ht="13.5" hidden="false" customHeight="false" outlineLevel="0" collapsed="false">
      <c r="A545" s="424"/>
      <c r="B545" s="424"/>
      <c r="C545" s="424"/>
      <c r="D545" s="424"/>
      <c r="E545" s="424"/>
      <c r="F545" s="424"/>
      <c r="G545" s="424"/>
      <c r="H545" s="424"/>
      <c r="I545" s="424"/>
      <c r="J545" s="424"/>
      <c r="K545" s="424"/>
      <c r="L545" s="424"/>
      <c r="M545" s="424"/>
      <c r="N545" s="424"/>
      <c r="O545" s="424"/>
      <c r="P545" s="424"/>
      <c r="Q545" s="435" t="n">
        <v>50</v>
      </c>
      <c r="R545" s="434" t="s">
        <v>562</v>
      </c>
      <c r="S545" s="424"/>
      <c r="T545" s="434" t="s">
        <v>563</v>
      </c>
      <c r="U545" s="434" t="s">
        <v>564</v>
      </c>
      <c r="V545" s="436" t="n">
        <f aca="false">AY550</f>
        <v>0</v>
      </c>
    </row>
    <row r="546" customFormat="false" ht="13.5" hidden="false" customHeight="false" outlineLevel="0" collapsed="false">
      <c r="A546" s="424"/>
      <c r="B546" s="424"/>
      <c r="C546" s="424"/>
      <c r="D546" s="424"/>
      <c r="E546" s="424"/>
      <c r="F546" s="424"/>
      <c r="G546" s="424"/>
      <c r="H546" s="424"/>
      <c r="I546" s="424"/>
      <c r="J546" s="424"/>
      <c r="K546" s="424"/>
      <c r="L546" s="424"/>
      <c r="M546" s="424"/>
      <c r="N546" s="424"/>
      <c r="O546" s="424"/>
      <c r="P546" s="424"/>
      <c r="Q546" s="435" t="n">
        <v>51</v>
      </c>
      <c r="R546" s="434" t="s">
        <v>565</v>
      </c>
      <c r="S546" s="424"/>
      <c r="T546" s="434" t="s">
        <v>566</v>
      </c>
      <c r="U546" s="434" t="s">
        <v>567</v>
      </c>
      <c r="V546" s="436" t="n">
        <f aca="false">AY551</f>
        <v>0</v>
      </c>
    </row>
    <row r="547" customFormat="false" ht="13.5" hidden="false" customHeight="false" outlineLevel="0" collapsed="false">
      <c r="A547" s="424"/>
      <c r="B547" s="424"/>
      <c r="C547" s="424"/>
      <c r="D547" s="424"/>
      <c r="E547" s="424"/>
      <c r="F547" s="424"/>
      <c r="G547" s="424"/>
      <c r="H547" s="424"/>
      <c r="I547" s="424"/>
      <c r="J547" s="424"/>
      <c r="K547" s="424"/>
      <c r="L547" s="424"/>
      <c r="M547" s="424"/>
      <c r="N547" s="424"/>
      <c r="O547" s="424"/>
      <c r="P547" s="424"/>
      <c r="Q547" s="435" t="n">
        <v>52</v>
      </c>
      <c r="R547" s="434" t="s">
        <v>568</v>
      </c>
      <c r="S547" s="424"/>
      <c r="T547" s="434" t="s">
        <v>569</v>
      </c>
      <c r="U547" s="434" t="s">
        <v>570</v>
      </c>
      <c r="V547" s="436" t="n">
        <f aca="false">AY552</f>
        <v>0</v>
      </c>
    </row>
    <row r="548" customFormat="false" ht="13.5" hidden="false" customHeight="false" outlineLevel="0" collapsed="false">
      <c r="A548" s="424"/>
      <c r="B548" s="424"/>
      <c r="C548" s="424"/>
      <c r="D548" s="424"/>
      <c r="E548" s="424"/>
      <c r="F548" s="424"/>
      <c r="G548" s="424"/>
      <c r="H548" s="424"/>
      <c r="I548" s="424"/>
      <c r="J548" s="424"/>
      <c r="K548" s="424"/>
      <c r="L548" s="424"/>
      <c r="M548" s="424"/>
      <c r="N548" s="424"/>
      <c r="O548" s="424"/>
      <c r="P548" s="424"/>
      <c r="Q548" s="435" t="n">
        <v>53</v>
      </c>
      <c r="R548" s="434" t="s">
        <v>571</v>
      </c>
      <c r="S548" s="424"/>
      <c r="T548" s="434" t="s">
        <v>572</v>
      </c>
      <c r="U548" s="434" t="s">
        <v>573</v>
      </c>
      <c r="V548" s="436" t="n">
        <f aca="false">AY553</f>
        <v>0</v>
      </c>
    </row>
    <row r="549" customFormat="false" ht="13.5" hidden="false" customHeight="false" outlineLevel="0" collapsed="false">
      <c r="A549" s="424"/>
      <c r="B549" s="424"/>
      <c r="C549" s="424"/>
      <c r="D549" s="424"/>
      <c r="E549" s="424"/>
      <c r="F549" s="424"/>
      <c r="G549" s="424"/>
      <c r="H549" s="424"/>
      <c r="I549" s="424"/>
      <c r="J549" s="424"/>
      <c r="K549" s="424"/>
      <c r="L549" s="424"/>
      <c r="M549" s="424"/>
      <c r="N549" s="424"/>
      <c r="O549" s="424"/>
      <c r="P549" s="424"/>
      <c r="Q549" s="435" t="n">
        <v>54</v>
      </c>
      <c r="R549" s="434" t="s">
        <v>574</v>
      </c>
      <c r="S549" s="424"/>
      <c r="T549" s="434" t="s">
        <v>575</v>
      </c>
      <c r="U549" s="434" t="s">
        <v>576</v>
      </c>
      <c r="V549" s="436" t="n">
        <f aca="false">AY554</f>
        <v>0</v>
      </c>
    </row>
    <row r="550" customFormat="false" ht="13.5" hidden="false" customHeight="false" outlineLevel="0" collapsed="false">
      <c r="A550" s="424"/>
      <c r="B550" s="424"/>
      <c r="C550" s="424"/>
      <c r="D550" s="424"/>
      <c r="E550" s="424"/>
      <c r="F550" s="424"/>
      <c r="G550" s="424"/>
      <c r="H550" s="424"/>
      <c r="I550" s="424"/>
      <c r="J550" s="424"/>
      <c r="K550" s="424"/>
      <c r="L550" s="424"/>
      <c r="M550" s="424"/>
      <c r="N550" s="424"/>
      <c r="O550" s="424"/>
      <c r="P550" s="424"/>
      <c r="Q550" s="435" t="n">
        <v>55</v>
      </c>
      <c r="R550" s="434" t="s">
        <v>577</v>
      </c>
      <c r="S550" s="424"/>
      <c r="T550" s="434" t="s">
        <v>578</v>
      </c>
      <c r="U550" s="434" t="s">
        <v>579</v>
      </c>
      <c r="V550" s="436" t="n">
        <f aca="false">AY555</f>
        <v>0</v>
      </c>
    </row>
    <row r="551" customFormat="false" ht="13.5" hidden="false" customHeight="false" outlineLevel="0" collapsed="false">
      <c r="A551" s="424"/>
      <c r="B551" s="424"/>
      <c r="C551" s="424"/>
      <c r="D551" s="424"/>
      <c r="E551" s="424"/>
      <c r="F551" s="424"/>
      <c r="G551" s="424"/>
      <c r="H551" s="424"/>
      <c r="I551" s="424"/>
      <c r="J551" s="424"/>
      <c r="K551" s="424"/>
      <c r="L551" s="424"/>
      <c r="M551" s="424"/>
      <c r="N551" s="424"/>
      <c r="O551" s="424"/>
      <c r="P551" s="424"/>
      <c r="Q551" s="435" t="n">
        <v>56</v>
      </c>
      <c r="R551" s="434" t="s">
        <v>580</v>
      </c>
      <c r="S551" s="424"/>
      <c r="T551" s="434" t="s">
        <v>581</v>
      </c>
      <c r="U551" s="434" t="s">
        <v>582</v>
      </c>
      <c r="V551" s="436" t="n">
        <f aca="false">AY556</f>
        <v>0</v>
      </c>
    </row>
    <row r="552" customFormat="false" ht="13.5" hidden="false" customHeight="false" outlineLevel="0" collapsed="false">
      <c r="A552" s="424"/>
      <c r="B552" s="424"/>
      <c r="C552" s="424"/>
      <c r="D552" s="424"/>
      <c r="E552" s="424"/>
      <c r="F552" s="424"/>
      <c r="G552" s="424"/>
      <c r="H552" s="424"/>
      <c r="I552" s="424"/>
      <c r="J552" s="424"/>
      <c r="K552" s="424"/>
      <c r="L552" s="424"/>
      <c r="M552" s="424"/>
      <c r="N552" s="424"/>
      <c r="O552" s="424"/>
      <c r="P552" s="424"/>
      <c r="Q552" s="435" t="n">
        <v>57</v>
      </c>
      <c r="R552" s="434" t="s">
        <v>583</v>
      </c>
      <c r="S552" s="424"/>
      <c r="T552" s="434" t="s">
        <v>584</v>
      </c>
      <c r="U552" s="434" t="s">
        <v>585</v>
      </c>
      <c r="V552" s="436" t="n">
        <f aca="false">AY557</f>
        <v>0</v>
      </c>
    </row>
    <row r="553" customFormat="false" ht="13.5" hidden="false" customHeight="false" outlineLevel="0" collapsed="false">
      <c r="A553" s="424"/>
      <c r="B553" s="424"/>
      <c r="C553" s="424"/>
      <c r="D553" s="424"/>
      <c r="E553" s="424"/>
      <c r="F553" s="424"/>
      <c r="G553" s="424"/>
      <c r="H553" s="424"/>
      <c r="I553" s="424"/>
      <c r="J553" s="424"/>
      <c r="K553" s="424"/>
      <c r="L553" s="424"/>
      <c r="M553" s="424"/>
      <c r="N553" s="424"/>
      <c r="O553" s="424"/>
      <c r="P553" s="424"/>
      <c r="Q553" s="435" t="n">
        <v>58</v>
      </c>
      <c r="R553" s="434" t="s">
        <v>586</v>
      </c>
      <c r="S553" s="424"/>
      <c r="T553" s="434" t="s">
        <v>587</v>
      </c>
      <c r="U553" s="434" t="s">
        <v>588</v>
      </c>
      <c r="V553" s="436" t="n">
        <f aca="false">AY558</f>
        <v>0</v>
      </c>
    </row>
    <row r="554" customFormat="false" ht="13.5" hidden="false" customHeight="false" outlineLevel="0" collapsed="false">
      <c r="A554" s="424"/>
      <c r="B554" s="424"/>
      <c r="C554" s="424"/>
      <c r="D554" s="424"/>
      <c r="E554" s="424"/>
      <c r="F554" s="424"/>
      <c r="G554" s="424"/>
      <c r="H554" s="424"/>
      <c r="I554" s="424"/>
      <c r="J554" s="424"/>
      <c r="K554" s="424"/>
      <c r="L554" s="424"/>
      <c r="M554" s="424"/>
      <c r="N554" s="424"/>
      <c r="O554" s="424"/>
      <c r="P554" s="424"/>
      <c r="Q554" s="435" t="n">
        <v>59</v>
      </c>
      <c r="R554" s="434" t="s">
        <v>589</v>
      </c>
      <c r="S554" s="424"/>
      <c r="T554" s="434" t="s">
        <v>590</v>
      </c>
      <c r="U554" s="434" t="s">
        <v>591</v>
      </c>
      <c r="V554" s="436" t="n">
        <f aca="false">AY559</f>
        <v>0</v>
      </c>
    </row>
    <row r="555" customFormat="false" ht="13.5" hidden="false" customHeight="false" outlineLevel="0" collapsed="false">
      <c r="A555" s="424"/>
      <c r="B555" s="424"/>
      <c r="C555" s="424"/>
      <c r="D555" s="424"/>
      <c r="E555" s="424"/>
      <c r="F555" s="424"/>
      <c r="G555" s="424"/>
      <c r="H555" s="424"/>
      <c r="I555" s="424"/>
      <c r="J555" s="424"/>
      <c r="K555" s="424"/>
      <c r="L555" s="424"/>
      <c r="M555" s="424"/>
      <c r="N555" s="424"/>
      <c r="O555" s="424"/>
      <c r="P555" s="424"/>
      <c r="Q555" s="435" t="n">
        <v>60</v>
      </c>
      <c r="R555" s="434" t="s">
        <v>592</v>
      </c>
      <c r="S555" s="424"/>
      <c r="T555" s="434" t="s">
        <v>593</v>
      </c>
      <c r="U555" s="434" t="s">
        <v>594</v>
      </c>
      <c r="V555" s="436" t="n">
        <f aca="false">AY560</f>
        <v>0</v>
      </c>
    </row>
    <row r="556" customFormat="false" ht="13.5" hidden="false" customHeight="false" outlineLevel="0" collapsed="false">
      <c r="A556" s="424"/>
      <c r="B556" s="424"/>
      <c r="C556" s="424"/>
      <c r="D556" s="424"/>
      <c r="E556" s="424"/>
      <c r="F556" s="424"/>
      <c r="G556" s="424"/>
      <c r="H556" s="424"/>
      <c r="I556" s="424"/>
      <c r="J556" s="424"/>
      <c r="K556" s="424"/>
      <c r="L556" s="424"/>
      <c r="M556" s="424"/>
      <c r="N556" s="424"/>
      <c r="O556" s="424"/>
      <c r="P556" s="424"/>
      <c r="Q556" s="435" t="n">
        <v>61</v>
      </c>
      <c r="R556" s="434" t="s">
        <v>595</v>
      </c>
      <c r="S556" s="424"/>
      <c r="T556" s="434" t="s">
        <v>596</v>
      </c>
      <c r="U556" s="434" t="s">
        <v>597</v>
      </c>
      <c r="V556" s="436" t="n">
        <f aca="false">AY561</f>
        <v>0</v>
      </c>
    </row>
    <row r="557" customFormat="false" ht="13.5" hidden="false" customHeight="false" outlineLevel="0" collapsed="false">
      <c r="A557" s="424"/>
      <c r="B557" s="424"/>
      <c r="C557" s="424"/>
      <c r="D557" s="424"/>
      <c r="E557" s="424"/>
      <c r="F557" s="424"/>
      <c r="G557" s="424"/>
      <c r="H557" s="424"/>
      <c r="I557" s="424"/>
      <c r="J557" s="424"/>
      <c r="K557" s="424"/>
      <c r="L557" s="424"/>
      <c r="M557" s="424"/>
      <c r="N557" s="424"/>
      <c r="O557" s="424"/>
      <c r="P557" s="424"/>
      <c r="Q557" s="435" t="n">
        <v>62</v>
      </c>
      <c r="R557" s="434" t="s">
        <v>598</v>
      </c>
      <c r="S557" s="424"/>
      <c r="T557" s="434" t="s">
        <v>599</v>
      </c>
      <c r="U557" s="434" t="s">
        <v>600</v>
      </c>
      <c r="V557" s="436" t="n">
        <f aca="false">AY562</f>
        <v>0</v>
      </c>
    </row>
    <row r="558" customFormat="false" ht="13.5" hidden="false" customHeight="false" outlineLevel="0" collapsed="false">
      <c r="A558" s="424"/>
      <c r="B558" s="424"/>
      <c r="C558" s="424"/>
      <c r="D558" s="424"/>
      <c r="E558" s="424"/>
      <c r="F558" s="424"/>
      <c r="G558" s="424"/>
      <c r="H558" s="424"/>
      <c r="I558" s="424"/>
      <c r="J558" s="424"/>
      <c r="K558" s="424"/>
      <c r="L558" s="424"/>
      <c r="M558" s="424"/>
      <c r="N558" s="424"/>
      <c r="O558" s="424"/>
      <c r="P558" s="424"/>
      <c r="Q558" s="435" t="n">
        <v>63</v>
      </c>
      <c r="R558" s="434" t="s">
        <v>601</v>
      </c>
      <c r="S558" s="424"/>
      <c r="T558" s="434" t="s">
        <v>602</v>
      </c>
      <c r="U558" s="434" t="s">
        <v>603</v>
      </c>
      <c r="V558" s="436" t="n">
        <f aca="false">AY563</f>
        <v>0</v>
      </c>
    </row>
    <row r="559" customFormat="false" ht="13.5" hidden="false" customHeight="false" outlineLevel="0" collapsed="false">
      <c r="A559" s="424"/>
      <c r="B559" s="424"/>
      <c r="C559" s="424"/>
      <c r="D559" s="424"/>
      <c r="E559" s="424"/>
      <c r="F559" s="424"/>
      <c r="G559" s="424"/>
      <c r="H559" s="424"/>
      <c r="I559" s="424"/>
      <c r="J559" s="424"/>
      <c r="K559" s="424"/>
      <c r="L559" s="424"/>
      <c r="M559" s="424"/>
      <c r="N559" s="424"/>
      <c r="O559" s="424"/>
      <c r="P559" s="424"/>
      <c r="Q559" s="435" t="n">
        <v>64</v>
      </c>
      <c r="R559" s="434" t="s">
        <v>604</v>
      </c>
      <c r="S559" s="424"/>
      <c r="T559" s="434" t="s">
        <v>605</v>
      </c>
      <c r="U559" s="434" t="s">
        <v>606</v>
      </c>
      <c r="V559" s="436" t="n">
        <f aca="false">AY564</f>
        <v>0</v>
      </c>
    </row>
    <row r="560" customFormat="false" ht="13.5" hidden="false" customHeight="false" outlineLevel="0" collapsed="false">
      <c r="A560" s="424"/>
      <c r="B560" s="424"/>
      <c r="C560" s="424"/>
      <c r="D560" s="424"/>
      <c r="E560" s="424"/>
      <c r="F560" s="424"/>
      <c r="G560" s="424"/>
      <c r="H560" s="424"/>
      <c r="I560" s="424"/>
      <c r="J560" s="424"/>
      <c r="K560" s="424"/>
      <c r="L560" s="424"/>
      <c r="M560" s="424"/>
      <c r="N560" s="424"/>
      <c r="O560" s="424"/>
      <c r="P560" s="424"/>
      <c r="Q560" s="435" t="n">
        <v>65</v>
      </c>
      <c r="R560" s="434" t="s">
        <v>607</v>
      </c>
      <c r="S560" s="424"/>
      <c r="T560" s="434" t="s">
        <v>608</v>
      </c>
      <c r="U560" s="434" t="s">
        <v>609</v>
      </c>
      <c r="V560" s="436" t="n">
        <f aca="false">AY565</f>
        <v>0</v>
      </c>
    </row>
    <row r="561" customFormat="false" ht="13.5" hidden="false" customHeight="false" outlineLevel="0" collapsed="false">
      <c r="A561" s="424"/>
      <c r="B561" s="424"/>
      <c r="C561" s="424"/>
      <c r="D561" s="424"/>
      <c r="E561" s="424"/>
      <c r="F561" s="424"/>
      <c r="G561" s="424"/>
      <c r="H561" s="424"/>
      <c r="I561" s="424"/>
      <c r="J561" s="424"/>
      <c r="K561" s="424"/>
      <c r="L561" s="424"/>
      <c r="M561" s="424"/>
      <c r="N561" s="424"/>
      <c r="O561" s="424"/>
      <c r="P561" s="424"/>
      <c r="Q561" s="435" t="n">
        <v>66</v>
      </c>
      <c r="R561" s="434" t="s">
        <v>610</v>
      </c>
      <c r="S561" s="424"/>
      <c r="T561" s="434" t="s">
        <v>611</v>
      </c>
      <c r="U561" s="434" t="s">
        <v>612</v>
      </c>
      <c r="V561" s="436" t="n">
        <f aca="false">AY566</f>
        <v>0</v>
      </c>
    </row>
    <row r="562" customFormat="false" ht="13.5" hidden="false" customHeight="false" outlineLevel="0" collapsed="false">
      <c r="A562" s="424"/>
      <c r="B562" s="424"/>
      <c r="C562" s="424"/>
      <c r="D562" s="424"/>
      <c r="E562" s="424"/>
      <c r="F562" s="424"/>
      <c r="G562" s="424"/>
      <c r="H562" s="424"/>
      <c r="I562" s="424"/>
      <c r="J562" s="424"/>
      <c r="K562" s="424"/>
      <c r="L562" s="424"/>
      <c r="M562" s="424"/>
      <c r="N562" s="424"/>
      <c r="O562" s="424"/>
      <c r="P562" s="424"/>
      <c r="Q562" s="435" t="n">
        <v>67</v>
      </c>
      <c r="R562" s="434" t="s">
        <v>613</v>
      </c>
      <c r="S562" s="424"/>
      <c r="T562" s="434" t="s">
        <v>614</v>
      </c>
      <c r="U562" s="434" t="s">
        <v>615</v>
      </c>
      <c r="V562" s="436" t="n">
        <f aca="false">AY567</f>
        <v>0</v>
      </c>
    </row>
    <row r="563" customFormat="false" ht="13.5" hidden="false" customHeight="false" outlineLevel="0" collapsed="false">
      <c r="A563" s="424"/>
      <c r="B563" s="424"/>
      <c r="C563" s="424"/>
      <c r="D563" s="424"/>
      <c r="E563" s="424"/>
      <c r="F563" s="424"/>
      <c r="G563" s="424"/>
      <c r="H563" s="424"/>
      <c r="I563" s="424"/>
      <c r="J563" s="424"/>
      <c r="K563" s="424"/>
      <c r="L563" s="424"/>
      <c r="M563" s="424"/>
      <c r="N563" s="424"/>
      <c r="O563" s="424"/>
      <c r="P563" s="424"/>
      <c r="Q563" s="435" t="n">
        <v>68</v>
      </c>
      <c r="R563" s="434" t="s">
        <v>616</v>
      </c>
      <c r="S563" s="424"/>
      <c r="T563" s="434" t="s">
        <v>617</v>
      </c>
      <c r="U563" s="434" t="s">
        <v>618</v>
      </c>
      <c r="V563" s="436" t="n">
        <f aca="false">AY568</f>
        <v>0</v>
      </c>
    </row>
    <row r="564" customFormat="false" ht="13.5" hidden="false" customHeight="false" outlineLevel="0" collapsed="false">
      <c r="A564" s="424"/>
      <c r="B564" s="424"/>
      <c r="C564" s="424"/>
      <c r="D564" s="424"/>
      <c r="E564" s="424"/>
      <c r="F564" s="424"/>
      <c r="G564" s="424"/>
      <c r="H564" s="424"/>
      <c r="I564" s="424"/>
      <c r="J564" s="424"/>
      <c r="K564" s="424"/>
      <c r="L564" s="424"/>
      <c r="M564" s="424"/>
      <c r="N564" s="424"/>
      <c r="O564" s="424"/>
      <c r="P564" s="424"/>
      <c r="Q564" s="435" t="n">
        <v>69</v>
      </c>
      <c r="R564" s="434" t="s">
        <v>619</v>
      </c>
      <c r="S564" s="424"/>
      <c r="T564" s="434" t="s">
        <v>620</v>
      </c>
      <c r="U564" s="434" t="s">
        <v>621</v>
      </c>
      <c r="V564" s="436" t="n">
        <f aca="false">AY569</f>
        <v>0</v>
      </c>
    </row>
    <row r="565" customFormat="false" ht="13.5" hidden="false" customHeight="false" outlineLevel="0" collapsed="false">
      <c r="A565" s="424"/>
      <c r="B565" s="424"/>
      <c r="C565" s="424"/>
      <c r="D565" s="424"/>
      <c r="E565" s="424"/>
      <c r="F565" s="424"/>
      <c r="G565" s="424"/>
      <c r="H565" s="424"/>
      <c r="I565" s="424"/>
      <c r="J565" s="424"/>
      <c r="K565" s="424"/>
      <c r="L565" s="424"/>
      <c r="M565" s="424"/>
      <c r="N565" s="424"/>
      <c r="O565" s="424"/>
      <c r="P565" s="424"/>
      <c r="Q565" s="435" t="n">
        <v>70</v>
      </c>
      <c r="R565" s="434" t="s">
        <v>622</v>
      </c>
      <c r="S565" s="424"/>
      <c r="T565" s="434" t="s">
        <v>623</v>
      </c>
      <c r="U565" s="434" t="s">
        <v>624</v>
      </c>
      <c r="V565" s="436" t="n">
        <f aca="false">AY570</f>
        <v>0</v>
      </c>
    </row>
    <row r="566" customFormat="false" ht="13.5" hidden="false" customHeight="false" outlineLevel="0" collapsed="false">
      <c r="A566" s="424"/>
      <c r="B566" s="424"/>
      <c r="C566" s="424"/>
      <c r="D566" s="424"/>
      <c r="E566" s="424"/>
      <c r="F566" s="424"/>
      <c r="G566" s="424"/>
      <c r="H566" s="424"/>
      <c r="I566" s="424"/>
      <c r="J566" s="424"/>
      <c r="K566" s="424"/>
      <c r="L566" s="424"/>
      <c r="M566" s="424"/>
      <c r="N566" s="424"/>
      <c r="O566" s="424"/>
      <c r="P566" s="424"/>
      <c r="Q566" s="435" t="n">
        <v>71</v>
      </c>
      <c r="R566" s="434" t="s">
        <v>625</v>
      </c>
      <c r="S566" s="424"/>
      <c r="T566" s="434" t="s">
        <v>626</v>
      </c>
      <c r="U566" s="434" t="s">
        <v>627</v>
      </c>
      <c r="V566" s="436" t="n">
        <f aca="false">AY571</f>
        <v>0</v>
      </c>
    </row>
    <row r="567" customFormat="false" ht="13.5" hidden="false" customHeight="false" outlineLevel="0" collapsed="false">
      <c r="A567" s="424"/>
      <c r="B567" s="424"/>
      <c r="C567" s="424"/>
      <c r="D567" s="424"/>
      <c r="E567" s="424"/>
      <c r="F567" s="424"/>
      <c r="G567" s="424"/>
      <c r="H567" s="424"/>
      <c r="I567" s="424"/>
      <c r="J567" s="424"/>
      <c r="K567" s="424"/>
      <c r="L567" s="424"/>
      <c r="M567" s="424"/>
      <c r="N567" s="424"/>
      <c r="O567" s="424"/>
      <c r="P567" s="424"/>
      <c r="Q567" s="435" t="n">
        <v>72</v>
      </c>
      <c r="R567" s="434" t="s">
        <v>628</v>
      </c>
      <c r="S567" s="424"/>
      <c r="T567" s="434" t="s">
        <v>629</v>
      </c>
      <c r="U567" s="434" t="s">
        <v>630</v>
      </c>
      <c r="V567" s="436" t="n">
        <f aca="false">AY572</f>
        <v>0</v>
      </c>
    </row>
    <row r="568" customFormat="false" ht="13.5" hidden="false" customHeight="false" outlineLevel="0" collapsed="false">
      <c r="A568" s="424"/>
      <c r="B568" s="424"/>
      <c r="C568" s="424"/>
      <c r="D568" s="424"/>
      <c r="E568" s="424"/>
      <c r="F568" s="424"/>
      <c r="G568" s="424"/>
      <c r="H568" s="424"/>
      <c r="I568" s="424"/>
      <c r="J568" s="424"/>
      <c r="K568" s="424"/>
      <c r="L568" s="424"/>
      <c r="M568" s="424"/>
      <c r="N568" s="424"/>
      <c r="O568" s="424"/>
      <c r="P568" s="424"/>
      <c r="Q568" s="435" t="n">
        <v>73</v>
      </c>
      <c r="R568" s="434" t="s">
        <v>631</v>
      </c>
      <c r="S568" s="424"/>
      <c r="T568" s="434" t="s">
        <v>632</v>
      </c>
      <c r="U568" s="434" t="s">
        <v>633</v>
      </c>
      <c r="V568" s="436" t="n">
        <f aca="false">AY573</f>
        <v>0</v>
      </c>
    </row>
    <row r="569" customFormat="false" ht="13.5" hidden="false" customHeight="false" outlineLevel="0" collapsed="false">
      <c r="A569" s="424"/>
      <c r="B569" s="424"/>
      <c r="C569" s="424"/>
      <c r="D569" s="424"/>
      <c r="E569" s="424"/>
      <c r="F569" s="424"/>
      <c r="G569" s="424"/>
      <c r="H569" s="424"/>
      <c r="I569" s="424"/>
      <c r="J569" s="424"/>
      <c r="K569" s="424"/>
      <c r="L569" s="424"/>
      <c r="M569" s="424"/>
      <c r="N569" s="424"/>
      <c r="O569" s="424"/>
      <c r="P569" s="424"/>
      <c r="Q569" s="435" t="n">
        <v>74</v>
      </c>
      <c r="R569" s="434" t="s">
        <v>634</v>
      </c>
      <c r="S569" s="424"/>
      <c r="T569" s="434" t="s">
        <v>635</v>
      </c>
      <c r="U569" s="434" t="s">
        <v>636</v>
      </c>
      <c r="V569" s="436" t="n">
        <f aca="false">AY574</f>
        <v>0</v>
      </c>
    </row>
    <row r="570" customFormat="false" ht="13.5" hidden="false" customHeight="false" outlineLevel="0" collapsed="false">
      <c r="A570" s="424"/>
      <c r="B570" s="424"/>
      <c r="C570" s="424"/>
      <c r="D570" s="424"/>
      <c r="E570" s="424"/>
      <c r="F570" s="424"/>
      <c r="G570" s="424"/>
      <c r="H570" s="424"/>
      <c r="I570" s="424"/>
      <c r="J570" s="424"/>
      <c r="K570" s="424"/>
      <c r="L570" s="424"/>
      <c r="M570" s="424"/>
      <c r="N570" s="424"/>
      <c r="O570" s="424"/>
      <c r="P570" s="424"/>
      <c r="Q570" s="435" t="n">
        <v>75</v>
      </c>
      <c r="R570" s="434" t="s">
        <v>637</v>
      </c>
      <c r="S570" s="424"/>
      <c r="T570" s="434" t="s">
        <v>638</v>
      </c>
      <c r="U570" s="434" t="s">
        <v>639</v>
      </c>
      <c r="V570" s="436" t="n">
        <f aca="false">AY575</f>
        <v>0</v>
      </c>
    </row>
    <row r="571" customFormat="false" ht="13.5" hidden="false" customHeight="false" outlineLevel="0" collapsed="false">
      <c r="A571" s="424"/>
      <c r="B571" s="424"/>
      <c r="C571" s="424"/>
      <c r="D571" s="424"/>
      <c r="E571" s="424"/>
      <c r="F571" s="424"/>
      <c r="G571" s="424"/>
      <c r="H571" s="424"/>
      <c r="I571" s="424"/>
      <c r="J571" s="424"/>
      <c r="K571" s="424"/>
      <c r="L571" s="424"/>
      <c r="M571" s="424"/>
      <c r="N571" s="424"/>
      <c r="O571" s="424"/>
      <c r="P571" s="424"/>
      <c r="Q571" s="435" t="n">
        <v>76</v>
      </c>
      <c r="R571" s="434" t="s">
        <v>640</v>
      </c>
      <c r="S571" s="424"/>
      <c r="T571" s="434" t="s">
        <v>641</v>
      </c>
      <c r="U571" s="434" t="s">
        <v>642</v>
      </c>
      <c r="V571" s="436" t="n">
        <f aca="false">AY576</f>
        <v>0</v>
      </c>
    </row>
    <row r="572" customFormat="false" ht="13.5" hidden="false" customHeight="false" outlineLevel="0" collapsed="false">
      <c r="A572" s="424"/>
      <c r="B572" s="424"/>
      <c r="C572" s="424"/>
      <c r="D572" s="424"/>
      <c r="E572" s="424"/>
      <c r="F572" s="424"/>
      <c r="G572" s="424"/>
      <c r="H572" s="424"/>
      <c r="I572" s="424"/>
      <c r="J572" s="424"/>
      <c r="K572" s="424"/>
      <c r="L572" s="424"/>
      <c r="M572" s="424"/>
      <c r="N572" s="424"/>
      <c r="O572" s="424"/>
      <c r="P572" s="424"/>
      <c r="Q572" s="435" t="n">
        <v>77</v>
      </c>
      <c r="R572" s="434" t="s">
        <v>643</v>
      </c>
      <c r="S572" s="424"/>
      <c r="T572" s="434" t="s">
        <v>644</v>
      </c>
      <c r="U572" s="434" t="s">
        <v>645</v>
      </c>
      <c r="V572" s="436" t="n">
        <f aca="false">AY577</f>
        <v>0</v>
      </c>
    </row>
    <row r="573" customFormat="false" ht="13.5" hidden="false" customHeight="false" outlineLevel="0" collapsed="false">
      <c r="A573" s="424"/>
      <c r="B573" s="424"/>
      <c r="C573" s="424"/>
      <c r="D573" s="424"/>
      <c r="E573" s="424"/>
      <c r="F573" s="424"/>
      <c r="G573" s="424"/>
      <c r="H573" s="424"/>
      <c r="I573" s="424"/>
      <c r="J573" s="424"/>
      <c r="K573" s="424"/>
      <c r="L573" s="424"/>
      <c r="M573" s="424"/>
      <c r="N573" s="424"/>
      <c r="O573" s="424"/>
      <c r="P573" s="424"/>
      <c r="Q573" s="435" t="n">
        <v>78</v>
      </c>
      <c r="R573" s="434" t="s">
        <v>646</v>
      </c>
      <c r="S573" s="424"/>
      <c r="T573" s="434" t="s">
        <v>647</v>
      </c>
      <c r="U573" s="434" t="s">
        <v>648</v>
      </c>
      <c r="V573" s="436" t="n">
        <f aca="false">AY578</f>
        <v>0</v>
      </c>
    </row>
    <row r="574" customFormat="false" ht="13.5" hidden="false" customHeight="false" outlineLevel="0" collapsed="false">
      <c r="A574" s="424"/>
      <c r="B574" s="424"/>
      <c r="C574" s="424"/>
      <c r="D574" s="424"/>
      <c r="E574" s="424"/>
      <c r="F574" s="424"/>
      <c r="G574" s="424"/>
      <c r="H574" s="424"/>
      <c r="I574" s="424"/>
      <c r="J574" s="424"/>
      <c r="K574" s="424"/>
      <c r="L574" s="424"/>
      <c r="M574" s="424"/>
      <c r="N574" s="424"/>
      <c r="O574" s="424"/>
      <c r="P574" s="424"/>
      <c r="Q574" s="435" t="n">
        <v>79</v>
      </c>
      <c r="R574" s="434" t="s">
        <v>649</v>
      </c>
      <c r="S574" s="424"/>
      <c r="T574" s="434" t="s">
        <v>650</v>
      </c>
      <c r="U574" s="434" t="s">
        <v>651</v>
      </c>
      <c r="V574" s="436" t="n">
        <f aca="false">AY579</f>
        <v>0</v>
      </c>
    </row>
    <row r="575" customFormat="false" ht="13.5" hidden="false" customHeight="false" outlineLevel="0" collapsed="false">
      <c r="A575" s="424"/>
      <c r="B575" s="424"/>
      <c r="C575" s="424"/>
      <c r="D575" s="424"/>
      <c r="E575" s="424"/>
      <c r="F575" s="424"/>
      <c r="G575" s="424"/>
      <c r="H575" s="424"/>
      <c r="I575" s="424"/>
      <c r="J575" s="424"/>
      <c r="K575" s="424"/>
      <c r="L575" s="424"/>
      <c r="M575" s="424"/>
      <c r="N575" s="424"/>
      <c r="O575" s="424"/>
      <c r="P575" s="424"/>
      <c r="Q575" s="435" t="n">
        <v>80</v>
      </c>
      <c r="R575" s="434" t="s">
        <v>652</v>
      </c>
      <c r="S575" s="424"/>
      <c r="T575" s="434" t="s">
        <v>653</v>
      </c>
      <c r="U575" s="434" t="s">
        <v>654</v>
      </c>
      <c r="V575" s="436" t="n">
        <f aca="false">AY580</f>
        <v>0</v>
      </c>
    </row>
    <row r="576" customFormat="false" ht="13.5" hidden="false" customHeight="false" outlineLevel="0" collapsed="false">
      <c r="A576" s="424"/>
      <c r="B576" s="424"/>
      <c r="C576" s="424"/>
      <c r="D576" s="424"/>
      <c r="E576" s="424"/>
      <c r="F576" s="424"/>
      <c r="G576" s="424"/>
      <c r="H576" s="424"/>
      <c r="I576" s="424"/>
      <c r="J576" s="424"/>
      <c r="K576" s="424"/>
      <c r="L576" s="424"/>
      <c r="M576" s="424"/>
      <c r="N576" s="424"/>
      <c r="O576" s="424"/>
      <c r="P576" s="424"/>
      <c r="Q576" s="435" t="n">
        <v>81</v>
      </c>
      <c r="R576" s="434" t="s">
        <v>655</v>
      </c>
      <c r="S576" s="424"/>
      <c r="T576" s="434" t="s">
        <v>656</v>
      </c>
      <c r="U576" s="434" t="s">
        <v>657</v>
      </c>
      <c r="V576" s="436" t="n">
        <f aca="false">AY581</f>
        <v>0</v>
      </c>
    </row>
    <row r="577" customFormat="false" ht="13.5" hidden="false" customHeight="false" outlineLevel="0" collapsed="false">
      <c r="A577" s="424"/>
      <c r="B577" s="424"/>
      <c r="C577" s="424"/>
      <c r="D577" s="424"/>
      <c r="E577" s="424"/>
      <c r="F577" s="424"/>
      <c r="G577" s="424"/>
      <c r="H577" s="424"/>
      <c r="I577" s="424"/>
      <c r="J577" s="424"/>
      <c r="K577" s="424"/>
      <c r="L577" s="424"/>
      <c r="M577" s="424"/>
      <c r="N577" s="424"/>
      <c r="O577" s="424"/>
      <c r="P577" s="424"/>
      <c r="Q577" s="435" t="n">
        <v>82</v>
      </c>
      <c r="R577" s="434" t="s">
        <v>658</v>
      </c>
      <c r="S577" s="424"/>
      <c r="T577" s="434" t="s">
        <v>659</v>
      </c>
      <c r="U577" s="434" t="s">
        <v>660</v>
      </c>
      <c r="V577" s="436" t="n">
        <f aca="false">AY582</f>
        <v>0</v>
      </c>
    </row>
    <row r="578" customFormat="false" ht="13.5" hidden="false" customHeight="false" outlineLevel="0" collapsed="false">
      <c r="A578" s="424"/>
      <c r="B578" s="424"/>
      <c r="C578" s="424"/>
      <c r="D578" s="424"/>
      <c r="E578" s="424"/>
      <c r="F578" s="424"/>
      <c r="G578" s="424"/>
      <c r="H578" s="424"/>
      <c r="I578" s="424"/>
      <c r="J578" s="424"/>
      <c r="K578" s="424"/>
      <c r="L578" s="424"/>
      <c r="M578" s="424"/>
      <c r="N578" s="424"/>
      <c r="O578" s="424"/>
      <c r="P578" s="424"/>
      <c r="Q578" s="435" t="n">
        <v>83</v>
      </c>
      <c r="R578" s="434" t="s">
        <v>661</v>
      </c>
      <c r="S578" s="424"/>
      <c r="T578" s="434" t="s">
        <v>662</v>
      </c>
      <c r="U578" s="434" t="s">
        <v>663</v>
      </c>
      <c r="V578" s="436" t="n">
        <f aca="false">AY583</f>
        <v>0</v>
      </c>
    </row>
    <row r="579" customFormat="false" ht="13.5" hidden="false" customHeight="false" outlineLevel="0" collapsed="false">
      <c r="A579" s="424"/>
      <c r="B579" s="424"/>
      <c r="C579" s="424"/>
      <c r="D579" s="424"/>
      <c r="E579" s="424"/>
      <c r="F579" s="424"/>
      <c r="G579" s="424"/>
      <c r="H579" s="424"/>
      <c r="I579" s="424"/>
      <c r="J579" s="424"/>
      <c r="K579" s="424"/>
      <c r="L579" s="424"/>
      <c r="M579" s="424"/>
      <c r="N579" s="424"/>
      <c r="O579" s="424"/>
      <c r="P579" s="424"/>
      <c r="Q579" s="435" t="n">
        <v>84</v>
      </c>
      <c r="R579" s="434" t="s">
        <v>664</v>
      </c>
      <c r="S579" s="424"/>
      <c r="T579" s="434" t="s">
        <v>665</v>
      </c>
      <c r="U579" s="434" t="s">
        <v>666</v>
      </c>
      <c r="V579" s="436" t="n">
        <f aca="false">AY584</f>
        <v>0</v>
      </c>
    </row>
    <row r="580" customFormat="false" ht="13.5" hidden="false" customHeight="false" outlineLevel="0" collapsed="false">
      <c r="A580" s="424"/>
      <c r="B580" s="424"/>
      <c r="C580" s="424"/>
      <c r="D580" s="424"/>
      <c r="E580" s="424"/>
      <c r="F580" s="424"/>
      <c r="G580" s="424"/>
      <c r="H580" s="424"/>
      <c r="I580" s="424"/>
      <c r="J580" s="424"/>
      <c r="K580" s="424"/>
      <c r="L580" s="424"/>
      <c r="M580" s="424"/>
      <c r="N580" s="424"/>
      <c r="O580" s="424"/>
      <c r="P580" s="424"/>
      <c r="Q580" s="435" t="n">
        <v>85</v>
      </c>
      <c r="R580" s="434" t="s">
        <v>667</v>
      </c>
      <c r="S580" s="424"/>
      <c r="T580" s="434" t="s">
        <v>668</v>
      </c>
      <c r="U580" s="434" t="s">
        <v>669</v>
      </c>
      <c r="V580" s="436" t="n">
        <f aca="false">AY585</f>
        <v>0</v>
      </c>
    </row>
    <row r="581" customFormat="false" ht="13.5" hidden="false" customHeight="false" outlineLevel="0" collapsed="false">
      <c r="A581" s="424"/>
      <c r="B581" s="424"/>
      <c r="C581" s="424"/>
      <c r="D581" s="424"/>
      <c r="E581" s="424"/>
      <c r="F581" s="424"/>
      <c r="G581" s="424"/>
      <c r="H581" s="424"/>
      <c r="I581" s="424"/>
      <c r="J581" s="424"/>
      <c r="K581" s="424"/>
      <c r="L581" s="424"/>
      <c r="M581" s="424"/>
      <c r="N581" s="424"/>
      <c r="O581" s="424"/>
      <c r="P581" s="424"/>
      <c r="Q581" s="435" t="n">
        <v>86</v>
      </c>
      <c r="R581" s="434" t="s">
        <v>670</v>
      </c>
      <c r="S581" s="424"/>
      <c r="T581" s="434" t="s">
        <v>671</v>
      </c>
      <c r="U581" s="434" t="s">
        <v>672</v>
      </c>
      <c r="V581" s="436" t="n">
        <f aca="false">AY586</f>
        <v>0</v>
      </c>
    </row>
    <row r="582" customFormat="false" ht="13.5" hidden="false" customHeight="false" outlineLevel="0" collapsed="false">
      <c r="A582" s="424"/>
      <c r="B582" s="424"/>
      <c r="C582" s="424"/>
      <c r="D582" s="424"/>
      <c r="E582" s="424"/>
      <c r="F582" s="424"/>
      <c r="G582" s="424"/>
      <c r="H582" s="424"/>
      <c r="I582" s="424"/>
      <c r="J582" s="424"/>
      <c r="K582" s="424"/>
      <c r="L582" s="424"/>
      <c r="M582" s="424"/>
      <c r="N582" s="424"/>
      <c r="O582" s="424"/>
      <c r="P582" s="424"/>
      <c r="Q582" s="435" t="n">
        <v>87</v>
      </c>
      <c r="R582" s="434" t="s">
        <v>673</v>
      </c>
      <c r="S582" s="424"/>
      <c r="T582" s="434" t="s">
        <v>674</v>
      </c>
      <c r="U582" s="434" t="s">
        <v>675</v>
      </c>
      <c r="V582" s="436" t="n">
        <f aca="false">AY587</f>
        <v>0</v>
      </c>
    </row>
    <row r="583" customFormat="false" ht="13.5" hidden="false" customHeight="false" outlineLevel="0" collapsed="false">
      <c r="A583" s="424"/>
      <c r="B583" s="424"/>
      <c r="C583" s="424"/>
      <c r="D583" s="424"/>
      <c r="E583" s="424"/>
      <c r="F583" s="424"/>
      <c r="G583" s="424"/>
      <c r="H583" s="424"/>
      <c r="I583" s="424"/>
      <c r="J583" s="424"/>
      <c r="K583" s="424"/>
      <c r="L583" s="424"/>
      <c r="M583" s="424"/>
      <c r="N583" s="424"/>
      <c r="O583" s="424"/>
      <c r="P583" s="424"/>
      <c r="Q583" s="435" t="n">
        <v>88</v>
      </c>
      <c r="R583" s="434" t="s">
        <v>676</v>
      </c>
      <c r="S583" s="424"/>
      <c r="T583" s="434" t="s">
        <v>677</v>
      </c>
      <c r="U583" s="434" t="s">
        <v>678</v>
      </c>
      <c r="V583" s="436" t="n">
        <f aca="false">AY588</f>
        <v>0</v>
      </c>
    </row>
    <row r="584" customFormat="false" ht="13.5" hidden="false" customHeight="false" outlineLevel="0" collapsed="false">
      <c r="A584" s="424"/>
      <c r="B584" s="424"/>
      <c r="C584" s="424"/>
      <c r="D584" s="424"/>
      <c r="E584" s="424"/>
      <c r="F584" s="424"/>
      <c r="G584" s="424"/>
      <c r="H584" s="424"/>
      <c r="I584" s="424"/>
      <c r="J584" s="424"/>
      <c r="K584" s="424"/>
      <c r="L584" s="424"/>
      <c r="M584" s="424"/>
      <c r="N584" s="424"/>
      <c r="O584" s="424"/>
      <c r="P584" s="424"/>
      <c r="Q584" s="435" t="n">
        <v>89</v>
      </c>
      <c r="R584" s="434" t="s">
        <v>679</v>
      </c>
      <c r="S584" s="424"/>
      <c r="T584" s="434" t="s">
        <v>680</v>
      </c>
      <c r="U584" s="434" t="s">
        <v>681</v>
      </c>
      <c r="V584" s="436" t="n">
        <f aca="false">AY589</f>
        <v>0</v>
      </c>
    </row>
    <row r="585" customFormat="false" ht="13.5" hidden="false" customHeight="false" outlineLevel="0" collapsed="false">
      <c r="A585" s="424"/>
      <c r="B585" s="424"/>
      <c r="C585" s="424"/>
      <c r="D585" s="424"/>
      <c r="E585" s="424"/>
      <c r="F585" s="424"/>
      <c r="G585" s="424"/>
      <c r="H585" s="424"/>
      <c r="I585" s="424"/>
      <c r="J585" s="424"/>
      <c r="K585" s="424"/>
      <c r="L585" s="424"/>
      <c r="M585" s="424"/>
      <c r="N585" s="424"/>
      <c r="O585" s="424"/>
      <c r="P585" s="424"/>
      <c r="Q585" s="435" t="n">
        <v>90</v>
      </c>
      <c r="R585" s="434" t="s">
        <v>682</v>
      </c>
      <c r="S585" s="424"/>
      <c r="T585" s="434" t="s">
        <v>683</v>
      </c>
      <c r="U585" s="434" t="s">
        <v>684</v>
      </c>
      <c r="V585" s="436" t="n">
        <f aca="false">AY590</f>
        <v>0</v>
      </c>
    </row>
    <row r="586" customFormat="false" ht="13.5" hidden="false" customHeight="false" outlineLevel="0" collapsed="false">
      <c r="A586" s="424"/>
      <c r="B586" s="424"/>
      <c r="C586" s="424"/>
      <c r="D586" s="424"/>
      <c r="E586" s="424"/>
      <c r="F586" s="424"/>
      <c r="G586" s="424"/>
      <c r="H586" s="424"/>
      <c r="I586" s="424"/>
      <c r="J586" s="424"/>
      <c r="K586" s="424"/>
      <c r="L586" s="424"/>
      <c r="M586" s="424"/>
      <c r="N586" s="424"/>
      <c r="O586" s="424"/>
      <c r="P586" s="424"/>
      <c r="Q586" s="435" t="n">
        <v>91</v>
      </c>
      <c r="R586" s="434" t="s">
        <v>685</v>
      </c>
      <c r="S586" s="424"/>
      <c r="T586" s="434" t="s">
        <v>686</v>
      </c>
      <c r="U586" s="434" t="s">
        <v>687</v>
      </c>
      <c r="V586" s="436" t="n">
        <f aca="false">AY591</f>
        <v>0</v>
      </c>
    </row>
    <row r="587" customFormat="false" ht="13.5" hidden="false" customHeight="false" outlineLevel="0" collapsed="false">
      <c r="A587" s="424"/>
      <c r="B587" s="424"/>
      <c r="C587" s="424"/>
      <c r="D587" s="424"/>
      <c r="E587" s="424"/>
      <c r="F587" s="424"/>
      <c r="G587" s="424"/>
      <c r="H587" s="424"/>
      <c r="I587" s="424"/>
      <c r="J587" s="424"/>
      <c r="K587" s="424"/>
      <c r="L587" s="424"/>
      <c r="M587" s="424"/>
      <c r="N587" s="424"/>
      <c r="O587" s="424"/>
      <c r="P587" s="424"/>
      <c r="Q587" s="435" t="n">
        <v>92</v>
      </c>
      <c r="R587" s="434" t="s">
        <v>688</v>
      </c>
      <c r="S587" s="424"/>
      <c r="T587" s="434" t="s">
        <v>689</v>
      </c>
      <c r="U587" s="434" t="s">
        <v>690</v>
      </c>
      <c r="V587" s="436" t="n">
        <f aca="false">AY592</f>
        <v>0</v>
      </c>
    </row>
    <row r="588" customFormat="false" ht="13.5" hidden="false" customHeight="false" outlineLevel="0" collapsed="false">
      <c r="A588" s="424"/>
      <c r="B588" s="424"/>
      <c r="C588" s="424"/>
      <c r="D588" s="424"/>
      <c r="E588" s="424"/>
      <c r="F588" s="424"/>
      <c r="G588" s="424"/>
      <c r="H588" s="424"/>
      <c r="I588" s="424"/>
      <c r="J588" s="424"/>
      <c r="K588" s="424"/>
      <c r="L588" s="424"/>
      <c r="M588" s="424"/>
      <c r="N588" s="424"/>
      <c r="O588" s="424"/>
      <c r="P588" s="424"/>
      <c r="Q588" s="435" t="n">
        <v>93</v>
      </c>
      <c r="R588" s="434" t="s">
        <v>691</v>
      </c>
      <c r="S588" s="424"/>
      <c r="T588" s="434" t="s">
        <v>692</v>
      </c>
      <c r="U588" s="434" t="s">
        <v>693</v>
      </c>
      <c r="V588" s="436" t="n">
        <f aca="false">AY593</f>
        <v>0</v>
      </c>
    </row>
    <row r="589" customFormat="false" ht="13.5" hidden="false" customHeight="false" outlineLevel="0" collapsed="false">
      <c r="A589" s="424"/>
      <c r="B589" s="424"/>
      <c r="C589" s="424"/>
      <c r="D589" s="424"/>
      <c r="E589" s="424"/>
      <c r="F589" s="424"/>
      <c r="G589" s="424"/>
      <c r="H589" s="424"/>
      <c r="I589" s="424"/>
      <c r="J589" s="424"/>
      <c r="K589" s="424"/>
      <c r="L589" s="424"/>
      <c r="M589" s="424"/>
      <c r="N589" s="424"/>
      <c r="O589" s="424"/>
      <c r="P589" s="424"/>
      <c r="Q589" s="435" t="n">
        <v>94</v>
      </c>
      <c r="R589" s="434" t="s">
        <v>694</v>
      </c>
      <c r="S589" s="424"/>
      <c r="T589" s="434" t="s">
        <v>695</v>
      </c>
      <c r="U589" s="434" t="s">
        <v>696</v>
      </c>
      <c r="V589" s="436" t="n">
        <f aca="false">AY594</f>
        <v>0</v>
      </c>
    </row>
    <row r="590" customFormat="false" ht="13.5" hidden="false" customHeight="false" outlineLevel="0" collapsed="false">
      <c r="A590" s="424"/>
      <c r="B590" s="424"/>
      <c r="C590" s="424"/>
      <c r="D590" s="424"/>
      <c r="E590" s="424"/>
      <c r="F590" s="424"/>
      <c r="G590" s="424"/>
      <c r="H590" s="424"/>
      <c r="I590" s="424"/>
      <c r="J590" s="424"/>
      <c r="K590" s="424"/>
      <c r="L590" s="424"/>
      <c r="M590" s="424"/>
      <c r="N590" s="424"/>
      <c r="O590" s="424"/>
      <c r="P590" s="424"/>
      <c r="Q590" s="435" t="n">
        <v>95</v>
      </c>
      <c r="R590" s="434" t="s">
        <v>697</v>
      </c>
      <c r="S590" s="424"/>
      <c r="T590" s="434" t="s">
        <v>698</v>
      </c>
      <c r="U590" s="434" t="s">
        <v>699</v>
      </c>
      <c r="V590" s="436" t="n">
        <f aca="false">AY595</f>
        <v>0</v>
      </c>
    </row>
    <row r="591" customFormat="false" ht="13.5" hidden="false" customHeight="false" outlineLevel="0" collapsed="false">
      <c r="A591" s="424"/>
      <c r="B591" s="424"/>
      <c r="C591" s="424"/>
      <c r="D591" s="424"/>
      <c r="E591" s="424"/>
      <c r="F591" s="424"/>
      <c r="G591" s="424"/>
      <c r="H591" s="424"/>
      <c r="I591" s="424"/>
      <c r="J591" s="424"/>
      <c r="K591" s="424"/>
      <c r="L591" s="424"/>
      <c r="M591" s="424"/>
      <c r="N591" s="424"/>
      <c r="O591" s="424"/>
      <c r="P591" s="424"/>
      <c r="Q591" s="435" t="n">
        <v>96</v>
      </c>
      <c r="R591" s="434" t="s">
        <v>700</v>
      </c>
      <c r="S591" s="424"/>
      <c r="T591" s="434" t="s">
        <v>701</v>
      </c>
      <c r="U591" s="434" t="s">
        <v>702</v>
      </c>
      <c r="V591" s="436" t="n">
        <f aca="false">AY596</f>
        <v>0</v>
      </c>
    </row>
    <row r="592" customFormat="false" ht="13.5" hidden="false" customHeight="false" outlineLevel="0" collapsed="false">
      <c r="A592" s="424"/>
      <c r="B592" s="424"/>
      <c r="C592" s="424"/>
      <c r="D592" s="424"/>
      <c r="E592" s="424"/>
      <c r="F592" s="424"/>
      <c r="G592" s="424"/>
      <c r="H592" s="424"/>
      <c r="I592" s="424"/>
      <c r="J592" s="424"/>
      <c r="K592" s="424"/>
      <c r="L592" s="424"/>
      <c r="M592" s="424"/>
      <c r="N592" s="424"/>
      <c r="O592" s="424"/>
      <c r="P592" s="424"/>
      <c r="Q592" s="435" t="n">
        <v>97</v>
      </c>
      <c r="R592" s="434" t="s">
        <v>703</v>
      </c>
      <c r="S592" s="424"/>
      <c r="T592" s="434" t="s">
        <v>704</v>
      </c>
      <c r="U592" s="434" t="s">
        <v>705</v>
      </c>
      <c r="V592" s="436" t="n">
        <f aca="false">AY597</f>
        <v>0</v>
      </c>
    </row>
    <row r="593" customFormat="false" ht="13.5" hidden="false" customHeight="false" outlineLevel="0" collapsed="false">
      <c r="A593" s="424"/>
      <c r="B593" s="424"/>
      <c r="C593" s="424"/>
      <c r="D593" s="424"/>
      <c r="E593" s="424"/>
      <c r="F593" s="424"/>
      <c r="G593" s="424"/>
      <c r="H593" s="424"/>
      <c r="I593" s="424"/>
      <c r="J593" s="424"/>
      <c r="K593" s="424"/>
      <c r="L593" s="424"/>
      <c r="M593" s="424"/>
      <c r="N593" s="424"/>
      <c r="O593" s="424"/>
      <c r="P593" s="424"/>
      <c r="Q593" s="435" t="n">
        <v>98</v>
      </c>
      <c r="R593" s="434" t="s">
        <v>706</v>
      </c>
      <c r="S593" s="424"/>
      <c r="T593" s="434" t="s">
        <v>707</v>
      </c>
      <c r="U593" s="434" t="s">
        <v>708</v>
      </c>
      <c r="V593" s="436" t="n">
        <f aca="false">AY598</f>
        <v>0</v>
      </c>
    </row>
    <row r="594" customFormat="false" ht="13.5" hidden="false" customHeight="false" outlineLevel="0" collapsed="false">
      <c r="A594" s="424"/>
      <c r="B594" s="424"/>
      <c r="C594" s="424"/>
      <c r="D594" s="424"/>
      <c r="E594" s="424"/>
      <c r="F594" s="424"/>
      <c r="G594" s="424"/>
      <c r="H594" s="424"/>
      <c r="I594" s="424"/>
      <c r="J594" s="424"/>
      <c r="K594" s="424"/>
      <c r="L594" s="424"/>
      <c r="M594" s="424"/>
      <c r="N594" s="424"/>
      <c r="O594" s="424"/>
      <c r="P594" s="424"/>
      <c r="Q594" s="435" t="n">
        <v>99</v>
      </c>
      <c r="R594" s="434" t="s">
        <v>709</v>
      </c>
      <c r="S594" s="424"/>
      <c r="T594" s="434" t="s">
        <v>710</v>
      </c>
      <c r="U594" s="434" t="s">
        <v>711</v>
      </c>
      <c r="V594" s="436" t="n">
        <f aca="false">AY599</f>
        <v>0</v>
      </c>
    </row>
    <row r="595" customFormat="false" ht="13.5" hidden="false" customHeight="false" outlineLevel="0" collapsed="false">
      <c r="A595" s="424"/>
      <c r="B595" s="424"/>
      <c r="C595" s="424"/>
      <c r="D595" s="424"/>
      <c r="E595" s="424"/>
      <c r="F595" s="424"/>
      <c r="G595" s="424"/>
      <c r="H595" s="424"/>
      <c r="I595" s="424"/>
      <c r="J595" s="424"/>
      <c r="K595" s="424"/>
      <c r="L595" s="424"/>
      <c r="M595" s="424"/>
      <c r="N595" s="424"/>
      <c r="O595" s="424"/>
      <c r="P595" s="424"/>
      <c r="Q595" s="424"/>
      <c r="R595" s="424"/>
      <c r="S595" s="424"/>
      <c r="T595" s="424"/>
      <c r="U595" s="424"/>
      <c r="V595" s="436" t="n">
        <f aca="false">AY600</f>
        <v>0</v>
      </c>
    </row>
    <row r="596" customFormat="false" ht="13.5" hidden="false" customHeight="false" outlineLevel="0" collapsed="false">
      <c r="A596" s="424"/>
      <c r="B596" s="424"/>
      <c r="C596" s="424"/>
      <c r="D596" s="424"/>
      <c r="E596" s="424"/>
      <c r="F596" s="424"/>
      <c r="G596" s="424"/>
      <c r="H596" s="424"/>
      <c r="I596" s="424"/>
      <c r="J596" s="424"/>
      <c r="K596" s="424"/>
      <c r="L596" s="424"/>
      <c r="M596" s="424"/>
      <c r="N596" s="424"/>
      <c r="O596" s="424"/>
      <c r="P596" s="424"/>
      <c r="Q596" s="424"/>
      <c r="R596" s="424"/>
      <c r="S596" s="424"/>
      <c r="T596" s="424"/>
      <c r="U596" s="424"/>
      <c r="V596" s="436" t="n">
        <f aca="false">AY601</f>
        <v>0</v>
      </c>
    </row>
    <row r="597" customFormat="false" ht="13.5" hidden="false" customHeight="false" outlineLevel="0" collapsed="false">
      <c r="A597" s="424"/>
      <c r="B597" s="424"/>
      <c r="C597" s="424"/>
      <c r="D597" s="424"/>
      <c r="E597" s="424"/>
      <c r="F597" s="424"/>
      <c r="G597" s="424"/>
      <c r="H597" s="424"/>
      <c r="I597" s="424"/>
      <c r="J597" s="424"/>
      <c r="K597" s="424"/>
      <c r="L597" s="424"/>
      <c r="M597" s="424"/>
      <c r="N597" s="424"/>
      <c r="O597" s="424"/>
      <c r="P597" s="424"/>
      <c r="Q597" s="424"/>
      <c r="R597" s="424"/>
      <c r="S597" s="424"/>
      <c r="T597" s="424"/>
      <c r="U597" s="424"/>
      <c r="V597" s="436" t="n">
        <f aca="false">AY602</f>
        <v>0</v>
      </c>
    </row>
    <row r="598" customFormat="false" ht="13.5" hidden="false" customHeight="false" outlineLevel="0" collapsed="false">
      <c r="A598" s="424"/>
      <c r="B598" s="424"/>
      <c r="C598" s="424"/>
      <c r="D598" s="424"/>
      <c r="E598" s="424"/>
      <c r="F598" s="424"/>
      <c r="G598" s="424"/>
      <c r="H598" s="424"/>
      <c r="I598" s="424"/>
      <c r="J598" s="424"/>
      <c r="K598" s="424"/>
      <c r="L598" s="424"/>
      <c r="M598" s="424"/>
      <c r="N598" s="424"/>
      <c r="O598" s="424"/>
      <c r="P598" s="424"/>
      <c r="Q598" s="424"/>
      <c r="R598" s="424"/>
      <c r="S598" s="424"/>
      <c r="T598" s="424"/>
      <c r="U598" s="424"/>
      <c r="V598" s="436" t="n">
        <f aca="false">AY603</f>
        <v>0</v>
      </c>
    </row>
    <row r="599" customFormat="false" ht="13.5" hidden="false" customHeight="false" outlineLevel="0" collapsed="false">
      <c r="A599" s="424"/>
      <c r="B599" s="424"/>
      <c r="C599" s="424"/>
      <c r="D599" s="424"/>
      <c r="E599" s="424"/>
      <c r="F599" s="424"/>
      <c r="G599" s="424"/>
      <c r="H599" s="424"/>
      <c r="I599" s="424"/>
      <c r="J599" s="424"/>
      <c r="K599" s="424"/>
      <c r="L599" s="424"/>
      <c r="M599" s="424"/>
      <c r="N599" s="424"/>
      <c r="O599" s="424"/>
      <c r="P599" s="424"/>
      <c r="Q599" s="424"/>
      <c r="R599" s="424"/>
      <c r="S599" s="424"/>
      <c r="T599" s="424"/>
      <c r="U599" s="424"/>
      <c r="V599" s="436" t="n">
        <f aca="false">AY604</f>
        <v>0</v>
      </c>
    </row>
    <row r="600" customFormat="false" ht="13.5" hidden="false" customHeight="false" outlineLevel="0" collapsed="false">
      <c r="A600" s="424"/>
      <c r="B600" s="424"/>
      <c r="C600" s="424"/>
      <c r="D600" s="424"/>
      <c r="E600" s="424"/>
      <c r="F600" s="424"/>
      <c r="G600" s="424"/>
      <c r="H600" s="424"/>
      <c r="I600" s="424"/>
      <c r="J600" s="424"/>
      <c r="K600" s="424"/>
      <c r="L600" s="424"/>
      <c r="M600" s="424"/>
      <c r="N600" s="424"/>
      <c r="O600" s="424"/>
      <c r="P600" s="424"/>
      <c r="Q600" s="424"/>
      <c r="R600" s="424"/>
      <c r="S600" s="424"/>
      <c r="T600" s="424"/>
      <c r="U600" s="424"/>
      <c r="V600" s="436" t="n">
        <f aca="false">AY605</f>
        <v>0</v>
      </c>
    </row>
    <row r="601" customFormat="false" ht="13.5" hidden="false" customHeight="false" outlineLevel="0" collapsed="false">
      <c r="A601" s="424"/>
      <c r="B601" s="424"/>
      <c r="C601" s="424"/>
      <c r="D601" s="424"/>
      <c r="E601" s="424"/>
      <c r="F601" s="424"/>
      <c r="G601" s="424"/>
      <c r="H601" s="424"/>
      <c r="I601" s="424"/>
      <c r="J601" s="424"/>
      <c r="K601" s="424"/>
      <c r="L601" s="424"/>
      <c r="M601" s="424"/>
      <c r="N601" s="424"/>
      <c r="O601" s="424"/>
      <c r="P601" s="424"/>
      <c r="Q601" s="424"/>
      <c r="R601" s="424"/>
      <c r="S601" s="424"/>
      <c r="T601" s="424"/>
      <c r="U601" s="424"/>
      <c r="V601" s="436" t="n">
        <f aca="false">AY606</f>
        <v>0</v>
      </c>
    </row>
    <row r="602" customFormat="false" ht="13.5" hidden="false" customHeight="false" outlineLevel="0" collapsed="false">
      <c r="A602" s="424"/>
      <c r="B602" s="424"/>
      <c r="C602" s="424"/>
      <c r="D602" s="424"/>
      <c r="E602" s="424"/>
      <c r="F602" s="424"/>
      <c r="G602" s="424"/>
      <c r="H602" s="424"/>
      <c r="I602" s="424"/>
      <c r="J602" s="424"/>
      <c r="K602" s="424"/>
      <c r="L602" s="424"/>
      <c r="M602" s="424"/>
      <c r="N602" s="424"/>
      <c r="O602" s="424"/>
      <c r="P602" s="424"/>
      <c r="Q602" s="424"/>
      <c r="R602" s="424"/>
      <c r="S602" s="424"/>
      <c r="T602" s="424"/>
      <c r="U602" s="424"/>
      <c r="V602" s="436" t="n">
        <f aca="false">AY607</f>
        <v>0</v>
      </c>
    </row>
    <row r="603" customFormat="false" ht="13.5" hidden="false" customHeight="false" outlineLevel="0" collapsed="false">
      <c r="A603" s="424"/>
      <c r="B603" s="424"/>
      <c r="C603" s="424"/>
      <c r="D603" s="424"/>
      <c r="E603" s="424"/>
      <c r="F603" s="424"/>
      <c r="G603" s="424"/>
      <c r="H603" s="424"/>
      <c r="I603" s="424"/>
      <c r="J603" s="424"/>
      <c r="K603" s="424"/>
      <c r="L603" s="424"/>
      <c r="M603" s="424"/>
      <c r="N603" s="424"/>
      <c r="O603" s="424"/>
      <c r="P603" s="424"/>
      <c r="Q603" s="424"/>
      <c r="R603" s="424"/>
      <c r="S603" s="424"/>
      <c r="T603" s="424"/>
      <c r="U603" s="424"/>
      <c r="V603" s="436" t="n">
        <f aca="false">AY608</f>
        <v>0</v>
      </c>
    </row>
    <row r="604" customFormat="false" ht="13.5" hidden="false" customHeight="false" outlineLevel="0" collapsed="false">
      <c r="A604" s="424"/>
      <c r="B604" s="424"/>
      <c r="C604" s="424"/>
      <c r="D604" s="424"/>
      <c r="E604" s="424"/>
      <c r="F604" s="424"/>
      <c r="G604" s="424"/>
      <c r="H604" s="424"/>
      <c r="I604" s="424"/>
      <c r="J604" s="424"/>
      <c r="K604" s="424"/>
      <c r="L604" s="424"/>
      <c r="M604" s="424"/>
      <c r="N604" s="424"/>
      <c r="O604" s="424"/>
      <c r="P604" s="424"/>
      <c r="Q604" s="424"/>
      <c r="R604" s="424"/>
      <c r="S604" s="424"/>
      <c r="T604" s="424"/>
      <c r="U604" s="424"/>
      <c r="V604" s="436" t="n">
        <f aca="false">AY609</f>
        <v>0</v>
      </c>
    </row>
    <row r="605" customFormat="false" ht="13.5" hidden="false" customHeight="false" outlineLevel="0" collapsed="false">
      <c r="A605" s="424"/>
      <c r="B605" s="424"/>
      <c r="C605" s="424"/>
      <c r="D605" s="424"/>
      <c r="E605" s="424"/>
      <c r="F605" s="424"/>
      <c r="G605" s="424"/>
      <c r="H605" s="424"/>
      <c r="I605" s="424"/>
      <c r="J605" s="424"/>
      <c r="K605" s="424"/>
      <c r="L605" s="424"/>
      <c r="M605" s="424"/>
      <c r="N605" s="424"/>
      <c r="O605" s="424"/>
      <c r="P605" s="424"/>
      <c r="Q605" s="424"/>
      <c r="R605" s="424"/>
      <c r="S605" s="424"/>
      <c r="T605" s="424"/>
      <c r="U605" s="424"/>
      <c r="V605" s="436" t="n">
        <f aca="false">AY610</f>
        <v>0</v>
      </c>
    </row>
    <row r="606" customFormat="false" ht="13.5" hidden="false" customHeight="false" outlineLevel="0" collapsed="false">
      <c r="A606" s="424"/>
      <c r="B606" s="424"/>
      <c r="C606" s="424"/>
      <c r="D606" s="424"/>
      <c r="E606" s="424"/>
      <c r="F606" s="424"/>
      <c r="G606" s="424"/>
      <c r="H606" s="424"/>
      <c r="I606" s="424"/>
      <c r="J606" s="424"/>
      <c r="K606" s="424"/>
      <c r="L606" s="424"/>
      <c r="M606" s="424"/>
      <c r="N606" s="424"/>
      <c r="O606" s="424"/>
      <c r="P606" s="424"/>
      <c r="Q606" s="424"/>
      <c r="R606" s="424"/>
      <c r="S606" s="424"/>
      <c r="T606" s="424"/>
      <c r="U606" s="424"/>
      <c r="V606" s="436" t="n">
        <f aca="false">AY611</f>
        <v>0</v>
      </c>
    </row>
    <row r="607" customFormat="false" ht="13.5" hidden="false" customHeight="false" outlineLevel="0" collapsed="false">
      <c r="A607" s="424"/>
      <c r="B607" s="424"/>
      <c r="C607" s="424"/>
      <c r="D607" s="424"/>
      <c r="E607" s="424"/>
      <c r="F607" s="424"/>
      <c r="G607" s="424"/>
      <c r="H607" s="424"/>
      <c r="I607" s="424"/>
      <c r="J607" s="424"/>
      <c r="K607" s="424"/>
      <c r="L607" s="424"/>
      <c r="M607" s="424"/>
      <c r="N607" s="424"/>
      <c r="O607" s="424"/>
      <c r="P607" s="424"/>
      <c r="Q607" s="424"/>
      <c r="R607" s="424"/>
      <c r="S607" s="424"/>
      <c r="T607" s="424"/>
      <c r="U607" s="424"/>
      <c r="V607" s="436" t="n">
        <f aca="false">AY612</f>
        <v>0</v>
      </c>
    </row>
    <row r="608" customFormat="false" ht="13.5" hidden="false" customHeight="false" outlineLevel="0" collapsed="false">
      <c r="A608" s="424"/>
      <c r="B608" s="424"/>
      <c r="C608" s="424"/>
      <c r="D608" s="424"/>
      <c r="E608" s="424"/>
      <c r="F608" s="424"/>
      <c r="G608" s="424"/>
      <c r="H608" s="424"/>
      <c r="I608" s="424"/>
      <c r="J608" s="424"/>
      <c r="K608" s="424"/>
      <c r="L608" s="424"/>
      <c r="M608" s="424"/>
      <c r="N608" s="424"/>
      <c r="O608" s="424"/>
      <c r="P608" s="424"/>
      <c r="Q608" s="424"/>
      <c r="R608" s="424"/>
      <c r="S608" s="424"/>
      <c r="T608" s="424"/>
      <c r="U608" s="424"/>
      <c r="V608" s="436" t="n">
        <f aca="false">AY613</f>
        <v>0</v>
      </c>
    </row>
    <row r="609" customFormat="false" ht="13.5" hidden="false" customHeight="false" outlineLevel="0" collapsed="false">
      <c r="A609" s="424"/>
      <c r="B609" s="424"/>
      <c r="C609" s="424"/>
      <c r="D609" s="424"/>
      <c r="E609" s="424"/>
      <c r="F609" s="424"/>
      <c r="G609" s="424"/>
      <c r="H609" s="424"/>
      <c r="I609" s="424"/>
      <c r="J609" s="424"/>
      <c r="K609" s="424"/>
      <c r="L609" s="424"/>
      <c r="M609" s="424"/>
      <c r="N609" s="424"/>
      <c r="O609" s="424"/>
      <c r="P609" s="424"/>
      <c r="Q609" s="424"/>
      <c r="R609" s="424"/>
      <c r="S609" s="424"/>
      <c r="T609" s="424"/>
      <c r="U609" s="424"/>
      <c r="V609" s="436" t="n">
        <f aca="false">AY614</f>
        <v>0</v>
      </c>
    </row>
    <row r="610" customFormat="false" ht="13.5" hidden="false" customHeight="false" outlineLevel="0" collapsed="false">
      <c r="A610" s="424"/>
      <c r="B610" s="424"/>
      <c r="C610" s="424"/>
      <c r="D610" s="424"/>
      <c r="E610" s="424"/>
      <c r="F610" s="424"/>
      <c r="G610" s="424"/>
      <c r="H610" s="424"/>
      <c r="I610" s="424"/>
      <c r="J610" s="424"/>
      <c r="K610" s="424"/>
      <c r="L610" s="424"/>
      <c r="M610" s="424"/>
      <c r="N610" s="424"/>
      <c r="O610" s="424"/>
      <c r="P610" s="424"/>
      <c r="Q610" s="424"/>
      <c r="R610" s="424"/>
      <c r="S610" s="424"/>
      <c r="T610" s="424"/>
      <c r="U610" s="424"/>
      <c r="V610" s="436" t="n">
        <f aca="false">AY615</f>
        <v>0</v>
      </c>
    </row>
    <row r="611" customFormat="false" ht="13.5" hidden="false" customHeight="false" outlineLevel="0" collapsed="false">
      <c r="A611" s="424"/>
      <c r="B611" s="424"/>
      <c r="C611" s="424"/>
      <c r="D611" s="424"/>
      <c r="E611" s="424"/>
      <c r="F611" s="424"/>
      <c r="G611" s="424"/>
      <c r="H611" s="424"/>
      <c r="I611" s="424"/>
      <c r="J611" s="424"/>
      <c r="K611" s="424"/>
      <c r="L611" s="424"/>
      <c r="M611" s="424"/>
      <c r="N611" s="424"/>
      <c r="O611" s="424"/>
      <c r="P611" s="424"/>
      <c r="Q611" s="424"/>
      <c r="R611" s="424"/>
      <c r="S611" s="424"/>
      <c r="T611" s="424"/>
      <c r="U611" s="424"/>
      <c r="V611" s="436" t="n">
        <f aca="false">AY616</f>
        <v>0</v>
      </c>
    </row>
    <row r="612" customFormat="false" ht="13.5" hidden="false" customHeight="false" outlineLevel="0" collapsed="false">
      <c r="A612" s="424"/>
      <c r="B612" s="424"/>
      <c r="C612" s="424"/>
      <c r="D612" s="424"/>
      <c r="E612" s="424"/>
      <c r="F612" s="424"/>
      <c r="G612" s="424"/>
      <c r="H612" s="424"/>
      <c r="I612" s="424"/>
      <c r="J612" s="424"/>
      <c r="K612" s="424"/>
      <c r="L612" s="424"/>
      <c r="M612" s="424"/>
      <c r="N612" s="424"/>
      <c r="O612" s="424"/>
      <c r="P612" s="424"/>
      <c r="Q612" s="424"/>
      <c r="R612" s="424"/>
      <c r="S612" s="424"/>
      <c r="T612" s="424"/>
      <c r="U612" s="424"/>
      <c r="V612" s="436" t="n">
        <f aca="false">AY617</f>
        <v>0</v>
      </c>
    </row>
    <row r="613" customFormat="false" ht="13.5" hidden="false" customHeight="false" outlineLevel="0" collapsed="false">
      <c r="A613" s="424"/>
      <c r="B613" s="424"/>
      <c r="C613" s="424"/>
      <c r="D613" s="424"/>
      <c r="E613" s="424"/>
      <c r="F613" s="424"/>
      <c r="G613" s="424"/>
      <c r="H613" s="424"/>
      <c r="I613" s="424"/>
      <c r="J613" s="424"/>
      <c r="K613" s="424"/>
      <c r="L613" s="424"/>
      <c r="M613" s="424"/>
      <c r="N613" s="424"/>
      <c r="O613" s="424"/>
      <c r="P613" s="424"/>
      <c r="Q613" s="424"/>
      <c r="R613" s="424"/>
      <c r="S613" s="424"/>
      <c r="T613" s="424"/>
      <c r="U613" s="424"/>
      <c r="V613" s="424"/>
    </row>
    <row r="614" customFormat="false" ht="13.5" hidden="false" customHeight="false" outlineLevel="0" collapsed="false">
      <c r="A614" s="424"/>
      <c r="B614" s="424"/>
      <c r="C614" s="424"/>
      <c r="D614" s="424"/>
      <c r="E614" s="424"/>
      <c r="F614" s="424"/>
      <c r="G614" s="424"/>
      <c r="H614" s="424"/>
      <c r="I614" s="424"/>
      <c r="J614" s="424"/>
      <c r="K614" s="424"/>
      <c r="L614" s="424"/>
      <c r="M614" s="424"/>
      <c r="N614" s="424"/>
      <c r="O614" s="424"/>
      <c r="P614" s="424"/>
      <c r="Q614" s="424"/>
      <c r="R614" s="424"/>
      <c r="S614" s="424"/>
      <c r="T614" s="424"/>
      <c r="U614" s="424"/>
      <c r="V614" s="424"/>
    </row>
    <row r="615" customFormat="false" ht="13.5" hidden="false" customHeight="false" outlineLevel="0" collapsed="false">
      <c r="A615" s="424"/>
      <c r="B615" s="424"/>
      <c r="C615" s="424"/>
      <c r="D615" s="424"/>
      <c r="E615" s="424"/>
      <c r="F615" s="424"/>
      <c r="G615" s="424"/>
      <c r="H615" s="424"/>
      <c r="I615" s="424"/>
      <c r="J615" s="424"/>
      <c r="K615" s="424"/>
      <c r="L615" s="424"/>
      <c r="M615" s="424"/>
      <c r="N615" s="424"/>
      <c r="O615" s="424"/>
      <c r="P615" s="424"/>
      <c r="Q615" s="424"/>
      <c r="R615" s="434" t="s">
        <v>400</v>
      </c>
      <c r="S615" s="424"/>
      <c r="T615" s="424"/>
      <c r="U615" s="424"/>
      <c r="V615" s="435" t="n">
        <f aca="false">SUM(V617:V649)</f>
        <v>0</v>
      </c>
    </row>
    <row r="616" customFormat="false" ht="13.5" hidden="false" customHeight="false" outlineLevel="0" collapsed="false">
      <c r="A616" s="424"/>
      <c r="B616" s="424"/>
      <c r="C616" s="424"/>
      <c r="D616" s="424"/>
      <c r="E616" s="424"/>
      <c r="F616" s="424"/>
      <c r="G616" s="424"/>
      <c r="H616" s="424"/>
      <c r="I616" s="424"/>
      <c r="J616" s="424"/>
      <c r="K616" s="424"/>
      <c r="L616" s="424"/>
      <c r="M616" s="424"/>
      <c r="N616" s="424"/>
      <c r="O616" s="424"/>
      <c r="P616" s="424"/>
      <c r="Q616" s="435" t="n">
        <v>0</v>
      </c>
      <c r="R616" s="424"/>
      <c r="S616" s="435" t="n">
        <v>0</v>
      </c>
      <c r="T616" s="424"/>
      <c r="U616" s="424"/>
      <c r="V616" s="436" t="n">
        <f aca="false">AY616</f>
        <v>0</v>
      </c>
    </row>
    <row r="617" customFormat="false" ht="13.5" hidden="false" customHeight="false" outlineLevel="0" collapsed="false">
      <c r="A617" s="424"/>
      <c r="B617" s="424"/>
      <c r="C617" s="424"/>
      <c r="D617" s="424"/>
      <c r="E617" s="424"/>
      <c r="F617" s="424"/>
      <c r="G617" s="424"/>
      <c r="H617" s="424"/>
      <c r="I617" s="424"/>
      <c r="J617" s="424"/>
      <c r="K617" s="424"/>
      <c r="L617" s="424"/>
      <c r="M617" s="424"/>
      <c r="N617" s="424"/>
      <c r="O617" s="424"/>
      <c r="P617" s="424"/>
      <c r="Q617" s="435" t="n">
        <v>1</v>
      </c>
      <c r="R617" s="434" t="s">
        <v>401</v>
      </c>
      <c r="S617" s="434" t="s">
        <v>402</v>
      </c>
      <c r="T617" s="434" t="s">
        <v>403</v>
      </c>
      <c r="U617" s="434" t="s">
        <v>404</v>
      </c>
      <c r="V617" s="436" t="n">
        <f aca="false">AY617</f>
        <v>0</v>
      </c>
    </row>
    <row r="618" customFormat="false" ht="13.5" hidden="false" customHeight="false" outlineLevel="0" collapsed="false">
      <c r="A618" s="424"/>
      <c r="B618" s="424"/>
      <c r="C618" s="424"/>
      <c r="D618" s="424"/>
      <c r="E618" s="424"/>
      <c r="F618" s="424"/>
      <c r="G618" s="424"/>
      <c r="H618" s="424"/>
      <c r="I618" s="424"/>
      <c r="J618" s="424"/>
      <c r="K618" s="424"/>
      <c r="L618" s="424"/>
      <c r="M618" s="424"/>
      <c r="N618" s="424"/>
      <c r="O618" s="424"/>
      <c r="P618" s="424"/>
      <c r="Q618" s="435" t="n">
        <v>2</v>
      </c>
      <c r="R618" s="434" t="s">
        <v>405</v>
      </c>
      <c r="S618" s="434" t="s">
        <v>406</v>
      </c>
      <c r="T618" s="434" t="s">
        <v>407</v>
      </c>
      <c r="U618" s="434" t="s">
        <v>408</v>
      </c>
      <c r="V618" s="436" t="n">
        <f aca="false">AY618</f>
        <v>0</v>
      </c>
    </row>
    <row r="619" customFormat="false" ht="13.5" hidden="false" customHeight="false" outlineLevel="0" collapsed="false">
      <c r="A619" s="424"/>
      <c r="B619" s="424"/>
      <c r="C619" s="424"/>
      <c r="D619" s="424"/>
      <c r="E619" s="424"/>
      <c r="F619" s="424"/>
      <c r="G619" s="424"/>
      <c r="H619" s="424"/>
      <c r="I619" s="424"/>
      <c r="J619" s="424"/>
      <c r="K619" s="424"/>
      <c r="L619" s="424"/>
      <c r="M619" s="424"/>
      <c r="N619" s="424"/>
      <c r="O619" s="424"/>
      <c r="P619" s="424"/>
      <c r="Q619" s="435" t="n">
        <v>3</v>
      </c>
      <c r="R619" s="434" t="s">
        <v>409</v>
      </c>
      <c r="S619" s="434" t="s">
        <v>410</v>
      </c>
      <c r="T619" s="434" t="s">
        <v>411</v>
      </c>
      <c r="U619" s="434" t="s">
        <v>412</v>
      </c>
      <c r="V619" s="436" t="n">
        <f aca="false">AY619</f>
        <v>0</v>
      </c>
    </row>
    <row r="620" customFormat="false" ht="13.5" hidden="false" customHeight="false" outlineLevel="0" collapsed="false">
      <c r="A620" s="424"/>
      <c r="B620" s="424"/>
      <c r="C620" s="424"/>
      <c r="D620" s="424"/>
      <c r="E620" s="424"/>
      <c r="F620" s="424"/>
      <c r="G620" s="424"/>
      <c r="H620" s="424"/>
      <c r="I620" s="424"/>
      <c r="J620" s="424"/>
      <c r="K620" s="424"/>
      <c r="L620" s="424"/>
      <c r="M620" s="424"/>
      <c r="N620" s="424"/>
      <c r="O620" s="424"/>
      <c r="P620" s="424"/>
      <c r="Q620" s="435" t="n">
        <v>4</v>
      </c>
      <c r="R620" s="434" t="s">
        <v>413</v>
      </c>
      <c r="S620" s="434" t="s">
        <v>414</v>
      </c>
      <c r="T620" s="434" t="s">
        <v>415</v>
      </c>
      <c r="U620" s="434" t="s">
        <v>416</v>
      </c>
      <c r="V620" s="436" t="n">
        <f aca="false">AY620</f>
        <v>0</v>
      </c>
    </row>
    <row r="621" customFormat="false" ht="13.5" hidden="false" customHeight="false" outlineLevel="0" collapsed="false">
      <c r="A621" s="424"/>
      <c r="B621" s="424"/>
      <c r="C621" s="424"/>
      <c r="D621" s="424"/>
      <c r="E621" s="424"/>
      <c r="F621" s="424"/>
      <c r="G621" s="424"/>
      <c r="H621" s="424"/>
      <c r="I621" s="424"/>
      <c r="J621" s="424"/>
      <c r="K621" s="424"/>
      <c r="L621" s="424"/>
      <c r="M621" s="424"/>
      <c r="N621" s="424"/>
      <c r="O621" s="424"/>
      <c r="P621" s="438" t="s">
        <v>417</v>
      </c>
      <c r="Q621" s="435" t="n">
        <v>5</v>
      </c>
      <c r="R621" s="434" t="s">
        <v>418</v>
      </c>
      <c r="S621" s="434" t="s">
        <v>419</v>
      </c>
      <c r="T621" s="434" t="s">
        <v>420</v>
      </c>
      <c r="U621" s="434" t="s">
        <v>421</v>
      </c>
      <c r="V621" s="436" t="n">
        <f aca="false">AY621</f>
        <v>0</v>
      </c>
    </row>
    <row r="622" customFormat="false" ht="13.5" hidden="false" customHeight="false" outlineLevel="0" collapsed="false">
      <c r="A622" s="424"/>
      <c r="B622" s="424"/>
      <c r="C622" s="424"/>
      <c r="D622" s="424"/>
      <c r="E622" s="424"/>
      <c r="F622" s="424"/>
      <c r="G622" s="424"/>
      <c r="H622" s="424"/>
      <c r="I622" s="424"/>
      <c r="J622" s="424"/>
      <c r="K622" s="424"/>
      <c r="L622" s="424"/>
      <c r="M622" s="424"/>
      <c r="N622" s="424"/>
      <c r="O622" s="424"/>
      <c r="P622" s="438" t="s">
        <v>417</v>
      </c>
      <c r="Q622" s="435" t="n">
        <v>6</v>
      </c>
      <c r="R622" s="434" t="s">
        <v>422</v>
      </c>
      <c r="S622" s="434" t="s">
        <v>423</v>
      </c>
      <c r="T622" s="434" t="s">
        <v>424</v>
      </c>
      <c r="U622" s="434" t="s">
        <v>425</v>
      </c>
      <c r="V622" s="436" t="n">
        <f aca="false">AY622</f>
        <v>0</v>
      </c>
    </row>
    <row r="623" customFormat="false" ht="13.5" hidden="false" customHeight="false" outlineLevel="0" collapsed="false">
      <c r="A623" s="424"/>
      <c r="B623" s="424"/>
      <c r="C623" s="424"/>
      <c r="D623" s="424"/>
      <c r="E623" s="424"/>
      <c r="F623" s="424"/>
      <c r="G623" s="424"/>
      <c r="H623" s="424"/>
      <c r="I623" s="424"/>
      <c r="J623" s="424"/>
      <c r="K623" s="424"/>
      <c r="L623" s="424"/>
      <c r="M623" s="424"/>
      <c r="N623" s="424"/>
      <c r="O623" s="424"/>
      <c r="P623" s="438" t="s">
        <v>417</v>
      </c>
      <c r="Q623" s="435" t="n">
        <v>7</v>
      </c>
      <c r="R623" s="434" t="s">
        <v>426</v>
      </c>
      <c r="S623" s="434" t="s">
        <v>427</v>
      </c>
      <c r="T623" s="434" t="s">
        <v>428</v>
      </c>
      <c r="U623" s="434" t="s">
        <v>429</v>
      </c>
      <c r="V623" s="436" t="n">
        <f aca="false">AY623</f>
        <v>0</v>
      </c>
    </row>
    <row r="624" customFormat="false" ht="13.5" hidden="false" customHeight="false" outlineLevel="0" collapsed="false">
      <c r="A624" s="424"/>
      <c r="B624" s="424"/>
      <c r="C624" s="424"/>
      <c r="D624" s="424"/>
      <c r="E624" s="424"/>
      <c r="F624" s="424"/>
      <c r="G624" s="424"/>
      <c r="H624" s="424"/>
      <c r="I624" s="424"/>
      <c r="J624" s="424"/>
      <c r="K624" s="424"/>
      <c r="L624" s="424"/>
      <c r="M624" s="424"/>
      <c r="N624" s="424"/>
      <c r="O624" s="424"/>
      <c r="P624" s="438" t="s">
        <v>417</v>
      </c>
      <c r="Q624" s="435" t="n">
        <v>8</v>
      </c>
      <c r="R624" s="434" t="s">
        <v>430</v>
      </c>
      <c r="S624" s="434" t="s">
        <v>431</v>
      </c>
      <c r="T624" s="434" t="s">
        <v>432</v>
      </c>
      <c r="U624" s="434" t="s">
        <v>433</v>
      </c>
      <c r="V624" s="436" t="n">
        <f aca="false">AY624</f>
        <v>0</v>
      </c>
    </row>
    <row r="625" customFormat="false" ht="13.5" hidden="false" customHeight="false" outlineLevel="0" collapsed="false">
      <c r="A625" s="424"/>
      <c r="B625" s="424"/>
      <c r="C625" s="424"/>
      <c r="D625" s="424"/>
      <c r="E625" s="424"/>
      <c r="F625" s="424"/>
      <c r="G625" s="424"/>
      <c r="H625" s="424"/>
      <c r="I625" s="424"/>
      <c r="J625" s="424"/>
      <c r="K625" s="424"/>
      <c r="L625" s="424"/>
      <c r="M625" s="424"/>
      <c r="N625" s="424"/>
      <c r="O625" s="424"/>
      <c r="P625" s="438" t="s">
        <v>417</v>
      </c>
      <c r="Q625" s="435" t="n">
        <v>9</v>
      </c>
      <c r="R625" s="434" t="s">
        <v>434</v>
      </c>
      <c r="S625" s="434" t="s">
        <v>435</v>
      </c>
      <c r="T625" s="434" t="s">
        <v>436</v>
      </c>
      <c r="U625" s="434" t="s">
        <v>437</v>
      </c>
      <c r="V625" s="436" t="n">
        <f aca="false">AY625</f>
        <v>0</v>
      </c>
    </row>
    <row r="626" customFormat="false" ht="13.5" hidden="false" customHeight="false" outlineLevel="0" collapsed="false">
      <c r="A626" s="424"/>
      <c r="B626" s="424"/>
      <c r="C626" s="424"/>
      <c r="D626" s="424"/>
      <c r="E626" s="424"/>
      <c r="F626" s="424"/>
      <c r="G626" s="424"/>
      <c r="H626" s="424"/>
      <c r="I626" s="424"/>
      <c r="J626" s="424"/>
      <c r="K626" s="424"/>
      <c r="L626" s="424"/>
      <c r="M626" s="424"/>
      <c r="N626" s="424"/>
      <c r="O626" s="424"/>
      <c r="P626" s="438" t="s">
        <v>417</v>
      </c>
      <c r="Q626" s="435" t="n">
        <v>10</v>
      </c>
      <c r="R626" s="434" t="s">
        <v>438</v>
      </c>
      <c r="S626" s="424"/>
      <c r="T626" s="434" t="s">
        <v>439</v>
      </c>
      <c r="U626" s="434" t="s">
        <v>440</v>
      </c>
      <c r="V626" s="436" t="n">
        <f aca="false">AY626</f>
        <v>0</v>
      </c>
    </row>
    <row r="627" customFormat="false" ht="13.5" hidden="false" customHeight="false" outlineLevel="0" collapsed="false">
      <c r="A627" s="424"/>
      <c r="B627" s="424"/>
      <c r="C627" s="424"/>
      <c r="D627" s="424"/>
      <c r="E627" s="424"/>
      <c r="F627" s="435" t="n">
        <f aca="false">TRUNC(+A629/1000000)</f>
        <v>0</v>
      </c>
      <c r="G627" s="424"/>
      <c r="H627" s="424"/>
      <c r="I627" s="424"/>
      <c r="J627" s="424"/>
      <c r="K627" s="424"/>
      <c r="L627" s="424"/>
      <c r="M627" s="424"/>
      <c r="N627" s="424"/>
      <c r="O627" s="424"/>
      <c r="P627" s="438" t="s">
        <v>417</v>
      </c>
      <c r="Q627" s="435" t="n">
        <v>11</v>
      </c>
      <c r="R627" s="434" t="s">
        <v>441</v>
      </c>
      <c r="S627" s="424"/>
      <c r="T627" s="434" t="s">
        <v>442</v>
      </c>
      <c r="U627" s="434" t="s">
        <v>443</v>
      </c>
      <c r="V627" s="436" t="n">
        <f aca="false">AY627</f>
        <v>0</v>
      </c>
    </row>
    <row r="628" customFormat="false" ht="13.5" hidden="false" customHeight="false" outlineLevel="0" collapsed="false">
      <c r="A628" s="424"/>
      <c r="B628" s="424"/>
      <c r="C628" s="424"/>
      <c r="D628" s="424"/>
      <c r="E628" s="424"/>
      <c r="F628" s="435" t="e">
        <f aca="false">(+B632*100000+C632*1000+E632*100)</f>
        <v>#VALUE!</v>
      </c>
      <c r="G628" s="424"/>
      <c r="H628" s="424"/>
      <c r="I628" s="424"/>
      <c r="J628" s="424"/>
      <c r="K628" s="424"/>
      <c r="L628" s="434" t="s">
        <v>444</v>
      </c>
      <c r="M628" s="424"/>
      <c r="N628" s="424"/>
      <c r="O628" s="424"/>
      <c r="P628" s="438" t="s">
        <v>417</v>
      </c>
      <c r="Q628" s="435" t="n">
        <v>12</v>
      </c>
      <c r="R628" s="434" t="s">
        <v>445</v>
      </c>
      <c r="S628" s="424"/>
      <c r="T628" s="434" t="s">
        <v>446</v>
      </c>
      <c r="U628" s="434" t="s">
        <v>447</v>
      </c>
      <c r="V628" s="436" t="n">
        <f aca="false">AY628</f>
        <v>0</v>
      </c>
    </row>
    <row r="629" customFormat="false" ht="13.5" hidden="false" customHeight="false" outlineLevel="0" collapsed="false">
      <c r="A629" s="436" t="n">
        <f aca="false">TRUNC(+A630)</f>
        <v>1222</v>
      </c>
      <c r="B629" s="424"/>
      <c r="C629" s="424"/>
      <c r="D629" s="424"/>
      <c r="E629" s="440" t="n">
        <f aca="false">TRUNC(+A629/100000000)</f>
        <v>0</v>
      </c>
      <c r="F629" s="424"/>
      <c r="G629" s="424"/>
      <c r="H629" s="424"/>
      <c r="I629" s="424"/>
      <c r="J629" s="424"/>
      <c r="K629" s="424"/>
      <c r="L629" s="424"/>
      <c r="M629" s="424"/>
      <c r="N629" s="424"/>
      <c r="O629" s="424"/>
      <c r="P629" s="438" t="s">
        <v>417</v>
      </c>
      <c r="Q629" s="435" t="n">
        <v>13</v>
      </c>
      <c r="R629" s="434" t="s">
        <v>448</v>
      </c>
      <c r="S629" s="424"/>
      <c r="T629" s="434" t="s">
        <v>449</v>
      </c>
      <c r="U629" s="434" t="s">
        <v>450</v>
      </c>
      <c r="V629" s="436" t="n">
        <f aca="false">AY629</f>
        <v>0</v>
      </c>
    </row>
    <row r="630" customFormat="false" ht="13.5" hidden="false" customHeight="false" outlineLevel="0" collapsed="false">
      <c r="A630" s="441" t="n">
        <v>1222</v>
      </c>
      <c r="B630" s="434" t="s">
        <v>451</v>
      </c>
      <c r="C630" s="434" t="s">
        <v>452</v>
      </c>
      <c r="D630" s="424"/>
      <c r="E630" s="434" t="s">
        <v>452</v>
      </c>
      <c r="F630" s="424"/>
      <c r="G630" s="424"/>
      <c r="H630" s="424"/>
      <c r="I630" s="440" t="n">
        <f aca="false">TRUNC((+A629-(+F627*1000000))/1000)</f>
        <v>1</v>
      </c>
      <c r="J630" s="424"/>
      <c r="K630" s="440" t="n">
        <f aca="false">(TRUNC((+A629-(+F627*1000000))/1))-I630*1000</f>
        <v>222</v>
      </c>
      <c r="L630" s="424"/>
      <c r="M630" s="424"/>
      <c r="N630" s="424"/>
      <c r="O630" s="424"/>
      <c r="P630" s="438" t="s">
        <v>417</v>
      </c>
      <c r="Q630" s="435" t="n">
        <v>14</v>
      </c>
      <c r="R630" s="434" t="s">
        <v>453</v>
      </c>
      <c r="S630" s="424"/>
      <c r="T630" s="434" t="s">
        <v>454</v>
      </c>
      <c r="U630" s="434" t="s">
        <v>455</v>
      </c>
      <c r="V630" s="436" t="n">
        <f aca="false">AY630</f>
        <v>0</v>
      </c>
    </row>
    <row r="631" customFormat="false" ht="13.5" hidden="false" customHeight="false" outlineLevel="0" collapsed="false">
      <c r="A631" s="424"/>
      <c r="B631" s="442" t="s">
        <v>712</v>
      </c>
      <c r="C631" s="442" t="s">
        <v>712</v>
      </c>
      <c r="D631" s="424"/>
      <c r="E631" s="442" t="s">
        <v>712</v>
      </c>
      <c r="F631" s="424"/>
      <c r="G631" s="424"/>
      <c r="H631" s="424"/>
      <c r="I631" s="424"/>
      <c r="J631" s="424"/>
      <c r="K631" s="424"/>
      <c r="L631" s="424"/>
      <c r="M631" s="424"/>
      <c r="N631" s="440" t="n">
        <f aca="false">ROUND(((+A630-A629)*100),1)</f>
        <v>0</v>
      </c>
      <c r="O631" s="424"/>
      <c r="P631" s="438" t="s">
        <v>417</v>
      </c>
      <c r="Q631" s="435" t="n">
        <v>15</v>
      </c>
      <c r="R631" s="434" t="s">
        <v>457</v>
      </c>
      <c r="S631" s="424"/>
      <c r="T631" s="434" t="s">
        <v>458</v>
      </c>
      <c r="U631" s="434" t="s">
        <v>459</v>
      </c>
      <c r="V631" s="436" t="n">
        <f aca="false">AY631</f>
        <v>0</v>
      </c>
    </row>
    <row r="632" customFormat="false" ht="13.5" hidden="false" customHeight="false" outlineLevel="0" collapsed="false">
      <c r="A632" s="424"/>
      <c r="B632" s="440" t="n">
        <f aca="false">TRUNC(+A630/100000000000)</f>
        <v>0</v>
      </c>
      <c r="C632" s="440" t="n">
        <f aca="false">(TRUNC(+A629/1000000000))-B632*100</f>
        <v>0</v>
      </c>
      <c r="D632" s="424"/>
      <c r="E632" s="435" t="str">
        <f aca="false">IF(E629&gt;0,TRUNC(+E629-B632*1000-C632*10),"")</f>
        <v/>
      </c>
      <c r="F632" s="435" t="e">
        <f aca="false">F627-F628</f>
        <v>#VALUE!</v>
      </c>
      <c r="G632" s="435" t="e">
        <f aca="false">G634</f>
        <v>#VALUE!</v>
      </c>
      <c r="H632" s="440" t="n">
        <f aca="false">TRUNC((+A629-(+F627*1000000))/100000)</f>
        <v>0</v>
      </c>
      <c r="I632" s="440" t="n">
        <f aca="false">I630-H632*100</f>
        <v>1</v>
      </c>
      <c r="J632" s="424"/>
      <c r="K632" s="440" t="n">
        <f aca="false">TRUNC(+K630/100)</f>
        <v>2</v>
      </c>
      <c r="L632" s="440" t="n">
        <f aca="false">K630-K632*100</f>
        <v>22</v>
      </c>
      <c r="M632" s="440" t="str">
        <f aca="false">IF(N632&gt;0," &amp; Sen ","")</f>
        <v/>
      </c>
      <c r="N632" s="435" t="n">
        <f aca="false">N631</f>
        <v>0</v>
      </c>
      <c r="O632" s="424"/>
      <c r="P632" s="438" t="s">
        <v>417</v>
      </c>
      <c r="Q632" s="435" t="n">
        <v>16</v>
      </c>
      <c r="R632" s="434" t="s">
        <v>460</v>
      </c>
      <c r="S632" s="424"/>
      <c r="T632" s="434" t="s">
        <v>461</v>
      </c>
      <c r="U632" s="434" t="s">
        <v>462</v>
      </c>
      <c r="V632" s="436" t="n">
        <f aca="false">AY632</f>
        <v>0</v>
      </c>
    </row>
    <row r="633" customFormat="false" ht="13.5" hidden="false" customHeight="false" outlineLevel="0" collapsed="false">
      <c r="A633" s="424"/>
      <c r="B633" s="424"/>
      <c r="C633" s="424"/>
      <c r="D633" s="424"/>
      <c r="E633" s="424"/>
      <c r="F633" s="424"/>
      <c r="G633" s="424"/>
      <c r="H633" s="424"/>
      <c r="I633" s="424"/>
      <c r="J633" s="424"/>
      <c r="K633" s="424"/>
      <c r="L633" s="424"/>
      <c r="M633" s="424"/>
      <c r="N633" s="424"/>
      <c r="O633" s="424"/>
      <c r="P633" s="438" t="s">
        <v>417</v>
      </c>
      <c r="Q633" s="435" t="n">
        <v>17</v>
      </c>
      <c r="R633" s="434" t="s">
        <v>463</v>
      </c>
      <c r="S633" s="424"/>
      <c r="T633" s="434" t="s">
        <v>464</v>
      </c>
      <c r="U633" s="434" t="s">
        <v>465</v>
      </c>
      <c r="V633" s="436" t="n">
        <f aca="false">AY633</f>
        <v>0</v>
      </c>
    </row>
    <row r="634" customFormat="false" ht="13.5" hidden="false" customHeight="false" outlineLevel="0" collapsed="false">
      <c r="A634" s="440" t="n">
        <f aca="false">B632*100000000000</f>
        <v>0</v>
      </c>
      <c r="B634" s="440" t="str">
        <f aca="false">IF(B632&gt;0,VLOOKUP(B632,$Q$7:$T$15,3),"")</f>
        <v/>
      </c>
      <c r="C634" s="440" t="str">
        <f aca="false">IF(C632&gt;0,VLOOKUP(C632,Q617:R715,2),"")</f>
        <v/>
      </c>
      <c r="D634" s="440" t="str">
        <f aca="false">IF(B629+C632&gt;0," Milyar ","")</f>
        <v/>
      </c>
      <c r="E634" s="440" t="e">
        <f aca="false">IF(E632&gt;0,VLOOKUP(E632,$Q$7:$T$15,3),"")</f>
        <v>#N/A</v>
      </c>
      <c r="F634" s="440" t="e">
        <f aca="false">IF(F632&gt;0,VLOOKUP(F632,Q617:R715,2),"")</f>
        <v>#VALUE!</v>
      </c>
      <c r="G634" s="435" t="e">
        <f aca="false">IF(F632+E632&gt;0," Juta","")</f>
        <v>#VALUE!</v>
      </c>
      <c r="H634" s="440" t="str">
        <f aca="false">IF(H632&gt;0,VLOOKUP(H632,$Q$7:$T$15,3),"")</f>
        <v/>
      </c>
      <c r="I634" s="440" t="str">
        <f aca="false">IF(I632=1," Se",IF(I632=0,"",VLOOKUP(I632,Q617:R715,2)))</f>
        <v> Se</v>
      </c>
      <c r="J634" s="435" t="str">
        <f aca="false">IF(I632+H632&gt;0," ribu","")</f>
        <v> ribu</v>
      </c>
      <c r="K634" s="440" t="str">
        <f aca="false">IF(K632&gt;0,VLOOKUP(K632,Q617:S625,3),"")</f>
        <v> Dua ratus</v>
      </c>
      <c r="L634" s="440" t="str">
        <f aca="false">IF(L632&gt;0,VLOOKUP(L632,Q617:R715,2),"")</f>
        <v> Dua puluh dua</v>
      </c>
      <c r="M634" s="440" t="str">
        <f aca="false">IF(N632&gt;0,VLOOKUP(N631,Q616:U715,5)," Rupiah ")</f>
        <v> Rupiah </v>
      </c>
      <c r="N634" s="424"/>
      <c r="O634" s="435" t="str">
        <f aca="false">IF(N632&gt;0," ====","")</f>
        <v/>
      </c>
      <c r="P634" s="435" t="str">
        <f aca="false">IF(N632&gt;0,"-","====")</f>
        <v>====</v>
      </c>
      <c r="Q634" s="435" t="n">
        <v>18</v>
      </c>
      <c r="R634" s="434" t="s">
        <v>466</v>
      </c>
      <c r="S634" s="424"/>
      <c r="T634" s="434" t="s">
        <v>467</v>
      </c>
      <c r="U634" s="434" t="s">
        <v>468</v>
      </c>
      <c r="V634" s="436" t="n">
        <f aca="false">AY634</f>
        <v>0</v>
      </c>
    </row>
    <row r="635" customFormat="false" ht="13.5" hidden="false" customHeight="false" outlineLevel="0" collapsed="false">
      <c r="A635" s="440"/>
      <c r="B635" s="435" t="str">
        <f aca="false">B634</f>
        <v/>
      </c>
      <c r="C635" s="424"/>
      <c r="D635" s="424"/>
      <c r="E635" s="424"/>
      <c r="F635" s="424"/>
      <c r="G635" s="424"/>
      <c r="H635" s="424"/>
      <c r="I635" s="424"/>
      <c r="J635" s="424"/>
      <c r="K635" s="424"/>
      <c r="L635" s="424"/>
      <c r="M635" s="424"/>
      <c r="N635" s="424"/>
      <c r="O635" s="424"/>
      <c r="P635" s="438" t="s">
        <v>417</v>
      </c>
      <c r="Q635" s="435" t="n">
        <v>19</v>
      </c>
      <c r="R635" s="434" t="s">
        <v>469</v>
      </c>
      <c r="S635" s="424"/>
      <c r="T635" s="434" t="s">
        <v>470</v>
      </c>
      <c r="U635" s="434" t="s">
        <v>471</v>
      </c>
      <c r="V635" s="436" t="n">
        <f aca="false">AY640</f>
        <v>0</v>
      </c>
    </row>
    <row r="636" customFormat="false" ht="13.5" hidden="false" customHeight="false" outlineLevel="0" collapsed="false">
      <c r="A636" s="440"/>
      <c r="B636" s="435" t="str">
        <f aca="false">C634</f>
        <v/>
      </c>
      <c r="C636" s="424"/>
      <c r="D636" s="424"/>
      <c r="E636" s="424"/>
      <c r="F636" s="424"/>
      <c r="G636" s="424"/>
      <c r="H636" s="424"/>
      <c r="I636" s="424"/>
      <c r="J636" s="424"/>
      <c r="K636" s="424"/>
      <c r="L636" s="424"/>
      <c r="M636" s="424"/>
      <c r="N636" s="424"/>
      <c r="O636" s="424"/>
      <c r="P636" s="438" t="s">
        <v>417</v>
      </c>
      <c r="Q636" s="435" t="n">
        <v>20</v>
      </c>
      <c r="R636" s="434" t="s">
        <v>472</v>
      </c>
      <c r="S636" s="424"/>
      <c r="T636" s="434" t="s">
        <v>473</v>
      </c>
      <c r="U636" s="434" t="s">
        <v>474</v>
      </c>
      <c r="V636" s="436" t="n">
        <f aca="false">AY641</f>
        <v>0</v>
      </c>
    </row>
    <row r="637" customFormat="false" ht="13.5" hidden="false" customHeight="false" outlineLevel="0" collapsed="false">
      <c r="A637" s="440"/>
      <c r="B637" s="435" t="str">
        <f aca="false">D634</f>
        <v/>
      </c>
      <c r="C637" s="424"/>
      <c r="D637" s="424"/>
      <c r="E637" s="424"/>
      <c r="F637" s="424"/>
      <c r="G637" s="424"/>
      <c r="H637" s="424"/>
      <c r="I637" s="424"/>
      <c r="J637" s="424"/>
      <c r="K637" s="424"/>
      <c r="L637" s="424"/>
      <c r="M637" s="424"/>
      <c r="N637" s="424"/>
      <c r="O637" s="424"/>
      <c r="P637" s="438" t="s">
        <v>417</v>
      </c>
      <c r="Q637" s="435" t="n">
        <v>21</v>
      </c>
      <c r="R637" s="434" t="s">
        <v>475</v>
      </c>
      <c r="S637" s="424"/>
      <c r="T637" s="434" t="s">
        <v>476</v>
      </c>
      <c r="U637" s="434" t="s">
        <v>477</v>
      </c>
      <c r="V637" s="436" t="n">
        <f aca="false">AY642</f>
        <v>0</v>
      </c>
    </row>
    <row r="638" customFormat="false" ht="13.5" hidden="false" customHeight="false" outlineLevel="0" collapsed="false">
      <c r="A638" s="440"/>
      <c r="B638" s="435" t="e">
        <f aca="false">E634</f>
        <v>#N/A</v>
      </c>
      <c r="C638" s="424"/>
      <c r="D638" s="424"/>
      <c r="E638" s="424"/>
      <c r="F638" s="424"/>
      <c r="G638" s="424"/>
      <c r="H638" s="424"/>
      <c r="I638" s="424"/>
      <c r="J638" s="424"/>
      <c r="K638" s="424"/>
      <c r="L638" s="424"/>
      <c r="M638" s="424"/>
      <c r="N638" s="424"/>
      <c r="O638" s="424"/>
      <c r="P638" s="424"/>
      <c r="Q638" s="435" t="n">
        <v>22</v>
      </c>
      <c r="R638" s="434" t="s">
        <v>478</v>
      </c>
      <c r="S638" s="424"/>
      <c r="T638" s="434" t="s">
        <v>479</v>
      </c>
      <c r="U638" s="434" t="s">
        <v>480</v>
      </c>
      <c r="V638" s="436" t="n">
        <f aca="false">AY643</f>
        <v>0</v>
      </c>
    </row>
    <row r="639" customFormat="false" ht="13.5" hidden="false" customHeight="false" outlineLevel="0" collapsed="false">
      <c r="A639" s="440"/>
      <c r="B639" s="435" t="e">
        <f aca="false">F634</f>
        <v>#VALUE!</v>
      </c>
      <c r="C639" s="424"/>
      <c r="D639" s="424"/>
      <c r="E639" s="424"/>
      <c r="F639" s="424"/>
      <c r="G639" s="424"/>
      <c r="H639" s="424"/>
      <c r="I639" s="424"/>
      <c r="J639" s="424"/>
      <c r="K639" s="424"/>
      <c r="L639" s="424"/>
      <c r="M639" s="424"/>
      <c r="N639" s="424"/>
      <c r="O639" s="424"/>
      <c r="P639" s="438" t="s">
        <v>417</v>
      </c>
      <c r="Q639" s="435" t="n">
        <v>23</v>
      </c>
      <c r="R639" s="434" t="s">
        <v>481</v>
      </c>
      <c r="S639" s="424"/>
      <c r="T639" s="434" t="s">
        <v>482</v>
      </c>
      <c r="U639" s="434" t="s">
        <v>483</v>
      </c>
      <c r="V639" s="436" t="n">
        <f aca="false">AY644</f>
        <v>0</v>
      </c>
    </row>
    <row r="640" customFormat="false" ht="13.5" hidden="false" customHeight="false" outlineLevel="0" collapsed="false">
      <c r="A640" s="424"/>
      <c r="B640" s="424"/>
      <c r="C640" s="424"/>
      <c r="D640" s="424"/>
      <c r="E640" s="424"/>
      <c r="F640" s="424"/>
      <c r="G640" s="424"/>
      <c r="H640" s="424"/>
      <c r="I640" s="424"/>
      <c r="J640" s="424"/>
      <c r="K640" s="424"/>
      <c r="L640" s="424"/>
      <c r="M640" s="424"/>
      <c r="N640" s="424"/>
      <c r="O640" s="424"/>
      <c r="P640" s="438" t="s">
        <v>417</v>
      </c>
      <c r="Q640" s="435" t="n">
        <v>24</v>
      </c>
      <c r="R640" s="434" t="s">
        <v>484</v>
      </c>
      <c r="S640" s="424"/>
      <c r="T640" s="434" t="s">
        <v>485</v>
      </c>
      <c r="U640" s="434" t="s">
        <v>486</v>
      </c>
      <c r="V640" s="436" t="n">
        <f aca="false">AY645</f>
        <v>0</v>
      </c>
    </row>
    <row r="641" customFormat="false" ht="13.5" hidden="false" customHeight="false" outlineLevel="0" collapsed="false">
      <c r="A641" s="424"/>
      <c r="B641" s="424"/>
      <c r="C641" s="424"/>
      <c r="D641" s="424"/>
      <c r="E641" s="424"/>
      <c r="F641" s="424"/>
      <c r="G641" s="424"/>
      <c r="H641" s="424"/>
      <c r="I641" s="424"/>
      <c r="J641" s="424"/>
      <c r="K641" s="424"/>
      <c r="L641" s="424"/>
      <c r="M641" s="424"/>
      <c r="N641" s="424"/>
      <c r="O641" s="424"/>
      <c r="P641" s="438" t="s">
        <v>417</v>
      </c>
      <c r="Q641" s="435" t="n">
        <v>25</v>
      </c>
      <c r="R641" s="434" t="s">
        <v>487</v>
      </c>
      <c r="S641" s="424"/>
      <c r="T641" s="434" t="s">
        <v>488</v>
      </c>
      <c r="U641" s="434" t="s">
        <v>489</v>
      </c>
      <c r="V641" s="436" t="n">
        <f aca="false">AY646</f>
        <v>0</v>
      </c>
    </row>
    <row r="642" customFormat="false" ht="13.5" hidden="false" customHeight="false" outlineLevel="0" collapsed="false">
      <c r="A642" s="424"/>
      <c r="B642" s="424"/>
      <c r="C642" s="424"/>
      <c r="D642" s="424"/>
      <c r="E642" s="424"/>
      <c r="F642" s="424"/>
      <c r="G642" s="424"/>
      <c r="H642" s="424"/>
      <c r="I642" s="424"/>
      <c r="J642" s="424"/>
      <c r="K642" s="424"/>
      <c r="L642" s="424"/>
      <c r="M642" s="424"/>
      <c r="N642" s="424"/>
      <c r="O642" s="424"/>
      <c r="P642" s="438" t="s">
        <v>417</v>
      </c>
      <c r="Q642" s="435" t="n">
        <v>26</v>
      </c>
      <c r="R642" s="434" t="s">
        <v>490</v>
      </c>
      <c r="S642" s="424"/>
      <c r="T642" s="434" t="s">
        <v>491</v>
      </c>
      <c r="U642" s="434" t="s">
        <v>492</v>
      </c>
      <c r="V642" s="436" t="n">
        <f aca="false">AY647</f>
        <v>0</v>
      </c>
    </row>
    <row r="643" customFormat="false" ht="13.5" hidden="false" customHeight="false" outlineLevel="0" collapsed="false">
      <c r="A643" s="424"/>
      <c r="B643" s="424"/>
      <c r="C643" s="424"/>
      <c r="D643" s="424"/>
      <c r="E643" s="424"/>
      <c r="F643" s="424"/>
      <c r="G643" s="424"/>
      <c r="H643" s="424"/>
      <c r="I643" s="424"/>
      <c r="J643" s="424"/>
      <c r="K643" s="424"/>
      <c r="L643" s="424"/>
      <c r="M643" s="424"/>
      <c r="N643" s="424"/>
      <c r="O643" s="424"/>
      <c r="P643" s="424"/>
      <c r="Q643" s="435" t="n">
        <v>27</v>
      </c>
      <c r="R643" s="434" t="s">
        <v>493</v>
      </c>
      <c r="S643" s="424"/>
      <c r="T643" s="434" t="s">
        <v>494</v>
      </c>
      <c r="U643" s="434" t="s">
        <v>495</v>
      </c>
      <c r="V643" s="436" t="n">
        <f aca="false">AY648</f>
        <v>0</v>
      </c>
    </row>
    <row r="644" customFormat="false" ht="13.5" hidden="false" customHeight="false" outlineLevel="0" collapsed="false">
      <c r="A644" s="424"/>
      <c r="B644" s="424"/>
      <c r="C644" s="424"/>
      <c r="D644" s="424"/>
      <c r="E644" s="424"/>
      <c r="F644" s="424"/>
      <c r="G644" s="424"/>
      <c r="H644" s="424"/>
      <c r="I644" s="424"/>
      <c r="J644" s="424"/>
      <c r="K644" s="424"/>
      <c r="L644" s="424"/>
      <c r="M644" s="424"/>
      <c r="N644" s="424"/>
      <c r="O644" s="424"/>
      <c r="P644" s="424"/>
      <c r="Q644" s="435" t="n">
        <v>28</v>
      </c>
      <c r="R644" s="434" t="s">
        <v>496</v>
      </c>
      <c r="S644" s="424"/>
      <c r="T644" s="434" t="s">
        <v>497</v>
      </c>
      <c r="U644" s="434" t="s">
        <v>498</v>
      </c>
      <c r="V644" s="436" t="n">
        <f aca="false">AY649</f>
        <v>0</v>
      </c>
    </row>
    <row r="645" customFormat="false" ht="13.5" hidden="false" customHeight="false" outlineLevel="0" collapsed="false">
      <c r="A645" s="424"/>
      <c r="B645" s="424"/>
      <c r="C645" s="424"/>
      <c r="D645" s="424"/>
      <c r="E645" s="424"/>
      <c r="F645" s="424"/>
      <c r="G645" s="424"/>
      <c r="H645" s="424"/>
      <c r="I645" s="424"/>
      <c r="J645" s="424"/>
      <c r="K645" s="424"/>
      <c r="L645" s="424"/>
      <c r="M645" s="424"/>
      <c r="N645" s="424"/>
      <c r="O645" s="424"/>
      <c r="P645" s="424"/>
      <c r="Q645" s="435" t="n">
        <v>29</v>
      </c>
      <c r="R645" s="434" t="s">
        <v>499</v>
      </c>
      <c r="S645" s="424"/>
      <c r="T645" s="434" t="s">
        <v>500</v>
      </c>
      <c r="U645" s="434" t="s">
        <v>501</v>
      </c>
      <c r="V645" s="436" t="n">
        <f aca="false">AY650</f>
        <v>0</v>
      </c>
    </row>
    <row r="646" customFormat="false" ht="13.5" hidden="false" customHeight="false" outlineLevel="0" collapsed="false">
      <c r="A646" s="424"/>
      <c r="B646" s="424"/>
      <c r="C646" s="424"/>
      <c r="D646" s="424"/>
      <c r="E646" s="424"/>
      <c r="F646" s="424"/>
      <c r="G646" s="424"/>
      <c r="H646" s="424"/>
      <c r="I646" s="424"/>
      <c r="J646" s="424"/>
      <c r="K646" s="424"/>
      <c r="L646" s="424"/>
      <c r="M646" s="424"/>
      <c r="N646" s="424"/>
      <c r="O646" s="424"/>
      <c r="P646" s="424"/>
      <c r="Q646" s="435" t="n">
        <v>30</v>
      </c>
      <c r="R646" s="434" t="s">
        <v>502</v>
      </c>
      <c r="S646" s="424"/>
      <c r="T646" s="434" t="s">
        <v>503</v>
      </c>
      <c r="U646" s="434" t="s">
        <v>504</v>
      </c>
      <c r="V646" s="436" t="n">
        <f aca="false">AY651</f>
        <v>0</v>
      </c>
    </row>
    <row r="647" customFormat="false" ht="13.5" hidden="false" customHeight="false" outlineLevel="0" collapsed="false">
      <c r="A647" s="424"/>
      <c r="B647" s="424"/>
      <c r="C647" s="424"/>
      <c r="D647" s="424"/>
      <c r="E647" s="424"/>
      <c r="F647" s="424"/>
      <c r="G647" s="424"/>
      <c r="H647" s="424"/>
      <c r="I647" s="424"/>
      <c r="J647" s="424"/>
      <c r="K647" s="424"/>
      <c r="L647" s="424"/>
      <c r="M647" s="424"/>
      <c r="N647" s="424"/>
      <c r="O647" s="424"/>
      <c r="P647" s="424"/>
      <c r="Q647" s="435" t="n">
        <v>31</v>
      </c>
      <c r="R647" s="434" t="s">
        <v>505</v>
      </c>
      <c r="S647" s="424"/>
      <c r="T647" s="434" t="s">
        <v>506</v>
      </c>
      <c r="U647" s="434" t="s">
        <v>507</v>
      </c>
      <c r="V647" s="436" t="n">
        <f aca="false">AY652</f>
        <v>0</v>
      </c>
    </row>
    <row r="648" customFormat="false" ht="13.5" hidden="false" customHeight="false" outlineLevel="0" collapsed="false">
      <c r="A648" s="424"/>
      <c r="B648" s="424"/>
      <c r="C648" s="424"/>
      <c r="D648" s="424"/>
      <c r="E648" s="424"/>
      <c r="F648" s="424"/>
      <c r="G648" s="424"/>
      <c r="H648" s="424"/>
      <c r="I648" s="424"/>
      <c r="J648" s="424"/>
      <c r="K648" s="424"/>
      <c r="L648" s="424"/>
      <c r="M648" s="424"/>
      <c r="N648" s="424"/>
      <c r="O648" s="424"/>
      <c r="P648" s="424"/>
      <c r="Q648" s="435" t="n">
        <v>32</v>
      </c>
      <c r="R648" s="434" t="s">
        <v>508</v>
      </c>
      <c r="S648" s="424"/>
      <c r="T648" s="434" t="s">
        <v>509</v>
      </c>
      <c r="U648" s="434" t="s">
        <v>510</v>
      </c>
      <c r="V648" s="436" t="n">
        <f aca="false">AY653</f>
        <v>0</v>
      </c>
    </row>
    <row r="649" customFormat="false" ht="13.5" hidden="false" customHeight="false" outlineLevel="0" collapsed="false">
      <c r="A649" s="440"/>
      <c r="B649" s="435" t="e">
        <f aca="false">G634</f>
        <v>#VALUE!</v>
      </c>
      <c r="C649" s="424"/>
      <c r="D649" s="424"/>
      <c r="E649" s="424"/>
      <c r="F649" s="424"/>
      <c r="G649" s="424"/>
      <c r="H649" s="424"/>
      <c r="I649" s="424"/>
      <c r="J649" s="424"/>
      <c r="K649" s="424"/>
      <c r="L649" s="424"/>
      <c r="M649" s="424"/>
      <c r="N649" s="424"/>
      <c r="O649" s="424"/>
      <c r="P649" s="424"/>
      <c r="Q649" s="435" t="n">
        <v>33</v>
      </c>
      <c r="R649" s="434" t="s">
        <v>511</v>
      </c>
      <c r="S649" s="424"/>
      <c r="T649" s="434" t="s">
        <v>512</v>
      </c>
      <c r="U649" s="434" t="s">
        <v>513</v>
      </c>
      <c r="V649" s="436" t="n">
        <f aca="false">AY654</f>
        <v>0</v>
      </c>
    </row>
    <row r="650" customFormat="false" ht="13.5" hidden="false" customHeight="false" outlineLevel="0" collapsed="false">
      <c r="A650" s="440"/>
      <c r="B650" s="435" t="str">
        <f aca="false">H634</f>
        <v/>
      </c>
      <c r="C650" s="424"/>
      <c r="D650" s="424"/>
      <c r="E650" s="424"/>
      <c r="F650" s="424"/>
      <c r="G650" s="424"/>
      <c r="H650" s="424"/>
      <c r="I650" s="424"/>
      <c r="J650" s="424"/>
      <c r="K650" s="424"/>
      <c r="L650" s="424"/>
      <c r="M650" s="424"/>
      <c r="N650" s="424"/>
      <c r="O650" s="424"/>
      <c r="P650" s="424"/>
      <c r="Q650" s="435" t="n">
        <v>34</v>
      </c>
      <c r="R650" s="434" t="s">
        <v>514</v>
      </c>
      <c r="S650" s="424"/>
      <c r="T650" s="434" t="s">
        <v>515</v>
      </c>
      <c r="U650" s="434" t="s">
        <v>516</v>
      </c>
      <c r="V650" s="436" t="n">
        <f aca="false">AY655</f>
        <v>0</v>
      </c>
    </row>
    <row r="651" customFormat="false" ht="13.5" hidden="false" customHeight="false" outlineLevel="0" collapsed="false">
      <c r="A651" s="440"/>
      <c r="B651" s="435" t="str">
        <f aca="false">I634</f>
        <v> Se</v>
      </c>
      <c r="C651" s="424"/>
      <c r="D651" s="424"/>
      <c r="E651" s="424"/>
      <c r="F651" s="424"/>
      <c r="G651" s="424"/>
      <c r="H651" s="424"/>
      <c r="I651" s="424"/>
      <c r="J651" s="424"/>
      <c r="K651" s="424"/>
      <c r="L651" s="424"/>
      <c r="M651" s="424"/>
      <c r="N651" s="424"/>
      <c r="O651" s="424"/>
      <c r="P651" s="424"/>
      <c r="Q651" s="435" t="n">
        <v>35</v>
      </c>
      <c r="R651" s="434" t="s">
        <v>517</v>
      </c>
      <c r="S651" s="424"/>
      <c r="T651" s="434" t="s">
        <v>518</v>
      </c>
      <c r="U651" s="434" t="s">
        <v>519</v>
      </c>
      <c r="V651" s="436" t="n">
        <f aca="false">AY656</f>
        <v>0</v>
      </c>
    </row>
    <row r="652" customFormat="false" ht="13.5" hidden="false" customHeight="false" outlineLevel="0" collapsed="false">
      <c r="A652" s="440"/>
      <c r="B652" s="435" t="str">
        <f aca="false">J634</f>
        <v> ribu</v>
      </c>
      <c r="C652" s="424"/>
      <c r="D652" s="424"/>
      <c r="E652" s="424"/>
      <c r="F652" s="424"/>
      <c r="G652" s="424"/>
      <c r="H652" s="424"/>
      <c r="I652" s="424"/>
      <c r="J652" s="424"/>
      <c r="K652" s="424"/>
      <c r="L652" s="424"/>
      <c r="M652" s="424"/>
      <c r="N652" s="424"/>
      <c r="O652" s="424"/>
      <c r="P652" s="424"/>
      <c r="Q652" s="435" t="n">
        <v>36</v>
      </c>
      <c r="R652" s="434" t="s">
        <v>520</v>
      </c>
      <c r="S652" s="424"/>
      <c r="T652" s="434" t="s">
        <v>521</v>
      </c>
      <c r="U652" s="434" t="s">
        <v>522</v>
      </c>
      <c r="V652" s="436" t="n">
        <f aca="false">AY657</f>
        <v>0</v>
      </c>
    </row>
    <row r="653" customFormat="false" ht="13.5" hidden="false" customHeight="false" outlineLevel="0" collapsed="false">
      <c r="A653" s="440"/>
      <c r="B653" s="440" t="str">
        <f aca="false">K634</f>
        <v> Dua ratus</v>
      </c>
      <c r="C653" s="424"/>
      <c r="D653" s="424"/>
      <c r="E653" s="424"/>
      <c r="F653" s="424"/>
      <c r="G653" s="424"/>
      <c r="H653" s="424"/>
      <c r="I653" s="424"/>
      <c r="J653" s="424"/>
      <c r="K653" s="424"/>
      <c r="L653" s="424"/>
      <c r="M653" s="424"/>
      <c r="N653" s="424"/>
      <c r="O653" s="424"/>
      <c r="P653" s="424"/>
      <c r="Q653" s="435" t="n">
        <v>37</v>
      </c>
      <c r="R653" s="434" t="s">
        <v>523</v>
      </c>
      <c r="S653" s="424"/>
      <c r="T653" s="434" t="s">
        <v>524</v>
      </c>
      <c r="U653" s="434" t="s">
        <v>525</v>
      </c>
      <c r="V653" s="436" t="n">
        <f aca="false">AY658</f>
        <v>0</v>
      </c>
    </row>
    <row r="654" customFormat="false" ht="13.5" hidden="false" customHeight="false" outlineLevel="0" collapsed="false">
      <c r="A654" s="440"/>
      <c r="B654" s="435" t="str">
        <f aca="false">L634</f>
        <v> Dua puluh dua</v>
      </c>
      <c r="C654" s="424"/>
      <c r="D654" s="424"/>
      <c r="E654" s="424"/>
      <c r="F654" s="424"/>
      <c r="G654" s="424"/>
      <c r="H654" s="424"/>
      <c r="I654" s="424"/>
      <c r="J654" s="424"/>
      <c r="K654" s="424"/>
      <c r="L654" s="424"/>
      <c r="M654" s="424"/>
      <c r="N654" s="424"/>
      <c r="O654" s="424"/>
      <c r="P654" s="424"/>
      <c r="Q654" s="435" t="n">
        <v>38</v>
      </c>
      <c r="R654" s="434" t="s">
        <v>526</v>
      </c>
      <c r="S654" s="424"/>
      <c r="T654" s="434" t="s">
        <v>527</v>
      </c>
      <c r="U654" s="434" t="s">
        <v>528</v>
      </c>
      <c r="V654" s="436" t="n">
        <f aca="false">AY659</f>
        <v>0</v>
      </c>
    </row>
    <row r="655" customFormat="false" ht="13.5" hidden="false" customHeight="false" outlineLevel="0" collapsed="false">
      <c r="A655" s="440"/>
      <c r="B655" s="435" t="str">
        <f aca="false">M634</f>
        <v> Rupiah </v>
      </c>
      <c r="C655" s="424"/>
      <c r="D655" s="424"/>
      <c r="E655" s="424"/>
      <c r="F655" s="424"/>
      <c r="G655" s="424"/>
      <c r="H655" s="424"/>
      <c r="I655" s="424"/>
      <c r="J655" s="424"/>
      <c r="K655" s="424"/>
      <c r="L655" s="424"/>
      <c r="M655" s="424"/>
      <c r="N655" s="424"/>
      <c r="O655" s="424"/>
      <c r="P655" s="424"/>
      <c r="Q655" s="435" t="n">
        <v>39</v>
      </c>
      <c r="R655" s="434" t="s">
        <v>529</v>
      </c>
      <c r="S655" s="424"/>
      <c r="T655" s="434" t="s">
        <v>530</v>
      </c>
      <c r="U655" s="434" t="s">
        <v>531</v>
      </c>
      <c r="V655" s="436" t="n">
        <f aca="false">AY660</f>
        <v>0</v>
      </c>
    </row>
    <row r="656" customFormat="false" ht="13.5" hidden="false" customHeight="false" outlineLevel="0" collapsed="false">
      <c r="A656" s="436" t="e">
        <f aca="false">+#REF!</f>
        <v>#REF!</v>
      </c>
      <c r="B656" s="435" t="str">
        <f aca="false">O634</f>
        <v/>
      </c>
      <c r="C656" s="424"/>
      <c r="D656" s="424"/>
      <c r="E656" s="424"/>
      <c r="F656" s="424"/>
      <c r="G656" s="424"/>
      <c r="H656" s="424"/>
      <c r="I656" s="424"/>
      <c r="J656" s="424"/>
      <c r="K656" s="424"/>
      <c r="L656" s="424"/>
      <c r="M656" s="424"/>
      <c r="N656" s="424"/>
      <c r="O656" s="424"/>
      <c r="P656" s="424"/>
      <c r="Q656" s="435" t="n">
        <v>40</v>
      </c>
      <c r="R656" s="434" t="s">
        <v>532</v>
      </c>
      <c r="S656" s="424"/>
      <c r="T656" s="434" t="s">
        <v>533</v>
      </c>
      <c r="U656" s="434" t="s">
        <v>534</v>
      </c>
      <c r="V656" s="436" t="n">
        <f aca="false">AY661</f>
        <v>0</v>
      </c>
    </row>
    <row r="657" customFormat="false" ht="13.5" hidden="false" customHeight="false" outlineLevel="0" collapsed="false">
      <c r="A657" s="440"/>
      <c r="B657" s="435" t="str">
        <f aca="false">IF(N632&gt;0,"-","====")</f>
        <v>====</v>
      </c>
      <c r="C657" s="424"/>
      <c r="D657" s="424"/>
      <c r="E657" s="424"/>
      <c r="F657" s="424"/>
      <c r="G657" s="424"/>
      <c r="H657" s="424"/>
      <c r="I657" s="424"/>
      <c r="J657" s="424"/>
      <c r="K657" s="424"/>
      <c r="L657" s="424"/>
      <c r="M657" s="424"/>
      <c r="N657" s="424"/>
      <c r="O657" s="424"/>
      <c r="P657" s="424"/>
      <c r="Q657" s="435" t="n">
        <v>41</v>
      </c>
      <c r="R657" s="434" t="s">
        <v>535</v>
      </c>
      <c r="S657" s="424"/>
      <c r="T657" s="434" t="s">
        <v>536</v>
      </c>
      <c r="U657" s="434" t="s">
        <v>537</v>
      </c>
      <c r="V657" s="436" t="n">
        <f aca="false">AY662</f>
        <v>0</v>
      </c>
    </row>
    <row r="658" customFormat="false" ht="13.5" hidden="false" customHeight="false" outlineLevel="0" collapsed="false">
      <c r="A658" s="435" t="e">
        <f aca="false">B634&amp;C634&amp;D634&amp;E634&amp;F634&amp;G634&amp;H634&amp;I634&amp;J634&amp;K634&amp;L634&amp;M634&amp;O634</f>
        <v>#N/A</v>
      </c>
      <c r="B658" s="424"/>
      <c r="C658" s="424"/>
      <c r="D658" s="424"/>
      <c r="E658" s="424"/>
      <c r="F658" s="424"/>
      <c r="G658" s="424"/>
      <c r="H658" s="424"/>
      <c r="I658" s="424"/>
      <c r="J658" s="424"/>
      <c r="K658" s="424"/>
      <c r="L658" s="424"/>
      <c r="M658" s="424"/>
      <c r="N658" s="424"/>
      <c r="O658" s="424"/>
      <c r="P658" s="424"/>
      <c r="Q658" s="435" t="n">
        <v>42</v>
      </c>
      <c r="R658" s="434" t="s">
        <v>538</v>
      </c>
      <c r="S658" s="424"/>
      <c r="T658" s="434" t="s">
        <v>539</v>
      </c>
      <c r="U658" s="434" t="s">
        <v>540</v>
      </c>
      <c r="V658" s="436" t="n">
        <f aca="false">AY663</f>
        <v>0</v>
      </c>
    </row>
    <row r="659" customFormat="false" ht="13.5" hidden="false" customHeight="false" outlineLevel="0" collapsed="false">
      <c r="A659" s="440" t="str">
        <f aca="false">I634&amp;J634&amp;K634&amp;L634&amp;M634&amp;O634</f>
        <v> Se ribu Dua ratus Dua puluh dua Rupiah </v>
      </c>
      <c r="B659" s="424"/>
      <c r="C659" s="424"/>
      <c r="D659" s="424"/>
      <c r="E659" s="424"/>
      <c r="F659" s="424"/>
      <c r="G659" s="424"/>
      <c r="H659" s="424"/>
      <c r="I659" s="424"/>
      <c r="J659" s="424"/>
      <c r="K659" s="424"/>
      <c r="L659" s="424"/>
      <c r="M659" s="424"/>
      <c r="N659" s="424"/>
      <c r="O659" s="424"/>
      <c r="P659" s="424"/>
      <c r="Q659" s="435" t="n">
        <v>43</v>
      </c>
      <c r="R659" s="434" t="s">
        <v>541</v>
      </c>
      <c r="S659" s="424"/>
      <c r="T659" s="434" t="s">
        <v>542</v>
      </c>
      <c r="U659" s="434" t="s">
        <v>543</v>
      </c>
      <c r="V659" s="436" t="n">
        <f aca="false">AY664</f>
        <v>0</v>
      </c>
    </row>
    <row r="660" customFormat="false" ht="13.5" hidden="false" customHeight="false" outlineLevel="0" collapsed="false">
      <c r="A660" s="440"/>
      <c r="B660" s="424"/>
      <c r="C660" s="424"/>
      <c r="D660" s="424"/>
      <c r="E660" s="424"/>
      <c r="F660" s="424"/>
      <c r="G660" s="424"/>
      <c r="H660" s="424"/>
      <c r="I660" s="424"/>
      <c r="J660" s="424"/>
      <c r="K660" s="424"/>
      <c r="L660" s="424"/>
      <c r="M660" s="424"/>
      <c r="N660" s="424"/>
      <c r="O660" s="424"/>
      <c r="P660" s="424"/>
      <c r="Q660" s="435" t="n">
        <v>44</v>
      </c>
      <c r="R660" s="434" t="s">
        <v>544</v>
      </c>
      <c r="S660" s="424"/>
      <c r="T660" s="434" t="s">
        <v>545</v>
      </c>
      <c r="U660" s="434" t="s">
        <v>546</v>
      </c>
      <c r="V660" s="436" t="n">
        <f aca="false">AY665</f>
        <v>0</v>
      </c>
    </row>
    <row r="661" customFormat="false" ht="13.5" hidden="false" customHeight="false" outlineLevel="0" collapsed="false">
      <c r="A661" s="440"/>
      <c r="B661" s="424"/>
      <c r="C661" s="424"/>
      <c r="D661" s="424"/>
      <c r="E661" s="424"/>
      <c r="F661" s="424"/>
      <c r="G661" s="424"/>
      <c r="H661" s="424"/>
      <c r="I661" s="424"/>
      <c r="J661" s="424"/>
      <c r="K661" s="424"/>
      <c r="L661" s="424"/>
      <c r="M661" s="424"/>
      <c r="N661" s="424"/>
      <c r="O661" s="424"/>
      <c r="P661" s="424"/>
      <c r="Q661" s="435" t="n">
        <v>45</v>
      </c>
      <c r="R661" s="434" t="s">
        <v>547</v>
      </c>
      <c r="S661" s="424"/>
      <c r="T661" s="434" t="s">
        <v>548</v>
      </c>
      <c r="U661" s="434" t="s">
        <v>549</v>
      </c>
      <c r="V661" s="436" t="n">
        <f aca="false">AY666</f>
        <v>0</v>
      </c>
    </row>
    <row r="662" customFormat="false" ht="13.5" hidden="false" customHeight="false" outlineLevel="0" collapsed="false">
      <c r="A662" s="440"/>
      <c r="B662" s="424"/>
      <c r="C662" s="424"/>
      <c r="D662" s="424"/>
      <c r="E662" s="424"/>
      <c r="F662" s="424"/>
      <c r="G662" s="424"/>
      <c r="H662" s="424"/>
      <c r="I662" s="424"/>
      <c r="J662" s="424"/>
      <c r="K662" s="424"/>
      <c r="L662" s="424"/>
      <c r="M662" s="424"/>
      <c r="N662" s="424"/>
      <c r="O662" s="424"/>
      <c r="P662" s="424"/>
      <c r="Q662" s="435" t="n">
        <v>46</v>
      </c>
      <c r="R662" s="434" t="s">
        <v>550</v>
      </c>
      <c r="S662" s="424"/>
      <c r="T662" s="434" t="s">
        <v>551</v>
      </c>
      <c r="U662" s="434" t="s">
        <v>552</v>
      </c>
      <c r="V662" s="436" t="n">
        <f aca="false">AY667</f>
        <v>0</v>
      </c>
    </row>
    <row r="663" customFormat="false" ht="13.5" hidden="false" customHeight="false" outlineLevel="0" collapsed="false">
      <c r="A663" s="440"/>
      <c r="B663" s="424"/>
      <c r="C663" s="424"/>
      <c r="D663" s="424"/>
      <c r="E663" s="424"/>
      <c r="F663" s="424"/>
      <c r="G663" s="424"/>
      <c r="H663" s="424"/>
      <c r="I663" s="424"/>
      <c r="J663" s="424"/>
      <c r="K663" s="424"/>
      <c r="L663" s="424"/>
      <c r="M663" s="424"/>
      <c r="N663" s="424"/>
      <c r="O663" s="424"/>
      <c r="P663" s="424"/>
      <c r="Q663" s="435" t="n">
        <v>47</v>
      </c>
      <c r="R663" s="434" t="s">
        <v>553</v>
      </c>
      <c r="S663" s="424"/>
      <c r="T663" s="434" t="s">
        <v>554</v>
      </c>
      <c r="U663" s="434" t="s">
        <v>555</v>
      </c>
      <c r="V663" s="436" t="n">
        <f aca="false">AY668</f>
        <v>0</v>
      </c>
    </row>
    <row r="664" customFormat="false" ht="13.5" hidden="false" customHeight="false" outlineLevel="0" collapsed="false">
      <c r="A664" s="424"/>
      <c r="B664" s="424"/>
      <c r="C664" s="424"/>
      <c r="D664" s="424"/>
      <c r="E664" s="424"/>
      <c r="F664" s="424"/>
      <c r="G664" s="424"/>
      <c r="H664" s="424"/>
      <c r="I664" s="424"/>
      <c r="J664" s="424"/>
      <c r="K664" s="424"/>
      <c r="L664" s="424"/>
      <c r="M664" s="424"/>
      <c r="N664" s="424"/>
      <c r="O664" s="424"/>
      <c r="P664" s="424"/>
      <c r="Q664" s="435" t="n">
        <v>48</v>
      </c>
      <c r="R664" s="434" t="s">
        <v>556</v>
      </c>
      <c r="S664" s="424"/>
      <c r="T664" s="434" t="s">
        <v>557</v>
      </c>
      <c r="U664" s="434" t="s">
        <v>558</v>
      </c>
      <c r="V664" s="436" t="n">
        <f aca="false">AY669</f>
        <v>0</v>
      </c>
    </row>
    <row r="665" customFormat="false" ht="13.5" hidden="false" customHeight="false" outlineLevel="0" collapsed="false">
      <c r="A665" s="424"/>
      <c r="B665" s="424"/>
      <c r="C665" s="424"/>
      <c r="D665" s="424"/>
      <c r="E665" s="424"/>
      <c r="F665" s="424"/>
      <c r="G665" s="424"/>
      <c r="H665" s="424"/>
      <c r="I665" s="424"/>
      <c r="J665" s="424"/>
      <c r="K665" s="424"/>
      <c r="L665" s="424"/>
      <c r="M665" s="424"/>
      <c r="N665" s="424"/>
      <c r="O665" s="424"/>
      <c r="P665" s="424"/>
      <c r="Q665" s="435" t="n">
        <v>49</v>
      </c>
      <c r="R665" s="434" t="s">
        <v>559</v>
      </c>
      <c r="S665" s="424"/>
      <c r="T665" s="434" t="s">
        <v>560</v>
      </c>
      <c r="U665" s="434" t="s">
        <v>561</v>
      </c>
      <c r="V665" s="436" t="n">
        <f aca="false">AY670</f>
        <v>0</v>
      </c>
    </row>
    <row r="666" customFormat="false" ht="13.5" hidden="false" customHeight="false" outlineLevel="0" collapsed="false">
      <c r="A666" s="424"/>
      <c r="B666" s="424"/>
      <c r="C666" s="424"/>
      <c r="D666" s="424"/>
      <c r="E666" s="424"/>
      <c r="F666" s="424"/>
      <c r="G666" s="424"/>
      <c r="H666" s="424"/>
      <c r="I666" s="424"/>
      <c r="J666" s="424"/>
      <c r="K666" s="424"/>
      <c r="L666" s="424"/>
      <c r="M666" s="424"/>
      <c r="N666" s="424"/>
      <c r="O666" s="424"/>
      <c r="P666" s="424"/>
      <c r="Q666" s="435" t="n">
        <v>50</v>
      </c>
      <c r="R666" s="434" t="s">
        <v>562</v>
      </c>
      <c r="S666" s="424"/>
      <c r="T666" s="434" t="s">
        <v>563</v>
      </c>
      <c r="U666" s="434" t="s">
        <v>564</v>
      </c>
      <c r="V666" s="436" t="n">
        <f aca="false">AY671</f>
        <v>0</v>
      </c>
    </row>
    <row r="667" customFormat="false" ht="13.5" hidden="false" customHeight="false" outlineLevel="0" collapsed="false">
      <c r="A667" s="424"/>
      <c r="B667" s="424"/>
      <c r="C667" s="424"/>
      <c r="D667" s="424"/>
      <c r="E667" s="424"/>
      <c r="F667" s="424"/>
      <c r="G667" s="424"/>
      <c r="H667" s="424"/>
      <c r="I667" s="424"/>
      <c r="J667" s="424"/>
      <c r="K667" s="424"/>
      <c r="L667" s="424"/>
      <c r="M667" s="424"/>
      <c r="N667" s="424"/>
      <c r="O667" s="424"/>
      <c r="P667" s="424"/>
      <c r="Q667" s="435" t="n">
        <v>51</v>
      </c>
      <c r="R667" s="434" t="s">
        <v>565</v>
      </c>
      <c r="S667" s="424"/>
      <c r="T667" s="434" t="s">
        <v>566</v>
      </c>
      <c r="U667" s="434" t="s">
        <v>567</v>
      </c>
      <c r="V667" s="436" t="n">
        <f aca="false">AY672</f>
        <v>0</v>
      </c>
    </row>
    <row r="668" customFormat="false" ht="13.5" hidden="false" customHeight="false" outlineLevel="0" collapsed="false">
      <c r="A668" s="424"/>
      <c r="B668" s="424"/>
      <c r="C668" s="424"/>
      <c r="D668" s="424"/>
      <c r="E668" s="424"/>
      <c r="F668" s="424"/>
      <c r="G668" s="424"/>
      <c r="H668" s="424"/>
      <c r="I668" s="424"/>
      <c r="J668" s="424"/>
      <c r="K668" s="424"/>
      <c r="L668" s="424"/>
      <c r="M668" s="424"/>
      <c r="N668" s="424"/>
      <c r="O668" s="424"/>
      <c r="P668" s="424"/>
      <c r="Q668" s="435" t="n">
        <v>52</v>
      </c>
      <c r="R668" s="434" t="s">
        <v>568</v>
      </c>
      <c r="S668" s="424"/>
      <c r="T668" s="434" t="s">
        <v>569</v>
      </c>
      <c r="U668" s="434" t="s">
        <v>570</v>
      </c>
      <c r="V668" s="436" t="n">
        <f aca="false">AY673</f>
        <v>0</v>
      </c>
    </row>
    <row r="669" customFormat="false" ht="13.5" hidden="false" customHeight="false" outlineLevel="0" collapsed="false">
      <c r="A669" s="424"/>
      <c r="B669" s="424"/>
      <c r="C669" s="424"/>
      <c r="D669" s="424"/>
      <c r="E669" s="424"/>
      <c r="F669" s="424"/>
      <c r="G669" s="424"/>
      <c r="H669" s="424"/>
      <c r="I669" s="424"/>
      <c r="J669" s="424"/>
      <c r="K669" s="424"/>
      <c r="L669" s="424"/>
      <c r="M669" s="424"/>
      <c r="N669" s="424"/>
      <c r="O669" s="424"/>
      <c r="P669" s="424"/>
      <c r="Q669" s="435" t="n">
        <v>53</v>
      </c>
      <c r="R669" s="434" t="s">
        <v>571</v>
      </c>
      <c r="S669" s="424"/>
      <c r="T669" s="434" t="s">
        <v>572</v>
      </c>
      <c r="U669" s="434" t="s">
        <v>573</v>
      </c>
      <c r="V669" s="436" t="n">
        <f aca="false">AY674</f>
        <v>0</v>
      </c>
    </row>
    <row r="670" customFormat="false" ht="13.5" hidden="false" customHeight="false" outlineLevel="0" collapsed="false">
      <c r="A670" s="424"/>
      <c r="B670" s="424"/>
      <c r="C670" s="424"/>
      <c r="D670" s="424"/>
      <c r="E670" s="424"/>
      <c r="F670" s="424"/>
      <c r="G670" s="424"/>
      <c r="H670" s="424"/>
      <c r="I670" s="424"/>
      <c r="J670" s="424"/>
      <c r="K670" s="424"/>
      <c r="L670" s="424"/>
      <c r="M670" s="424"/>
      <c r="N670" s="424"/>
      <c r="O670" s="424"/>
      <c r="P670" s="424"/>
      <c r="Q670" s="435" t="n">
        <v>54</v>
      </c>
      <c r="R670" s="434" t="s">
        <v>574</v>
      </c>
      <c r="S670" s="424"/>
      <c r="T670" s="434" t="s">
        <v>575</v>
      </c>
      <c r="U670" s="434" t="s">
        <v>576</v>
      </c>
      <c r="V670" s="436" t="n">
        <f aca="false">AY675</f>
        <v>0</v>
      </c>
    </row>
    <row r="671" customFormat="false" ht="13.5" hidden="false" customHeight="false" outlineLevel="0" collapsed="false">
      <c r="A671" s="424"/>
      <c r="B671" s="424"/>
      <c r="C671" s="424"/>
      <c r="D671" s="424"/>
      <c r="E671" s="424"/>
      <c r="F671" s="424"/>
      <c r="G671" s="424"/>
      <c r="H671" s="424"/>
      <c r="I671" s="424"/>
      <c r="J671" s="424"/>
      <c r="K671" s="424"/>
      <c r="L671" s="424"/>
      <c r="M671" s="424"/>
      <c r="N671" s="424"/>
      <c r="O671" s="424"/>
      <c r="P671" s="424"/>
      <c r="Q671" s="435" t="n">
        <v>55</v>
      </c>
      <c r="R671" s="434" t="s">
        <v>577</v>
      </c>
      <c r="S671" s="424"/>
      <c r="T671" s="434" t="s">
        <v>578</v>
      </c>
      <c r="U671" s="434" t="s">
        <v>579</v>
      </c>
      <c r="V671" s="436" t="n">
        <f aca="false">AY676</f>
        <v>0</v>
      </c>
    </row>
    <row r="672" customFormat="false" ht="13.5" hidden="false" customHeight="false" outlineLevel="0" collapsed="false">
      <c r="A672" s="424"/>
      <c r="B672" s="424"/>
      <c r="C672" s="424"/>
      <c r="D672" s="424"/>
      <c r="E672" s="424"/>
      <c r="F672" s="424"/>
      <c r="G672" s="424"/>
      <c r="H672" s="424"/>
      <c r="I672" s="424"/>
      <c r="J672" s="424"/>
      <c r="K672" s="424"/>
      <c r="L672" s="424"/>
      <c r="M672" s="424"/>
      <c r="N672" s="424"/>
      <c r="O672" s="424"/>
      <c r="P672" s="424"/>
      <c r="Q672" s="435" t="n">
        <v>56</v>
      </c>
      <c r="R672" s="434" t="s">
        <v>580</v>
      </c>
      <c r="S672" s="424"/>
      <c r="T672" s="434" t="s">
        <v>581</v>
      </c>
      <c r="U672" s="434" t="s">
        <v>582</v>
      </c>
      <c r="V672" s="436" t="n">
        <f aca="false">AY677</f>
        <v>0</v>
      </c>
    </row>
    <row r="673" customFormat="false" ht="13.5" hidden="false" customHeight="false" outlineLevel="0" collapsed="false">
      <c r="A673" s="424"/>
      <c r="B673" s="424"/>
      <c r="C673" s="424"/>
      <c r="D673" s="424"/>
      <c r="E673" s="424"/>
      <c r="F673" s="424"/>
      <c r="G673" s="424"/>
      <c r="H673" s="424"/>
      <c r="I673" s="424"/>
      <c r="J673" s="424"/>
      <c r="K673" s="424"/>
      <c r="L673" s="424"/>
      <c r="M673" s="424"/>
      <c r="N673" s="424"/>
      <c r="O673" s="424"/>
      <c r="P673" s="424"/>
      <c r="Q673" s="435" t="n">
        <v>57</v>
      </c>
      <c r="R673" s="434" t="s">
        <v>583</v>
      </c>
      <c r="S673" s="424"/>
      <c r="T673" s="434" t="s">
        <v>584</v>
      </c>
      <c r="U673" s="434" t="s">
        <v>585</v>
      </c>
      <c r="V673" s="436" t="n">
        <f aca="false">AY678</f>
        <v>0</v>
      </c>
    </row>
    <row r="674" customFormat="false" ht="13.5" hidden="false" customHeight="false" outlineLevel="0" collapsed="false">
      <c r="A674" s="424"/>
      <c r="B674" s="424"/>
      <c r="C674" s="424"/>
      <c r="D674" s="424"/>
      <c r="E674" s="424"/>
      <c r="F674" s="424"/>
      <c r="G674" s="424"/>
      <c r="H674" s="424"/>
      <c r="I674" s="424"/>
      <c r="J674" s="424"/>
      <c r="K674" s="424"/>
      <c r="L674" s="424"/>
      <c r="M674" s="424"/>
      <c r="N674" s="424"/>
      <c r="O674" s="424"/>
      <c r="P674" s="424"/>
      <c r="Q674" s="435" t="n">
        <v>58</v>
      </c>
      <c r="R674" s="434" t="s">
        <v>586</v>
      </c>
      <c r="S674" s="424"/>
      <c r="T674" s="434" t="s">
        <v>587</v>
      </c>
      <c r="U674" s="434" t="s">
        <v>588</v>
      </c>
      <c r="V674" s="436" t="n">
        <f aca="false">AY679</f>
        <v>0</v>
      </c>
    </row>
    <row r="675" customFormat="false" ht="13.5" hidden="false" customHeight="false" outlineLevel="0" collapsed="false">
      <c r="A675" s="424"/>
      <c r="B675" s="424"/>
      <c r="C675" s="424"/>
      <c r="D675" s="424"/>
      <c r="E675" s="424"/>
      <c r="F675" s="424"/>
      <c r="G675" s="424"/>
      <c r="H675" s="424"/>
      <c r="I675" s="424"/>
      <c r="J675" s="424"/>
      <c r="K675" s="424"/>
      <c r="L675" s="424"/>
      <c r="M675" s="424"/>
      <c r="N675" s="424"/>
      <c r="O675" s="424"/>
      <c r="P675" s="424"/>
      <c r="Q675" s="435" t="n">
        <v>59</v>
      </c>
      <c r="R675" s="434" t="s">
        <v>589</v>
      </c>
      <c r="S675" s="424"/>
      <c r="T675" s="434" t="s">
        <v>590</v>
      </c>
      <c r="U675" s="434" t="s">
        <v>591</v>
      </c>
      <c r="V675" s="436" t="n">
        <f aca="false">AY680</f>
        <v>0</v>
      </c>
    </row>
    <row r="676" customFormat="false" ht="13.5" hidden="false" customHeight="false" outlineLevel="0" collapsed="false">
      <c r="A676" s="424"/>
      <c r="B676" s="424"/>
      <c r="C676" s="424"/>
      <c r="D676" s="424"/>
      <c r="E676" s="424"/>
      <c r="F676" s="424"/>
      <c r="G676" s="424"/>
      <c r="H676" s="424"/>
      <c r="I676" s="424"/>
      <c r="J676" s="424"/>
      <c r="K676" s="424"/>
      <c r="L676" s="424"/>
      <c r="M676" s="424"/>
      <c r="N676" s="424"/>
      <c r="O676" s="424"/>
      <c r="P676" s="424"/>
      <c r="Q676" s="435" t="n">
        <v>60</v>
      </c>
      <c r="R676" s="434" t="s">
        <v>592</v>
      </c>
      <c r="S676" s="424"/>
      <c r="T676" s="434" t="s">
        <v>593</v>
      </c>
      <c r="U676" s="434" t="s">
        <v>594</v>
      </c>
      <c r="V676" s="436" t="n">
        <f aca="false">AY681</f>
        <v>0</v>
      </c>
    </row>
    <row r="677" customFormat="false" ht="13.5" hidden="false" customHeight="false" outlineLevel="0" collapsed="false">
      <c r="A677" s="424"/>
      <c r="B677" s="424"/>
      <c r="C677" s="424"/>
      <c r="D677" s="424"/>
      <c r="E677" s="424"/>
      <c r="F677" s="424"/>
      <c r="G677" s="424"/>
      <c r="H677" s="424"/>
      <c r="I677" s="424"/>
      <c r="J677" s="424"/>
      <c r="K677" s="424"/>
      <c r="L677" s="424"/>
      <c r="M677" s="424"/>
      <c r="N677" s="424"/>
      <c r="O677" s="424"/>
      <c r="P677" s="424"/>
      <c r="Q677" s="435" t="n">
        <v>61</v>
      </c>
      <c r="R677" s="434" t="s">
        <v>595</v>
      </c>
      <c r="S677" s="424"/>
      <c r="T677" s="434" t="s">
        <v>596</v>
      </c>
      <c r="U677" s="434" t="s">
        <v>597</v>
      </c>
      <c r="V677" s="436" t="n">
        <f aca="false">AY682</f>
        <v>0</v>
      </c>
    </row>
    <row r="678" customFormat="false" ht="13.5" hidden="false" customHeight="false" outlineLevel="0" collapsed="false">
      <c r="A678" s="424"/>
      <c r="B678" s="424"/>
      <c r="C678" s="424"/>
      <c r="D678" s="424"/>
      <c r="E678" s="424"/>
      <c r="F678" s="424"/>
      <c r="G678" s="424"/>
      <c r="H678" s="424"/>
      <c r="I678" s="424"/>
      <c r="J678" s="424"/>
      <c r="K678" s="424"/>
      <c r="L678" s="424"/>
      <c r="M678" s="424"/>
      <c r="N678" s="424"/>
      <c r="O678" s="424"/>
      <c r="P678" s="424"/>
      <c r="Q678" s="435" t="n">
        <v>62</v>
      </c>
      <c r="R678" s="434" t="s">
        <v>598</v>
      </c>
      <c r="S678" s="424"/>
      <c r="T678" s="434" t="s">
        <v>599</v>
      </c>
      <c r="U678" s="434" t="s">
        <v>600</v>
      </c>
      <c r="V678" s="436" t="n">
        <f aca="false">AY683</f>
        <v>0</v>
      </c>
    </row>
    <row r="679" customFormat="false" ht="13.5" hidden="false" customHeight="false" outlineLevel="0" collapsed="false">
      <c r="A679" s="424"/>
      <c r="B679" s="424"/>
      <c r="C679" s="424"/>
      <c r="D679" s="424"/>
      <c r="E679" s="424"/>
      <c r="F679" s="424"/>
      <c r="G679" s="424"/>
      <c r="H679" s="424"/>
      <c r="I679" s="424"/>
      <c r="J679" s="424"/>
      <c r="K679" s="424"/>
      <c r="L679" s="424"/>
      <c r="M679" s="424"/>
      <c r="N679" s="424"/>
      <c r="O679" s="424"/>
      <c r="P679" s="424"/>
      <c r="Q679" s="435" t="n">
        <v>63</v>
      </c>
      <c r="R679" s="434" t="s">
        <v>601</v>
      </c>
      <c r="S679" s="424"/>
      <c r="T679" s="434" t="s">
        <v>602</v>
      </c>
      <c r="U679" s="434" t="s">
        <v>603</v>
      </c>
      <c r="V679" s="436" t="n">
        <f aca="false">AY684</f>
        <v>0</v>
      </c>
    </row>
    <row r="680" customFormat="false" ht="13.5" hidden="false" customHeight="false" outlineLevel="0" collapsed="false">
      <c r="A680" s="424"/>
      <c r="B680" s="424"/>
      <c r="C680" s="424"/>
      <c r="D680" s="424"/>
      <c r="E680" s="424"/>
      <c r="F680" s="424"/>
      <c r="G680" s="424"/>
      <c r="H680" s="424"/>
      <c r="I680" s="424"/>
      <c r="J680" s="424"/>
      <c r="K680" s="424"/>
      <c r="L680" s="424"/>
      <c r="M680" s="424"/>
      <c r="N680" s="424"/>
      <c r="O680" s="424"/>
      <c r="P680" s="424"/>
      <c r="Q680" s="435" t="n">
        <v>64</v>
      </c>
      <c r="R680" s="434" t="s">
        <v>604</v>
      </c>
      <c r="S680" s="424"/>
      <c r="T680" s="434" t="s">
        <v>605</v>
      </c>
      <c r="U680" s="434" t="s">
        <v>606</v>
      </c>
      <c r="V680" s="436" t="n">
        <f aca="false">AY685</f>
        <v>0</v>
      </c>
    </row>
    <row r="681" customFormat="false" ht="13.5" hidden="false" customHeight="false" outlineLevel="0" collapsed="false">
      <c r="A681" s="424"/>
      <c r="B681" s="424"/>
      <c r="C681" s="424"/>
      <c r="D681" s="424"/>
      <c r="E681" s="424"/>
      <c r="F681" s="424"/>
      <c r="G681" s="424"/>
      <c r="H681" s="424"/>
      <c r="I681" s="424"/>
      <c r="J681" s="424"/>
      <c r="K681" s="424"/>
      <c r="L681" s="424"/>
      <c r="M681" s="424"/>
      <c r="N681" s="424"/>
      <c r="O681" s="424"/>
      <c r="P681" s="424"/>
      <c r="Q681" s="435" t="n">
        <v>65</v>
      </c>
      <c r="R681" s="434" t="s">
        <v>607</v>
      </c>
      <c r="S681" s="424"/>
      <c r="T681" s="434" t="s">
        <v>608</v>
      </c>
      <c r="U681" s="434" t="s">
        <v>609</v>
      </c>
      <c r="V681" s="436" t="n">
        <f aca="false">AY686</f>
        <v>0</v>
      </c>
    </row>
    <row r="682" customFormat="false" ht="13.5" hidden="false" customHeight="false" outlineLevel="0" collapsed="false">
      <c r="A682" s="424"/>
      <c r="B682" s="424"/>
      <c r="C682" s="424"/>
      <c r="D682" s="424"/>
      <c r="E682" s="424"/>
      <c r="F682" s="424"/>
      <c r="G682" s="424"/>
      <c r="H682" s="424"/>
      <c r="I682" s="424"/>
      <c r="J682" s="424"/>
      <c r="K682" s="424"/>
      <c r="L682" s="424"/>
      <c r="M682" s="424"/>
      <c r="N682" s="424"/>
      <c r="O682" s="424"/>
      <c r="P682" s="424"/>
      <c r="Q682" s="435" t="n">
        <v>66</v>
      </c>
      <c r="R682" s="434" t="s">
        <v>610</v>
      </c>
      <c r="S682" s="424"/>
      <c r="T682" s="434" t="s">
        <v>611</v>
      </c>
      <c r="U682" s="434" t="s">
        <v>612</v>
      </c>
      <c r="V682" s="436" t="n">
        <f aca="false">AY687</f>
        <v>0</v>
      </c>
    </row>
    <row r="683" customFormat="false" ht="13.5" hidden="false" customHeight="false" outlineLevel="0" collapsed="false">
      <c r="A683" s="424"/>
      <c r="B683" s="424"/>
      <c r="C683" s="424"/>
      <c r="D683" s="424"/>
      <c r="E683" s="424"/>
      <c r="F683" s="424"/>
      <c r="G683" s="424"/>
      <c r="H683" s="424"/>
      <c r="I683" s="424"/>
      <c r="J683" s="424"/>
      <c r="K683" s="424"/>
      <c r="L683" s="424"/>
      <c r="M683" s="424"/>
      <c r="N683" s="424"/>
      <c r="O683" s="424"/>
      <c r="P683" s="424"/>
      <c r="Q683" s="435" t="n">
        <v>67</v>
      </c>
      <c r="R683" s="434" t="s">
        <v>613</v>
      </c>
      <c r="S683" s="424"/>
      <c r="T683" s="434" t="s">
        <v>614</v>
      </c>
      <c r="U683" s="434" t="s">
        <v>615</v>
      </c>
      <c r="V683" s="436" t="n">
        <f aca="false">AY688</f>
        <v>0</v>
      </c>
    </row>
    <row r="684" customFormat="false" ht="13.5" hidden="false" customHeight="false" outlineLevel="0" collapsed="false">
      <c r="A684" s="424"/>
      <c r="B684" s="424"/>
      <c r="C684" s="424"/>
      <c r="D684" s="424"/>
      <c r="E684" s="424"/>
      <c r="F684" s="424"/>
      <c r="G684" s="424"/>
      <c r="H684" s="424"/>
      <c r="I684" s="424"/>
      <c r="J684" s="424"/>
      <c r="K684" s="424"/>
      <c r="L684" s="424"/>
      <c r="M684" s="424"/>
      <c r="N684" s="424"/>
      <c r="O684" s="424"/>
      <c r="P684" s="424"/>
      <c r="Q684" s="435" t="n">
        <v>68</v>
      </c>
      <c r="R684" s="434" t="s">
        <v>616</v>
      </c>
      <c r="S684" s="424"/>
      <c r="T684" s="434" t="s">
        <v>617</v>
      </c>
      <c r="U684" s="434" t="s">
        <v>618</v>
      </c>
      <c r="V684" s="436" t="n">
        <f aca="false">AY689</f>
        <v>0</v>
      </c>
    </row>
    <row r="685" customFormat="false" ht="13.5" hidden="false" customHeight="false" outlineLevel="0" collapsed="false">
      <c r="A685" s="424"/>
      <c r="B685" s="424"/>
      <c r="C685" s="424"/>
      <c r="D685" s="424"/>
      <c r="E685" s="424"/>
      <c r="F685" s="424"/>
      <c r="G685" s="424"/>
      <c r="H685" s="424"/>
      <c r="I685" s="424"/>
      <c r="J685" s="424"/>
      <c r="K685" s="424"/>
      <c r="L685" s="424"/>
      <c r="M685" s="424"/>
      <c r="N685" s="424"/>
      <c r="O685" s="424"/>
      <c r="P685" s="424"/>
      <c r="Q685" s="435" t="n">
        <v>69</v>
      </c>
      <c r="R685" s="434" t="s">
        <v>619</v>
      </c>
      <c r="S685" s="424"/>
      <c r="T685" s="434" t="s">
        <v>620</v>
      </c>
      <c r="U685" s="434" t="s">
        <v>621</v>
      </c>
      <c r="V685" s="436" t="n">
        <f aca="false">AY690</f>
        <v>0</v>
      </c>
    </row>
    <row r="686" customFormat="false" ht="13.5" hidden="false" customHeight="false" outlineLevel="0" collapsed="false">
      <c r="A686" s="424"/>
      <c r="B686" s="424"/>
      <c r="C686" s="424"/>
      <c r="D686" s="424"/>
      <c r="E686" s="424"/>
      <c r="F686" s="424"/>
      <c r="G686" s="424"/>
      <c r="H686" s="424"/>
      <c r="I686" s="424"/>
      <c r="J686" s="424"/>
      <c r="K686" s="424"/>
      <c r="L686" s="424"/>
      <c r="M686" s="424"/>
      <c r="N686" s="424"/>
      <c r="O686" s="424"/>
      <c r="P686" s="424"/>
      <c r="Q686" s="435" t="n">
        <v>70</v>
      </c>
      <c r="R686" s="434" t="s">
        <v>622</v>
      </c>
      <c r="S686" s="424"/>
      <c r="T686" s="434" t="s">
        <v>623</v>
      </c>
      <c r="U686" s="434" t="s">
        <v>624</v>
      </c>
      <c r="V686" s="436" t="n">
        <f aca="false">AY691</f>
        <v>0</v>
      </c>
    </row>
    <row r="687" customFormat="false" ht="13.5" hidden="false" customHeight="false" outlineLevel="0" collapsed="false">
      <c r="A687" s="424"/>
      <c r="B687" s="424"/>
      <c r="C687" s="424"/>
      <c r="D687" s="424"/>
      <c r="E687" s="424"/>
      <c r="F687" s="424"/>
      <c r="G687" s="424"/>
      <c r="H687" s="424"/>
      <c r="I687" s="424"/>
      <c r="J687" s="424"/>
      <c r="K687" s="424"/>
      <c r="L687" s="424"/>
      <c r="M687" s="424"/>
      <c r="N687" s="424"/>
      <c r="O687" s="424"/>
      <c r="P687" s="424"/>
      <c r="Q687" s="435" t="n">
        <v>71</v>
      </c>
      <c r="R687" s="434" t="s">
        <v>625</v>
      </c>
      <c r="S687" s="424"/>
      <c r="T687" s="434" t="s">
        <v>626</v>
      </c>
      <c r="U687" s="434" t="s">
        <v>627</v>
      </c>
      <c r="V687" s="436" t="n">
        <f aca="false">AY692</f>
        <v>0</v>
      </c>
    </row>
    <row r="688" customFormat="false" ht="13.5" hidden="false" customHeight="false" outlineLevel="0" collapsed="false">
      <c r="A688" s="424"/>
      <c r="B688" s="424"/>
      <c r="C688" s="424"/>
      <c r="D688" s="424"/>
      <c r="E688" s="424"/>
      <c r="F688" s="424"/>
      <c r="G688" s="424"/>
      <c r="H688" s="424"/>
      <c r="I688" s="424"/>
      <c r="J688" s="424"/>
      <c r="K688" s="424"/>
      <c r="L688" s="424"/>
      <c r="M688" s="424"/>
      <c r="N688" s="424"/>
      <c r="O688" s="424"/>
      <c r="P688" s="424"/>
      <c r="Q688" s="435" t="n">
        <v>72</v>
      </c>
      <c r="R688" s="434" t="s">
        <v>628</v>
      </c>
      <c r="S688" s="424"/>
      <c r="T688" s="434" t="s">
        <v>629</v>
      </c>
      <c r="U688" s="434" t="s">
        <v>630</v>
      </c>
      <c r="V688" s="436" t="n">
        <f aca="false">AY693</f>
        <v>0</v>
      </c>
    </row>
    <row r="689" customFormat="false" ht="13.5" hidden="false" customHeight="false" outlineLevel="0" collapsed="false">
      <c r="A689" s="424"/>
      <c r="B689" s="424"/>
      <c r="C689" s="424"/>
      <c r="D689" s="424"/>
      <c r="E689" s="424"/>
      <c r="F689" s="424"/>
      <c r="G689" s="424"/>
      <c r="H689" s="424"/>
      <c r="I689" s="424"/>
      <c r="J689" s="424"/>
      <c r="K689" s="424"/>
      <c r="L689" s="424"/>
      <c r="M689" s="424"/>
      <c r="N689" s="424"/>
      <c r="O689" s="424"/>
      <c r="P689" s="424"/>
      <c r="Q689" s="435" t="n">
        <v>73</v>
      </c>
      <c r="R689" s="434" t="s">
        <v>631</v>
      </c>
      <c r="S689" s="424"/>
      <c r="T689" s="434" t="s">
        <v>632</v>
      </c>
      <c r="U689" s="434" t="s">
        <v>633</v>
      </c>
      <c r="V689" s="436" t="n">
        <f aca="false">AY694</f>
        <v>0</v>
      </c>
    </row>
    <row r="690" customFormat="false" ht="13.5" hidden="false" customHeight="false" outlineLevel="0" collapsed="false">
      <c r="A690" s="424"/>
      <c r="B690" s="424"/>
      <c r="C690" s="424"/>
      <c r="D690" s="424"/>
      <c r="E690" s="424"/>
      <c r="F690" s="424"/>
      <c r="G690" s="424"/>
      <c r="H690" s="424"/>
      <c r="I690" s="424"/>
      <c r="J690" s="424"/>
      <c r="K690" s="424"/>
      <c r="L690" s="424"/>
      <c r="M690" s="424"/>
      <c r="N690" s="424"/>
      <c r="O690" s="424"/>
      <c r="P690" s="424"/>
      <c r="Q690" s="435" t="n">
        <v>74</v>
      </c>
      <c r="R690" s="434" t="s">
        <v>634</v>
      </c>
      <c r="S690" s="424"/>
      <c r="T690" s="434" t="s">
        <v>635</v>
      </c>
      <c r="U690" s="434" t="s">
        <v>636</v>
      </c>
      <c r="V690" s="436" t="n">
        <f aca="false">AY695</f>
        <v>0</v>
      </c>
    </row>
    <row r="691" customFormat="false" ht="13.5" hidden="false" customHeight="false" outlineLevel="0" collapsed="false">
      <c r="A691" s="424"/>
      <c r="B691" s="424"/>
      <c r="C691" s="424"/>
      <c r="D691" s="424"/>
      <c r="E691" s="424"/>
      <c r="F691" s="424"/>
      <c r="G691" s="424"/>
      <c r="H691" s="424"/>
      <c r="I691" s="424"/>
      <c r="J691" s="424"/>
      <c r="K691" s="424"/>
      <c r="L691" s="424"/>
      <c r="M691" s="424"/>
      <c r="N691" s="424"/>
      <c r="O691" s="424"/>
      <c r="P691" s="424"/>
      <c r="Q691" s="435" t="n">
        <v>75</v>
      </c>
      <c r="R691" s="434" t="s">
        <v>637</v>
      </c>
      <c r="S691" s="424"/>
      <c r="T691" s="434" t="s">
        <v>638</v>
      </c>
      <c r="U691" s="434" t="s">
        <v>639</v>
      </c>
      <c r="V691" s="436" t="n">
        <f aca="false">AY696</f>
        <v>0</v>
      </c>
    </row>
    <row r="692" customFormat="false" ht="13.5" hidden="false" customHeight="false" outlineLevel="0" collapsed="false">
      <c r="A692" s="424"/>
      <c r="B692" s="424"/>
      <c r="C692" s="424"/>
      <c r="D692" s="424"/>
      <c r="E692" s="424"/>
      <c r="F692" s="424"/>
      <c r="G692" s="424"/>
      <c r="H692" s="424"/>
      <c r="I692" s="424"/>
      <c r="J692" s="424"/>
      <c r="K692" s="424"/>
      <c r="L692" s="424"/>
      <c r="M692" s="424"/>
      <c r="N692" s="424"/>
      <c r="O692" s="424"/>
      <c r="P692" s="424"/>
      <c r="Q692" s="435" t="n">
        <v>76</v>
      </c>
      <c r="R692" s="434" t="s">
        <v>640</v>
      </c>
      <c r="S692" s="424"/>
      <c r="T692" s="434" t="s">
        <v>641</v>
      </c>
      <c r="U692" s="434" t="s">
        <v>642</v>
      </c>
      <c r="V692" s="436" t="n">
        <f aca="false">AY697</f>
        <v>0</v>
      </c>
    </row>
    <row r="693" customFormat="false" ht="13.5" hidden="false" customHeight="false" outlineLevel="0" collapsed="false">
      <c r="A693" s="424"/>
      <c r="B693" s="424"/>
      <c r="C693" s="424"/>
      <c r="D693" s="424"/>
      <c r="E693" s="424"/>
      <c r="F693" s="424"/>
      <c r="G693" s="424"/>
      <c r="H693" s="424"/>
      <c r="I693" s="424"/>
      <c r="J693" s="424"/>
      <c r="K693" s="424"/>
      <c r="L693" s="424"/>
      <c r="M693" s="424"/>
      <c r="N693" s="424"/>
      <c r="O693" s="424"/>
      <c r="P693" s="424"/>
      <c r="Q693" s="435" t="n">
        <v>77</v>
      </c>
      <c r="R693" s="434" t="s">
        <v>643</v>
      </c>
      <c r="S693" s="424"/>
      <c r="T693" s="434" t="s">
        <v>644</v>
      </c>
      <c r="U693" s="434" t="s">
        <v>645</v>
      </c>
      <c r="V693" s="436" t="n">
        <f aca="false">AY698</f>
        <v>0</v>
      </c>
    </row>
    <row r="694" customFormat="false" ht="13.5" hidden="false" customHeight="false" outlineLevel="0" collapsed="false">
      <c r="A694" s="424"/>
      <c r="B694" s="424"/>
      <c r="C694" s="424"/>
      <c r="D694" s="424"/>
      <c r="E694" s="424"/>
      <c r="F694" s="424"/>
      <c r="G694" s="424"/>
      <c r="H694" s="424"/>
      <c r="I694" s="424"/>
      <c r="J694" s="424"/>
      <c r="K694" s="424"/>
      <c r="L694" s="424"/>
      <c r="M694" s="424"/>
      <c r="N694" s="424"/>
      <c r="O694" s="424"/>
      <c r="P694" s="424"/>
      <c r="Q694" s="435" t="n">
        <v>78</v>
      </c>
      <c r="R694" s="434" t="s">
        <v>646</v>
      </c>
      <c r="S694" s="424"/>
      <c r="T694" s="434" t="s">
        <v>647</v>
      </c>
      <c r="U694" s="434" t="s">
        <v>648</v>
      </c>
      <c r="V694" s="436" t="n">
        <f aca="false">AY699</f>
        <v>0</v>
      </c>
    </row>
    <row r="695" customFormat="false" ht="13.5" hidden="false" customHeight="false" outlineLevel="0" collapsed="false">
      <c r="A695" s="424"/>
      <c r="B695" s="424"/>
      <c r="C695" s="424"/>
      <c r="D695" s="424"/>
      <c r="E695" s="424"/>
      <c r="F695" s="424"/>
      <c r="G695" s="424"/>
      <c r="H695" s="424"/>
      <c r="I695" s="424"/>
      <c r="J695" s="424"/>
      <c r="K695" s="424"/>
      <c r="L695" s="424"/>
      <c r="M695" s="424"/>
      <c r="N695" s="424"/>
      <c r="O695" s="424"/>
      <c r="P695" s="424"/>
      <c r="Q695" s="435" t="n">
        <v>79</v>
      </c>
      <c r="R695" s="434" t="s">
        <v>649</v>
      </c>
      <c r="S695" s="424"/>
      <c r="T695" s="434" t="s">
        <v>650</v>
      </c>
      <c r="U695" s="434" t="s">
        <v>651</v>
      </c>
      <c r="V695" s="436" t="n">
        <f aca="false">AY700</f>
        <v>0</v>
      </c>
    </row>
    <row r="696" customFormat="false" ht="13.5" hidden="false" customHeight="false" outlineLevel="0" collapsed="false">
      <c r="A696" s="424"/>
      <c r="B696" s="424"/>
      <c r="C696" s="424"/>
      <c r="D696" s="424"/>
      <c r="E696" s="424"/>
      <c r="F696" s="424"/>
      <c r="G696" s="424"/>
      <c r="H696" s="424"/>
      <c r="I696" s="424"/>
      <c r="J696" s="424"/>
      <c r="K696" s="424"/>
      <c r="L696" s="424"/>
      <c r="M696" s="424"/>
      <c r="N696" s="424"/>
      <c r="O696" s="424"/>
      <c r="P696" s="424"/>
      <c r="Q696" s="435" t="n">
        <v>80</v>
      </c>
      <c r="R696" s="434" t="s">
        <v>652</v>
      </c>
      <c r="S696" s="424"/>
      <c r="T696" s="434" t="s">
        <v>653</v>
      </c>
      <c r="U696" s="434" t="s">
        <v>654</v>
      </c>
      <c r="V696" s="436" t="n">
        <f aca="false">AY701</f>
        <v>0</v>
      </c>
    </row>
    <row r="697" customFormat="false" ht="13.5" hidden="false" customHeight="false" outlineLevel="0" collapsed="false">
      <c r="A697" s="424"/>
      <c r="B697" s="424"/>
      <c r="C697" s="424"/>
      <c r="D697" s="424"/>
      <c r="E697" s="424"/>
      <c r="F697" s="424"/>
      <c r="G697" s="424"/>
      <c r="H697" s="424"/>
      <c r="I697" s="424"/>
      <c r="J697" s="424"/>
      <c r="K697" s="424"/>
      <c r="L697" s="424"/>
      <c r="M697" s="424"/>
      <c r="N697" s="424"/>
      <c r="O697" s="424"/>
      <c r="P697" s="424"/>
      <c r="Q697" s="435" t="n">
        <v>81</v>
      </c>
      <c r="R697" s="434" t="s">
        <v>655</v>
      </c>
      <c r="S697" s="424"/>
      <c r="T697" s="434" t="s">
        <v>656</v>
      </c>
      <c r="U697" s="434" t="s">
        <v>657</v>
      </c>
      <c r="V697" s="436" t="n">
        <f aca="false">AY702</f>
        <v>0</v>
      </c>
    </row>
    <row r="698" customFormat="false" ht="13.5" hidden="false" customHeight="false" outlineLevel="0" collapsed="false">
      <c r="A698" s="424"/>
      <c r="B698" s="424"/>
      <c r="C698" s="424"/>
      <c r="D698" s="424"/>
      <c r="E698" s="424"/>
      <c r="F698" s="424"/>
      <c r="G698" s="424"/>
      <c r="H698" s="424"/>
      <c r="I698" s="424"/>
      <c r="J698" s="424"/>
      <c r="K698" s="424"/>
      <c r="L698" s="424"/>
      <c r="M698" s="424"/>
      <c r="N698" s="424"/>
      <c r="O698" s="424"/>
      <c r="P698" s="424"/>
      <c r="Q698" s="435" t="n">
        <v>82</v>
      </c>
      <c r="R698" s="434" t="s">
        <v>658</v>
      </c>
      <c r="S698" s="424"/>
      <c r="T698" s="434" t="s">
        <v>659</v>
      </c>
      <c r="U698" s="434" t="s">
        <v>660</v>
      </c>
      <c r="V698" s="436" t="n">
        <f aca="false">AY703</f>
        <v>0</v>
      </c>
    </row>
    <row r="699" customFormat="false" ht="13.5" hidden="false" customHeight="false" outlineLevel="0" collapsed="false">
      <c r="A699" s="424"/>
      <c r="B699" s="424"/>
      <c r="C699" s="424"/>
      <c r="D699" s="424"/>
      <c r="E699" s="424"/>
      <c r="F699" s="424"/>
      <c r="G699" s="424"/>
      <c r="H699" s="424"/>
      <c r="I699" s="424"/>
      <c r="J699" s="424"/>
      <c r="K699" s="424"/>
      <c r="L699" s="424"/>
      <c r="M699" s="424"/>
      <c r="N699" s="424"/>
      <c r="O699" s="424"/>
      <c r="P699" s="424"/>
      <c r="Q699" s="435" t="n">
        <v>83</v>
      </c>
      <c r="R699" s="434" t="s">
        <v>661</v>
      </c>
      <c r="S699" s="424"/>
      <c r="T699" s="434" t="s">
        <v>662</v>
      </c>
      <c r="U699" s="434" t="s">
        <v>663</v>
      </c>
      <c r="V699" s="436" t="n">
        <f aca="false">AY704</f>
        <v>0</v>
      </c>
    </row>
    <row r="700" customFormat="false" ht="13.5" hidden="false" customHeight="false" outlineLevel="0" collapsed="false">
      <c r="A700" s="424"/>
      <c r="B700" s="424"/>
      <c r="C700" s="424"/>
      <c r="D700" s="424"/>
      <c r="E700" s="424"/>
      <c r="F700" s="424"/>
      <c r="G700" s="424"/>
      <c r="H700" s="424"/>
      <c r="I700" s="424"/>
      <c r="J700" s="424"/>
      <c r="K700" s="424"/>
      <c r="L700" s="424"/>
      <c r="M700" s="424"/>
      <c r="N700" s="424"/>
      <c r="O700" s="424"/>
      <c r="P700" s="424"/>
      <c r="Q700" s="435" t="n">
        <v>84</v>
      </c>
      <c r="R700" s="434" t="s">
        <v>664</v>
      </c>
      <c r="S700" s="424"/>
      <c r="T700" s="434" t="s">
        <v>665</v>
      </c>
      <c r="U700" s="434" t="s">
        <v>666</v>
      </c>
      <c r="V700" s="436" t="n">
        <f aca="false">AY705</f>
        <v>0</v>
      </c>
    </row>
    <row r="701" customFormat="false" ht="13.5" hidden="false" customHeight="false" outlineLevel="0" collapsed="false">
      <c r="A701" s="424"/>
      <c r="B701" s="424"/>
      <c r="C701" s="424"/>
      <c r="D701" s="424"/>
      <c r="E701" s="424"/>
      <c r="F701" s="424"/>
      <c r="G701" s="424"/>
      <c r="H701" s="424"/>
      <c r="I701" s="424"/>
      <c r="J701" s="424"/>
      <c r="K701" s="424"/>
      <c r="L701" s="424"/>
      <c r="M701" s="424"/>
      <c r="N701" s="424"/>
      <c r="O701" s="424"/>
      <c r="P701" s="424"/>
      <c r="Q701" s="435" t="n">
        <v>85</v>
      </c>
      <c r="R701" s="434" t="s">
        <v>667</v>
      </c>
      <c r="S701" s="424"/>
      <c r="T701" s="434" t="s">
        <v>668</v>
      </c>
      <c r="U701" s="434" t="s">
        <v>669</v>
      </c>
      <c r="V701" s="436" t="n">
        <f aca="false">AY706</f>
        <v>0</v>
      </c>
    </row>
    <row r="702" customFormat="false" ht="13.5" hidden="false" customHeight="false" outlineLevel="0" collapsed="false">
      <c r="A702" s="424"/>
      <c r="B702" s="424"/>
      <c r="C702" s="424"/>
      <c r="D702" s="424"/>
      <c r="E702" s="424"/>
      <c r="F702" s="424"/>
      <c r="G702" s="424"/>
      <c r="H702" s="424"/>
      <c r="I702" s="424"/>
      <c r="J702" s="424"/>
      <c r="K702" s="424"/>
      <c r="L702" s="424"/>
      <c r="M702" s="424"/>
      <c r="N702" s="424"/>
      <c r="O702" s="424"/>
      <c r="P702" s="424"/>
      <c r="Q702" s="435" t="n">
        <v>86</v>
      </c>
      <c r="R702" s="434" t="s">
        <v>670</v>
      </c>
      <c r="S702" s="424"/>
      <c r="T702" s="434" t="s">
        <v>671</v>
      </c>
      <c r="U702" s="434" t="s">
        <v>672</v>
      </c>
      <c r="V702" s="436" t="n">
        <f aca="false">AY707</f>
        <v>0</v>
      </c>
    </row>
    <row r="703" customFormat="false" ht="13.5" hidden="false" customHeight="false" outlineLevel="0" collapsed="false">
      <c r="A703" s="424"/>
      <c r="B703" s="424"/>
      <c r="C703" s="424"/>
      <c r="D703" s="424"/>
      <c r="E703" s="424"/>
      <c r="F703" s="424"/>
      <c r="G703" s="424"/>
      <c r="H703" s="424"/>
      <c r="I703" s="424"/>
      <c r="J703" s="424"/>
      <c r="K703" s="424"/>
      <c r="L703" s="424"/>
      <c r="M703" s="424"/>
      <c r="N703" s="424"/>
      <c r="O703" s="424"/>
      <c r="P703" s="424"/>
      <c r="Q703" s="435" t="n">
        <v>87</v>
      </c>
      <c r="R703" s="434" t="s">
        <v>673</v>
      </c>
      <c r="S703" s="424"/>
      <c r="T703" s="434" t="s">
        <v>674</v>
      </c>
      <c r="U703" s="434" t="s">
        <v>675</v>
      </c>
      <c r="V703" s="436" t="n">
        <f aca="false">AY708</f>
        <v>0</v>
      </c>
    </row>
    <row r="704" customFormat="false" ht="13.5" hidden="false" customHeight="false" outlineLevel="0" collapsed="false">
      <c r="A704" s="424"/>
      <c r="B704" s="424"/>
      <c r="C704" s="424"/>
      <c r="D704" s="424"/>
      <c r="E704" s="424"/>
      <c r="F704" s="424"/>
      <c r="G704" s="424"/>
      <c r="H704" s="424"/>
      <c r="I704" s="424"/>
      <c r="J704" s="424"/>
      <c r="K704" s="424"/>
      <c r="L704" s="424"/>
      <c r="M704" s="424"/>
      <c r="N704" s="424"/>
      <c r="O704" s="424"/>
      <c r="P704" s="424"/>
      <c r="Q704" s="435" t="n">
        <v>88</v>
      </c>
      <c r="R704" s="434" t="s">
        <v>676</v>
      </c>
      <c r="S704" s="424"/>
      <c r="T704" s="434" t="s">
        <v>677</v>
      </c>
      <c r="U704" s="434" t="s">
        <v>678</v>
      </c>
      <c r="V704" s="436" t="n">
        <f aca="false">AY709</f>
        <v>0</v>
      </c>
    </row>
    <row r="705" customFormat="false" ht="13.5" hidden="false" customHeight="false" outlineLevel="0" collapsed="false">
      <c r="A705" s="424"/>
      <c r="B705" s="424"/>
      <c r="C705" s="424"/>
      <c r="D705" s="424"/>
      <c r="E705" s="424"/>
      <c r="F705" s="424"/>
      <c r="G705" s="424"/>
      <c r="H705" s="424"/>
      <c r="I705" s="424"/>
      <c r="J705" s="424"/>
      <c r="K705" s="424"/>
      <c r="L705" s="424"/>
      <c r="M705" s="424"/>
      <c r="N705" s="424"/>
      <c r="O705" s="424"/>
      <c r="P705" s="424"/>
      <c r="Q705" s="435" t="n">
        <v>89</v>
      </c>
      <c r="R705" s="434" t="s">
        <v>679</v>
      </c>
      <c r="S705" s="424"/>
      <c r="T705" s="434" t="s">
        <v>680</v>
      </c>
      <c r="U705" s="434" t="s">
        <v>681</v>
      </c>
      <c r="V705" s="436" t="n">
        <f aca="false">AY710</f>
        <v>0</v>
      </c>
    </row>
    <row r="706" customFormat="false" ht="13.5" hidden="false" customHeight="false" outlineLevel="0" collapsed="false">
      <c r="A706" s="424"/>
      <c r="B706" s="424"/>
      <c r="C706" s="424"/>
      <c r="D706" s="424"/>
      <c r="E706" s="424"/>
      <c r="F706" s="424"/>
      <c r="G706" s="424"/>
      <c r="H706" s="424"/>
      <c r="I706" s="424"/>
      <c r="J706" s="424"/>
      <c r="K706" s="424"/>
      <c r="L706" s="424"/>
      <c r="M706" s="424"/>
      <c r="N706" s="424"/>
      <c r="O706" s="424"/>
      <c r="P706" s="424"/>
      <c r="Q706" s="435" t="n">
        <v>90</v>
      </c>
      <c r="R706" s="434" t="s">
        <v>682</v>
      </c>
      <c r="S706" s="424"/>
      <c r="T706" s="434" t="s">
        <v>683</v>
      </c>
      <c r="U706" s="434" t="s">
        <v>684</v>
      </c>
      <c r="V706" s="436" t="n">
        <f aca="false">AY711</f>
        <v>0</v>
      </c>
    </row>
    <row r="707" customFormat="false" ht="13.5" hidden="false" customHeight="false" outlineLevel="0" collapsed="false">
      <c r="A707" s="424"/>
      <c r="B707" s="424"/>
      <c r="C707" s="424"/>
      <c r="D707" s="424"/>
      <c r="E707" s="424"/>
      <c r="F707" s="424"/>
      <c r="G707" s="424"/>
      <c r="H707" s="424"/>
      <c r="I707" s="424"/>
      <c r="J707" s="424"/>
      <c r="K707" s="424"/>
      <c r="L707" s="424"/>
      <c r="M707" s="424"/>
      <c r="N707" s="424"/>
      <c r="O707" s="424"/>
      <c r="P707" s="424"/>
      <c r="Q707" s="435" t="n">
        <v>91</v>
      </c>
      <c r="R707" s="434" t="s">
        <v>685</v>
      </c>
      <c r="S707" s="424"/>
      <c r="T707" s="434" t="s">
        <v>686</v>
      </c>
      <c r="U707" s="434" t="s">
        <v>687</v>
      </c>
      <c r="V707" s="436" t="n">
        <f aca="false">AY712</f>
        <v>0</v>
      </c>
    </row>
    <row r="708" customFormat="false" ht="13.5" hidden="false" customHeight="false" outlineLevel="0" collapsed="false">
      <c r="A708" s="424"/>
      <c r="B708" s="424"/>
      <c r="C708" s="424"/>
      <c r="D708" s="424"/>
      <c r="E708" s="424"/>
      <c r="F708" s="424"/>
      <c r="G708" s="424"/>
      <c r="H708" s="424"/>
      <c r="I708" s="424"/>
      <c r="J708" s="424"/>
      <c r="K708" s="424"/>
      <c r="L708" s="424"/>
      <c r="M708" s="424"/>
      <c r="N708" s="424"/>
      <c r="O708" s="424"/>
      <c r="P708" s="424"/>
      <c r="Q708" s="435" t="n">
        <v>92</v>
      </c>
      <c r="R708" s="434" t="s">
        <v>688</v>
      </c>
      <c r="S708" s="424"/>
      <c r="T708" s="434" t="s">
        <v>689</v>
      </c>
      <c r="U708" s="434" t="s">
        <v>690</v>
      </c>
      <c r="V708" s="436" t="n">
        <f aca="false">AY713</f>
        <v>0</v>
      </c>
    </row>
    <row r="709" customFormat="false" ht="13.5" hidden="false" customHeight="false" outlineLevel="0" collapsed="false">
      <c r="A709" s="424"/>
      <c r="B709" s="424"/>
      <c r="C709" s="424"/>
      <c r="D709" s="424"/>
      <c r="E709" s="424"/>
      <c r="F709" s="424"/>
      <c r="G709" s="424"/>
      <c r="H709" s="424"/>
      <c r="I709" s="424"/>
      <c r="J709" s="424"/>
      <c r="K709" s="424"/>
      <c r="L709" s="424"/>
      <c r="M709" s="424"/>
      <c r="N709" s="424"/>
      <c r="O709" s="424"/>
      <c r="P709" s="424"/>
      <c r="Q709" s="435" t="n">
        <v>93</v>
      </c>
      <c r="R709" s="434" t="s">
        <v>691</v>
      </c>
      <c r="S709" s="424"/>
      <c r="T709" s="434" t="s">
        <v>692</v>
      </c>
      <c r="U709" s="434" t="s">
        <v>693</v>
      </c>
      <c r="V709" s="436" t="n">
        <f aca="false">AY714</f>
        <v>0</v>
      </c>
    </row>
    <row r="710" customFormat="false" ht="13.5" hidden="false" customHeight="false" outlineLevel="0" collapsed="false">
      <c r="A710" s="424"/>
      <c r="B710" s="424"/>
      <c r="C710" s="424"/>
      <c r="D710" s="424"/>
      <c r="E710" s="424"/>
      <c r="F710" s="424"/>
      <c r="G710" s="424"/>
      <c r="H710" s="424"/>
      <c r="I710" s="424"/>
      <c r="J710" s="424"/>
      <c r="K710" s="424"/>
      <c r="L710" s="424"/>
      <c r="M710" s="424"/>
      <c r="N710" s="424"/>
      <c r="O710" s="424"/>
      <c r="P710" s="424"/>
      <c r="Q710" s="435" t="n">
        <v>94</v>
      </c>
      <c r="R710" s="434" t="s">
        <v>694</v>
      </c>
      <c r="S710" s="424"/>
      <c r="T710" s="434" t="s">
        <v>695</v>
      </c>
      <c r="U710" s="434" t="s">
        <v>696</v>
      </c>
      <c r="V710" s="436" t="n">
        <f aca="false">AY715</f>
        <v>0</v>
      </c>
    </row>
    <row r="711" customFormat="false" ht="13.5" hidden="false" customHeight="false" outlineLevel="0" collapsed="false">
      <c r="A711" s="424"/>
      <c r="B711" s="424"/>
      <c r="C711" s="424"/>
      <c r="D711" s="424"/>
      <c r="E711" s="424"/>
      <c r="F711" s="424"/>
      <c r="G711" s="424"/>
      <c r="H711" s="424"/>
      <c r="I711" s="424"/>
      <c r="J711" s="424"/>
      <c r="K711" s="424"/>
      <c r="L711" s="424"/>
      <c r="M711" s="424"/>
      <c r="N711" s="424"/>
      <c r="O711" s="424"/>
      <c r="P711" s="424"/>
      <c r="Q711" s="435" t="n">
        <v>95</v>
      </c>
      <c r="R711" s="434" t="s">
        <v>697</v>
      </c>
      <c r="S711" s="424"/>
      <c r="T711" s="434" t="s">
        <v>698</v>
      </c>
      <c r="U711" s="434" t="s">
        <v>699</v>
      </c>
      <c r="V711" s="436" t="n">
        <f aca="false">AY716</f>
        <v>0</v>
      </c>
    </row>
    <row r="712" customFormat="false" ht="13.5" hidden="false" customHeight="false" outlineLevel="0" collapsed="false">
      <c r="A712" s="424"/>
      <c r="B712" s="424"/>
      <c r="C712" s="424"/>
      <c r="D712" s="424"/>
      <c r="E712" s="424"/>
      <c r="F712" s="424"/>
      <c r="G712" s="424"/>
      <c r="H712" s="424"/>
      <c r="I712" s="424"/>
      <c r="J712" s="424"/>
      <c r="K712" s="424"/>
      <c r="L712" s="424"/>
      <c r="M712" s="424"/>
      <c r="N712" s="424"/>
      <c r="O712" s="424"/>
      <c r="P712" s="424"/>
      <c r="Q712" s="435" t="n">
        <v>96</v>
      </c>
      <c r="R712" s="434" t="s">
        <v>700</v>
      </c>
      <c r="S712" s="424"/>
      <c r="T712" s="434" t="s">
        <v>701</v>
      </c>
      <c r="U712" s="434" t="s">
        <v>702</v>
      </c>
      <c r="V712" s="436" t="n">
        <f aca="false">AY717</f>
        <v>0</v>
      </c>
    </row>
    <row r="713" customFormat="false" ht="13.5" hidden="false" customHeight="false" outlineLevel="0" collapsed="false">
      <c r="A713" s="424"/>
      <c r="B713" s="424"/>
      <c r="C713" s="424"/>
      <c r="D713" s="424"/>
      <c r="E713" s="424"/>
      <c r="F713" s="424"/>
      <c r="G713" s="424"/>
      <c r="H713" s="424"/>
      <c r="I713" s="424"/>
      <c r="J713" s="424"/>
      <c r="K713" s="424"/>
      <c r="L713" s="424"/>
      <c r="M713" s="424"/>
      <c r="N713" s="424"/>
      <c r="O713" s="424"/>
      <c r="P713" s="424"/>
      <c r="Q713" s="435" t="n">
        <v>97</v>
      </c>
      <c r="R713" s="434" t="s">
        <v>703</v>
      </c>
      <c r="S713" s="424"/>
      <c r="T713" s="434" t="s">
        <v>704</v>
      </c>
      <c r="U713" s="434" t="s">
        <v>705</v>
      </c>
      <c r="V713" s="436" t="n">
        <f aca="false">AY718</f>
        <v>0</v>
      </c>
    </row>
    <row r="714" customFormat="false" ht="13.5" hidden="false" customHeight="false" outlineLevel="0" collapsed="false">
      <c r="A714" s="424"/>
      <c r="B714" s="424"/>
      <c r="C714" s="424"/>
      <c r="D714" s="424"/>
      <c r="E714" s="424"/>
      <c r="F714" s="424"/>
      <c r="G714" s="424"/>
      <c r="H714" s="424"/>
      <c r="I714" s="424"/>
      <c r="J714" s="424"/>
      <c r="K714" s="424"/>
      <c r="L714" s="424"/>
      <c r="M714" s="424"/>
      <c r="N714" s="424"/>
      <c r="O714" s="424"/>
      <c r="P714" s="424"/>
      <c r="Q714" s="435" t="n">
        <v>98</v>
      </c>
      <c r="R714" s="434" t="s">
        <v>706</v>
      </c>
      <c r="S714" s="424"/>
      <c r="T714" s="434" t="s">
        <v>707</v>
      </c>
      <c r="U714" s="434" t="s">
        <v>708</v>
      </c>
      <c r="V714" s="436" t="n">
        <f aca="false">AY719</f>
        <v>0</v>
      </c>
    </row>
    <row r="715" customFormat="false" ht="13.5" hidden="false" customHeight="false" outlineLevel="0" collapsed="false">
      <c r="A715" s="424"/>
      <c r="B715" s="424"/>
      <c r="C715" s="424"/>
      <c r="D715" s="424"/>
      <c r="E715" s="424"/>
      <c r="F715" s="424"/>
      <c r="G715" s="424"/>
      <c r="H715" s="424"/>
      <c r="I715" s="424"/>
      <c r="J715" s="424"/>
      <c r="K715" s="424"/>
      <c r="L715" s="424"/>
      <c r="M715" s="424"/>
      <c r="N715" s="424"/>
      <c r="O715" s="424"/>
      <c r="P715" s="424"/>
      <c r="Q715" s="435" t="n">
        <v>99</v>
      </c>
      <c r="R715" s="434" t="s">
        <v>709</v>
      </c>
      <c r="S715" s="424"/>
      <c r="T715" s="434" t="s">
        <v>710</v>
      </c>
      <c r="U715" s="434" t="s">
        <v>711</v>
      </c>
      <c r="V715" s="436" t="n">
        <f aca="false">AY720</f>
        <v>0</v>
      </c>
    </row>
    <row r="716" customFormat="false" ht="13.5" hidden="false" customHeight="false" outlineLevel="0" collapsed="false">
      <c r="A716" s="424"/>
      <c r="B716" s="424"/>
      <c r="C716" s="424"/>
      <c r="D716" s="424"/>
      <c r="E716" s="424"/>
      <c r="F716" s="424"/>
      <c r="G716" s="424"/>
      <c r="H716" s="424"/>
      <c r="I716" s="424"/>
      <c r="J716" s="424"/>
      <c r="K716" s="424"/>
      <c r="L716" s="424"/>
      <c r="M716" s="424"/>
      <c r="N716" s="424"/>
      <c r="O716" s="424"/>
      <c r="P716" s="424"/>
      <c r="Q716" s="424"/>
      <c r="R716" s="424"/>
      <c r="S716" s="424"/>
      <c r="T716" s="424"/>
      <c r="U716" s="424"/>
      <c r="V716" s="436" t="n">
        <f aca="false">AY721</f>
        <v>0</v>
      </c>
    </row>
    <row r="717" customFormat="false" ht="13.5" hidden="false" customHeight="false" outlineLevel="0" collapsed="false">
      <c r="A717" s="424"/>
      <c r="B717" s="424"/>
      <c r="C717" s="424"/>
      <c r="D717" s="424"/>
      <c r="E717" s="424"/>
      <c r="F717" s="424"/>
      <c r="G717" s="424"/>
      <c r="H717" s="424"/>
      <c r="I717" s="424"/>
      <c r="J717" s="424"/>
      <c r="K717" s="424"/>
      <c r="L717" s="424"/>
      <c r="M717" s="424"/>
      <c r="N717" s="424"/>
      <c r="O717" s="424"/>
      <c r="P717" s="424"/>
      <c r="Q717" s="424"/>
      <c r="R717" s="424"/>
      <c r="S717" s="424"/>
      <c r="T717" s="424"/>
      <c r="U717" s="424"/>
      <c r="V717" s="436" t="n">
        <f aca="false">AY722</f>
        <v>0</v>
      </c>
    </row>
    <row r="718" customFormat="false" ht="13.5" hidden="false" customHeight="false" outlineLevel="0" collapsed="false">
      <c r="A718" s="424"/>
      <c r="B718" s="424"/>
      <c r="C718" s="424"/>
      <c r="D718" s="424"/>
      <c r="E718" s="424"/>
      <c r="F718" s="424"/>
      <c r="G718" s="424"/>
      <c r="H718" s="424"/>
      <c r="I718" s="424"/>
      <c r="J718" s="424"/>
      <c r="K718" s="424"/>
      <c r="L718" s="424"/>
      <c r="M718" s="424"/>
      <c r="N718" s="424"/>
      <c r="O718" s="424"/>
      <c r="P718" s="424"/>
      <c r="Q718" s="424"/>
      <c r="R718" s="424"/>
      <c r="S718" s="424"/>
      <c r="T718" s="424"/>
      <c r="U718" s="424"/>
      <c r="V718" s="436" t="n">
        <f aca="false">AY723</f>
        <v>0</v>
      </c>
    </row>
    <row r="719" customFormat="false" ht="13.5" hidden="false" customHeight="false" outlineLevel="0" collapsed="false">
      <c r="A719" s="424"/>
      <c r="B719" s="424"/>
      <c r="C719" s="424"/>
      <c r="D719" s="424"/>
      <c r="E719" s="424"/>
      <c r="F719" s="424"/>
      <c r="G719" s="424"/>
      <c r="H719" s="424"/>
      <c r="I719" s="424"/>
      <c r="J719" s="424"/>
      <c r="K719" s="424"/>
      <c r="L719" s="424"/>
      <c r="M719" s="424"/>
      <c r="N719" s="424"/>
      <c r="O719" s="424"/>
      <c r="P719" s="424"/>
      <c r="Q719" s="424"/>
      <c r="R719" s="424"/>
      <c r="S719" s="424"/>
      <c r="T719" s="424"/>
      <c r="U719" s="424"/>
      <c r="V719" s="436" t="n">
        <f aca="false">AY724</f>
        <v>0</v>
      </c>
    </row>
    <row r="720" customFormat="false" ht="13.5" hidden="false" customHeight="false" outlineLevel="0" collapsed="false">
      <c r="A720" s="424"/>
      <c r="B720" s="424"/>
      <c r="C720" s="424"/>
      <c r="D720" s="424"/>
      <c r="E720" s="424"/>
      <c r="F720" s="424"/>
      <c r="G720" s="424"/>
      <c r="H720" s="424"/>
      <c r="I720" s="424"/>
      <c r="J720" s="424"/>
      <c r="K720" s="424"/>
      <c r="L720" s="424"/>
      <c r="M720" s="424"/>
      <c r="N720" s="424"/>
      <c r="O720" s="424"/>
      <c r="P720" s="424"/>
      <c r="Q720" s="424"/>
      <c r="R720" s="424"/>
      <c r="S720" s="424"/>
      <c r="T720" s="424"/>
      <c r="U720" s="424"/>
      <c r="V720" s="436" t="n">
        <f aca="false">AY725</f>
        <v>0</v>
      </c>
    </row>
    <row r="721" customFormat="false" ht="13.5" hidden="false" customHeight="false" outlineLevel="0" collapsed="false">
      <c r="A721" s="424"/>
      <c r="B721" s="424"/>
      <c r="C721" s="424"/>
      <c r="D721" s="424"/>
      <c r="E721" s="424"/>
      <c r="F721" s="424"/>
      <c r="G721" s="424"/>
      <c r="H721" s="424"/>
      <c r="I721" s="424"/>
      <c r="J721" s="424"/>
      <c r="K721" s="424"/>
      <c r="L721" s="424"/>
      <c r="M721" s="424"/>
      <c r="N721" s="424"/>
      <c r="O721" s="424"/>
      <c r="P721" s="424"/>
      <c r="Q721" s="424"/>
      <c r="R721" s="424"/>
      <c r="S721" s="424"/>
      <c r="T721" s="424"/>
      <c r="U721" s="424"/>
      <c r="V721" s="436" t="n">
        <f aca="false">AY726</f>
        <v>0</v>
      </c>
    </row>
    <row r="722" customFormat="false" ht="13.5" hidden="false" customHeight="false" outlineLevel="0" collapsed="false">
      <c r="A722" s="424"/>
      <c r="B722" s="424"/>
      <c r="C722" s="424"/>
      <c r="D722" s="424"/>
      <c r="E722" s="424"/>
      <c r="F722" s="424"/>
      <c r="G722" s="424"/>
      <c r="H722" s="424"/>
      <c r="I722" s="424"/>
      <c r="J722" s="424"/>
      <c r="K722" s="424"/>
      <c r="L722" s="424"/>
      <c r="M722" s="424"/>
      <c r="N722" s="424"/>
      <c r="O722" s="424"/>
      <c r="P722" s="424"/>
      <c r="Q722" s="424"/>
      <c r="R722" s="424"/>
      <c r="S722" s="424"/>
      <c r="T722" s="424"/>
      <c r="U722" s="424"/>
      <c r="V722" s="436" t="n">
        <f aca="false">AY727</f>
        <v>0</v>
      </c>
    </row>
    <row r="723" customFormat="false" ht="13.5" hidden="false" customHeight="false" outlineLevel="0" collapsed="false">
      <c r="A723" s="424"/>
      <c r="B723" s="424"/>
      <c r="C723" s="424"/>
      <c r="D723" s="424"/>
      <c r="E723" s="424"/>
      <c r="F723" s="424"/>
      <c r="G723" s="424"/>
      <c r="H723" s="424"/>
      <c r="I723" s="424"/>
      <c r="J723" s="424"/>
      <c r="K723" s="424"/>
      <c r="L723" s="424"/>
      <c r="M723" s="424"/>
      <c r="N723" s="424"/>
      <c r="O723" s="424"/>
      <c r="P723" s="424"/>
      <c r="Q723" s="424"/>
      <c r="R723" s="424"/>
      <c r="S723" s="424"/>
      <c r="T723" s="424"/>
      <c r="U723" s="424"/>
      <c r="V723" s="436" t="n">
        <f aca="false">AY728</f>
        <v>0</v>
      </c>
    </row>
    <row r="724" customFormat="false" ht="13.5" hidden="false" customHeight="false" outlineLevel="0" collapsed="false">
      <c r="A724" s="424"/>
      <c r="B724" s="424"/>
      <c r="C724" s="424"/>
      <c r="D724" s="424"/>
      <c r="E724" s="424"/>
      <c r="F724" s="424"/>
      <c r="G724" s="424"/>
      <c r="H724" s="424"/>
      <c r="I724" s="424"/>
      <c r="J724" s="424"/>
      <c r="K724" s="424"/>
      <c r="L724" s="424"/>
      <c r="M724" s="424"/>
      <c r="N724" s="424"/>
      <c r="O724" s="424"/>
      <c r="P724" s="424"/>
      <c r="Q724" s="424"/>
      <c r="R724" s="424"/>
      <c r="S724" s="424"/>
      <c r="T724" s="424"/>
      <c r="U724" s="424"/>
      <c r="V724" s="436" t="n">
        <f aca="false">AY729</f>
        <v>0</v>
      </c>
    </row>
    <row r="725" customFormat="false" ht="13.5" hidden="false" customHeight="false" outlineLevel="0" collapsed="false">
      <c r="A725" s="424"/>
      <c r="B725" s="424"/>
      <c r="C725" s="424"/>
      <c r="D725" s="424"/>
      <c r="E725" s="424"/>
      <c r="F725" s="424"/>
      <c r="G725" s="424"/>
      <c r="H725" s="424"/>
      <c r="I725" s="424"/>
      <c r="J725" s="424"/>
      <c r="K725" s="424"/>
      <c r="L725" s="424"/>
      <c r="M725" s="424"/>
      <c r="N725" s="424"/>
      <c r="O725" s="424"/>
      <c r="P725" s="424"/>
      <c r="Q725" s="424"/>
      <c r="R725" s="424"/>
      <c r="S725" s="424"/>
      <c r="T725" s="424"/>
      <c r="U725" s="424"/>
      <c r="V725" s="436" t="n">
        <f aca="false">AY730</f>
        <v>0</v>
      </c>
    </row>
    <row r="726" customFormat="false" ht="13.5" hidden="false" customHeight="false" outlineLevel="0" collapsed="false">
      <c r="A726" s="424"/>
      <c r="B726" s="424"/>
      <c r="C726" s="424"/>
      <c r="D726" s="424"/>
      <c r="E726" s="424"/>
      <c r="F726" s="424"/>
      <c r="G726" s="424"/>
      <c r="H726" s="424"/>
      <c r="I726" s="424"/>
      <c r="J726" s="424"/>
      <c r="K726" s="424"/>
      <c r="L726" s="424"/>
      <c r="M726" s="424"/>
      <c r="N726" s="424"/>
      <c r="O726" s="424"/>
      <c r="P726" s="424"/>
      <c r="Q726" s="424"/>
      <c r="R726" s="424"/>
      <c r="S726" s="424"/>
      <c r="T726" s="424"/>
      <c r="U726" s="424"/>
      <c r="V726" s="436" t="n">
        <f aca="false">AY731</f>
        <v>0</v>
      </c>
    </row>
    <row r="727" customFormat="false" ht="13.5" hidden="false" customHeight="false" outlineLevel="0" collapsed="false">
      <c r="A727" s="424"/>
      <c r="B727" s="424"/>
      <c r="C727" s="424"/>
      <c r="D727" s="424"/>
      <c r="E727" s="424"/>
      <c r="F727" s="424"/>
      <c r="G727" s="424"/>
      <c r="H727" s="424"/>
      <c r="I727" s="424"/>
      <c r="J727" s="424"/>
      <c r="K727" s="424"/>
      <c r="L727" s="424"/>
      <c r="M727" s="424"/>
      <c r="N727" s="424"/>
      <c r="O727" s="424"/>
      <c r="P727" s="424"/>
      <c r="Q727" s="424"/>
      <c r="R727" s="424"/>
      <c r="S727" s="424"/>
      <c r="T727" s="424"/>
      <c r="U727" s="424"/>
      <c r="V727" s="436" t="n">
        <f aca="false">AY732</f>
        <v>0</v>
      </c>
    </row>
    <row r="728" customFormat="false" ht="13.5" hidden="false" customHeight="false" outlineLevel="0" collapsed="false">
      <c r="A728" s="424"/>
      <c r="B728" s="424"/>
      <c r="C728" s="424"/>
      <c r="D728" s="424"/>
      <c r="E728" s="424"/>
      <c r="F728" s="424"/>
      <c r="G728" s="424"/>
      <c r="H728" s="424"/>
      <c r="I728" s="424"/>
      <c r="J728" s="424"/>
      <c r="K728" s="424"/>
      <c r="L728" s="424"/>
      <c r="M728" s="424"/>
      <c r="N728" s="424"/>
      <c r="O728" s="424"/>
      <c r="P728" s="424"/>
      <c r="Q728" s="424"/>
      <c r="R728" s="424"/>
      <c r="S728" s="424"/>
      <c r="T728" s="424"/>
      <c r="U728" s="424"/>
      <c r="V728" s="436" t="n">
        <f aca="false">AY733</f>
        <v>0</v>
      </c>
    </row>
    <row r="729" customFormat="false" ht="13.5" hidden="false" customHeight="false" outlineLevel="0" collapsed="false">
      <c r="A729" s="424"/>
      <c r="B729" s="424"/>
      <c r="C729" s="424"/>
      <c r="D729" s="424"/>
      <c r="E729" s="424"/>
      <c r="F729" s="424"/>
      <c r="G729" s="424"/>
      <c r="H729" s="424"/>
      <c r="I729" s="424"/>
      <c r="J729" s="424"/>
      <c r="K729" s="424"/>
      <c r="L729" s="424"/>
      <c r="M729" s="424"/>
      <c r="N729" s="424"/>
      <c r="O729" s="424"/>
      <c r="P729" s="424"/>
      <c r="Q729" s="424"/>
      <c r="R729" s="424"/>
      <c r="S729" s="424"/>
      <c r="T729" s="424"/>
      <c r="U729" s="424"/>
      <c r="V729" s="436" t="n">
        <f aca="false">AY734</f>
        <v>0</v>
      </c>
    </row>
    <row r="730" customFormat="false" ht="13.5" hidden="false" customHeight="false" outlineLevel="0" collapsed="false">
      <c r="A730" s="424"/>
      <c r="B730" s="424"/>
      <c r="C730" s="424"/>
      <c r="D730" s="424"/>
      <c r="E730" s="424"/>
      <c r="F730" s="424"/>
      <c r="G730" s="424"/>
      <c r="H730" s="424"/>
      <c r="I730" s="424"/>
      <c r="J730" s="424"/>
      <c r="K730" s="424"/>
      <c r="L730" s="424"/>
      <c r="M730" s="424"/>
      <c r="N730" s="424"/>
      <c r="O730" s="424"/>
      <c r="P730" s="424"/>
      <c r="Q730" s="424"/>
      <c r="R730" s="424"/>
      <c r="S730" s="424"/>
      <c r="T730" s="424"/>
      <c r="U730" s="424"/>
      <c r="V730" s="436" t="n">
        <f aca="false">AY735</f>
        <v>0</v>
      </c>
    </row>
    <row r="731" customFormat="false" ht="13.5" hidden="false" customHeight="false" outlineLevel="0" collapsed="false">
      <c r="A731" s="424"/>
      <c r="B731" s="424"/>
      <c r="C731" s="424"/>
      <c r="D731" s="424"/>
      <c r="E731" s="424"/>
      <c r="F731" s="424"/>
      <c r="G731" s="424"/>
      <c r="H731" s="424"/>
      <c r="I731" s="424"/>
      <c r="J731" s="424"/>
      <c r="K731" s="424"/>
      <c r="L731" s="424"/>
      <c r="M731" s="424"/>
      <c r="N731" s="424"/>
      <c r="O731" s="424"/>
      <c r="P731" s="424"/>
      <c r="Q731" s="424"/>
      <c r="R731" s="424"/>
      <c r="S731" s="424"/>
      <c r="T731" s="424"/>
      <c r="U731" s="424"/>
      <c r="V731" s="436" t="n">
        <f aca="false">AY736</f>
        <v>0</v>
      </c>
    </row>
    <row r="732" customFormat="false" ht="13.5" hidden="false" customHeight="false" outlineLevel="0" collapsed="false">
      <c r="A732" s="424"/>
      <c r="B732" s="424"/>
      <c r="C732" s="424"/>
      <c r="D732" s="424"/>
      <c r="E732" s="424"/>
      <c r="F732" s="424"/>
      <c r="G732" s="424"/>
      <c r="H732" s="424"/>
      <c r="I732" s="424"/>
      <c r="J732" s="424"/>
      <c r="K732" s="424"/>
      <c r="L732" s="424"/>
      <c r="M732" s="424"/>
      <c r="N732" s="424"/>
      <c r="O732" s="424"/>
      <c r="P732" s="424"/>
      <c r="Q732" s="424"/>
      <c r="R732" s="424"/>
      <c r="S732" s="424"/>
      <c r="T732" s="424"/>
      <c r="U732" s="424"/>
      <c r="V732" s="436" t="n">
        <f aca="false">AY737</f>
        <v>0</v>
      </c>
    </row>
    <row r="733" customFormat="false" ht="13.5" hidden="false" customHeight="false" outlineLevel="0" collapsed="false">
      <c r="A733" s="424"/>
      <c r="B733" s="424"/>
      <c r="C733" s="424"/>
      <c r="D733" s="424"/>
      <c r="E733" s="424"/>
      <c r="F733" s="424"/>
      <c r="G733" s="424"/>
      <c r="H733" s="424"/>
      <c r="I733" s="424"/>
      <c r="J733" s="424"/>
      <c r="K733" s="424"/>
      <c r="L733" s="424"/>
      <c r="M733" s="424"/>
      <c r="N733" s="424"/>
      <c r="O733" s="424"/>
      <c r="P733" s="424"/>
      <c r="Q733" s="424"/>
      <c r="R733" s="424"/>
      <c r="S733" s="424"/>
      <c r="T733" s="424"/>
      <c r="U733" s="424"/>
      <c r="V733" s="436" t="n">
        <f aca="false">AY738</f>
        <v>0</v>
      </c>
    </row>
    <row r="734" customFormat="false" ht="13.5" hidden="false" customHeight="false" outlineLevel="0" collapsed="false">
      <c r="A734" s="424"/>
      <c r="B734" s="424"/>
      <c r="C734" s="424"/>
      <c r="D734" s="424"/>
      <c r="E734" s="424"/>
      <c r="F734" s="424"/>
      <c r="G734" s="424"/>
      <c r="H734" s="424"/>
      <c r="I734" s="424"/>
      <c r="J734" s="424"/>
      <c r="K734" s="424"/>
      <c r="L734" s="424"/>
      <c r="M734" s="424"/>
      <c r="N734" s="424"/>
      <c r="O734" s="424"/>
      <c r="P734" s="424"/>
      <c r="Q734" s="424"/>
      <c r="R734" s="424"/>
      <c r="S734" s="424"/>
      <c r="T734" s="424"/>
      <c r="U734" s="424"/>
      <c r="V734" s="424"/>
    </row>
    <row r="735" customFormat="false" ht="13.5" hidden="false" customHeight="false" outlineLevel="0" collapsed="false">
      <c r="A735" s="424"/>
      <c r="B735" s="424"/>
      <c r="C735" s="424"/>
      <c r="D735" s="424"/>
      <c r="E735" s="424"/>
      <c r="F735" s="424"/>
      <c r="G735" s="424"/>
      <c r="H735" s="424"/>
      <c r="I735" s="424"/>
      <c r="J735" s="424"/>
      <c r="K735" s="424"/>
      <c r="L735" s="424"/>
      <c r="M735" s="424"/>
      <c r="N735" s="424"/>
      <c r="O735" s="424"/>
      <c r="P735" s="424"/>
      <c r="Q735" s="424"/>
      <c r="R735" s="424"/>
      <c r="S735" s="424"/>
      <c r="T735" s="424"/>
      <c r="U735" s="424"/>
      <c r="V735" s="424"/>
    </row>
    <row r="736" customFormat="false" ht="13.5" hidden="false" customHeight="false" outlineLevel="0" collapsed="false">
      <c r="A736" s="424"/>
      <c r="B736" s="424"/>
      <c r="C736" s="424"/>
      <c r="D736" s="424"/>
      <c r="E736" s="424"/>
      <c r="F736" s="424"/>
      <c r="G736" s="424"/>
      <c r="H736" s="424"/>
      <c r="I736" s="424"/>
      <c r="J736" s="424"/>
      <c r="K736" s="424"/>
      <c r="L736" s="424"/>
      <c r="M736" s="424"/>
      <c r="N736" s="424"/>
      <c r="O736" s="424"/>
      <c r="P736" s="424"/>
      <c r="Q736" s="424"/>
      <c r="R736" s="434" t="s">
        <v>400</v>
      </c>
      <c r="S736" s="424"/>
      <c r="T736" s="424"/>
      <c r="U736" s="424"/>
      <c r="V736" s="435" t="n">
        <f aca="false">SUM(V738:V770)</f>
        <v>0</v>
      </c>
    </row>
    <row r="737" customFormat="false" ht="13.5" hidden="false" customHeight="false" outlineLevel="0" collapsed="false">
      <c r="A737" s="424"/>
      <c r="B737" s="424"/>
      <c r="C737" s="424"/>
      <c r="D737" s="424"/>
      <c r="E737" s="424"/>
      <c r="F737" s="424"/>
      <c r="G737" s="424"/>
      <c r="H737" s="424"/>
      <c r="I737" s="424"/>
      <c r="J737" s="424"/>
      <c r="K737" s="424"/>
      <c r="L737" s="424"/>
      <c r="M737" s="424"/>
      <c r="N737" s="424"/>
      <c r="O737" s="424"/>
      <c r="P737" s="424"/>
      <c r="Q737" s="435" t="n">
        <v>0</v>
      </c>
      <c r="R737" s="424"/>
      <c r="S737" s="435" t="n">
        <v>0</v>
      </c>
      <c r="T737" s="424"/>
      <c r="U737" s="424"/>
      <c r="V737" s="436" t="n">
        <f aca="false">AY737</f>
        <v>0</v>
      </c>
    </row>
    <row r="738" customFormat="false" ht="13.5" hidden="false" customHeight="false" outlineLevel="0" collapsed="false">
      <c r="A738" s="424"/>
      <c r="B738" s="424"/>
      <c r="C738" s="424"/>
      <c r="D738" s="424"/>
      <c r="E738" s="424"/>
      <c r="F738" s="424"/>
      <c r="G738" s="424"/>
      <c r="H738" s="424"/>
      <c r="I738" s="424"/>
      <c r="J738" s="424"/>
      <c r="K738" s="424"/>
      <c r="L738" s="424"/>
      <c r="M738" s="424"/>
      <c r="N738" s="424"/>
      <c r="O738" s="424"/>
      <c r="P738" s="424"/>
      <c r="Q738" s="435" t="n">
        <v>1</v>
      </c>
      <c r="R738" s="434" t="s">
        <v>401</v>
      </c>
      <c r="S738" s="434" t="s">
        <v>402</v>
      </c>
      <c r="T738" s="434" t="s">
        <v>403</v>
      </c>
      <c r="U738" s="434" t="s">
        <v>404</v>
      </c>
      <c r="V738" s="436" t="n">
        <f aca="false">AY738</f>
        <v>0</v>
      </c>
    </row>
    <row r="739" customFormat="false" ht="13.5" hidden="false" customHeight="false" outlineLevel="0" collapsed="false">
      <c r="A739" s="424"/>
      <c r="B739" s="424"/>
      <c r="C739" s="424"/>
      <c r="D739" s="424"/>
      <c r="E739" s="424"/>
      <c r="F739" s="424"/>
      <c r="G739" s="424"/>
      <c r="H739" s="424"/>
      <c r="I739" s="424"/>
      <c r="J739" s="424"/>
      <c r="K739" s="424"/>
      <c r="L739" s="424"/>
      <c r="M739" s="424"/>
      <c r="N739" s="424"/>
      <c r="O739" s="424"/>
      <c r="P739" s="424"/>
      <c r="Q739" s="435" t="n">
        <v>2</v>
      </c>
      <c r="R739" s="434" t="s">
        <v>405</v>
      </c>
      <c r="S739" s="434" t="s">
        <v>406</v>
      </c>
      <c r="T739" s="434" t="s">
        <v>407</v>
      </c>
      <c r="U739" s="434" t="s">
        <v>408</v>
      </c>
      <c r="V739" s="436" t="n">
        <f aca="false">AY739</f>
        <v>0</v>
      </c>
    </row>
    <row r="740" customFormat="false" ht="13.5" hidden="false" customHeight="false" outlineLevel="0" collapsed="false">
      <c r="A740" s="424"/>
      <c r="B740" s="424"/>
      <c r="C740" s="424"/>
      <c r="D740" s="424"/>
      <c r="E740" s="424"/>
      <c r="F740" s="424"/>
      <c r="G740" s="424"/>
      <c r="H740" s="424"/>
      <c r="I740" s="424"/>
      <c r="J740" s="424"/>
      <c r="K740" s="424"/>
      <c r="L740" s="424"/>
      <c r="M740" s="424"/>
      <c r="N740" s="424"/>
      <c r="O740" s="424"/>
      <c r="P740" s="424"/>
      <c r="Q740" s="435" t="n">
        <v>3</v>
      </c>
      <c r="R740" s="434" t="s">
        <v>409</v>
      </c>
      <c r="S740" s="434" t="s">
        <v>410</v>
      </c>
      <c r="T740" s="434" t="s">
        <v>411</v>
      </c>
      <c r="U740" s="434" t="s">
        <v>412</v>
      </c>
      <c r="V740" s="436" t="n">
        <f aca="false">AY740</f>
        <v>0</v>
      </c>
    </row>
    <row r="741" customFormat="false" ht="13.5" hidden="false" customHeight="false" outlineLevel="0" collapsed="false">
      <c r="A741" s="424"/>
      <c r="B741" s="424"/>
      <c r="C741" s="424"/>
      <c r="D741" s="424"/>
      <c r="E741" s="424"/>
      <c r="F741" s="424"/>
      <c r="G741" s="424"/>
      <c r="H741" s="424"/>
      <c r="I741" s="424"/>
      <c r="J741" s="424"/>
      <c r="K741" s="424"/>
      <c r="L741" s="424"/>
      <c r="M741" s="424"/>
      <c r="N741" s="424"/>
      <c r="O741" s="424"/>
      <c r="P741" s="424"/>
      <c r="Q741" s="435" t="n">
        <v>4</v>
      </c>
      <c r="R741" s="434" t="s">
        <v>413</v>
      </c>
      <c r="S741" s="434" t="s">
        <v>414</v>
      </c>
      <c r="T741" s="434" t="s">
        <v>415</v>
      </c>
      <c r="U741" s="434" t="s">
        <v>416</v>
      </c>
      <c r="V741" s="436" t="n">
        <f aca="false">AY741</f>
        <v>0</v>
      </c>
    </row>
    <row r="742" customFormat="false" ht="13.5" hidden="false" customHeight="false" outlineLevel="0" collapsed="false">
      <c r="A742" s="424"/>
      <c r="B742" s="424"/>
      <c r="C742" s="424"/>
      <c r="D742" s="424"/>
      <c r="E742" s="424"/>
      <c r="F742" s="424"/>
      <c r="G742" s="424"/>
      <c r="H742" s="424"/>
      <c r="I742" s="424"/>
      <c r="J742" s="424"/>
      <c r="K742" s="424"/>
      <c r="L742" s="424"/>
      <c r="M742" s="424"/>
      <c r="N742" s="424"/>
      <c r="O742" s="424"/>
      <c r="P742" s="438" t="s">
        <v>417</v>
      </c>
      <c r="Q742" s="435" t="n">
        <v>5</v>
      </c>
      <c r="R742" s="434" t="s">
        <v>418</v>
      </c>
      <c r="S742" s="434" t="s">
        <v>419</v>
      </c>
      <c r="T742" s="434" t="s">
        <v>420</v>
      </c>
      <c r="U742" s="434" t="s">
        <v>421</v>
      </c>
      <c r="V742" s="436" t="n">
        <f aca="false">AY742</f>
        <v>0</v>
      </c>
    </row>
    <row r="743" customFormat="false" ht="13.5" hidden="false" customHeight="false" outlineLevel="0" collapsed="false">
      <c r="A743" s="424"/>
      <c r="B743" s="424"/>
      <c r="C743" s="424"/>
      <c r="D743" s="424"/>
      <c r="E743" s="424"/>
      <c r="F743" s="424"/>
      <c r="G743" s="424"/>
      <c r="H743" s="424"/>
      <c r="I743" s="424"/>
      <c r="J743" s="424"/>
      <c r="K743" s="424"/>
      <c r="L743" s="424"/>
      <c r="M743" s="424"/>
      <c r="N743" s="424"/>
      <c r="O743" s="424"/>
      <c r="P743" s="438" t="s">
        <v>417</v>
      </c>
      <c r="Q743" s="435" t="n">
        <v>6</v>
      </c>
      <c r="R743" s="434" t="s">
        <v>422</v>
      </c>
      <c r="S743" s="434" t="s">
        <v>423</v>
      </c>
      <c r="T743" s="434" t="s">
        <v>424</v>
      </c>
      <c r="U743" s="434" t="s">
        <v>425</v>
      </c>
      <c r="V743" s="436" t="n">
        <f aca="false">AY743</f>
        <v>0</v>
      </c>
    </row>
    <row r="744" customFormat="false" ht="13.5" hidden="false" customHeight="false" outlineLevel="0" collapsed="false">
      <c r="A744" s="424"/>
      <c r="B744" s="424"/>
      <c r="C744" s="424"/>
      <c r="D744" s="424"/>
      <c r="E744" s="424"/>
      <c r="F744" s="424"/>
      <c r="G744" s="424"/>
      <c r="H744" s="424"/>
      <c r="I744" s="424"/>
      <c r="J744" s="424"/>
      <c r="K744" s="424"/>
      <c r="L744" s="424"/>
      <c r="M744" s="424"/>
      <c r="N744" s="424"/>
      <c r="O744" s="424"/>
      <c r="P744" s="438" t="s">
        <v>417</v>
      </c>
      <c r="Q744" s="435" t="n">
        <v>7</v>
      </c>
      <c r="R744" s="434" t="s">
        <v>426</v>
      </c>
      <c r="S744" s="434" t="s">
        <v>427</v>
      </c>
      <c r="T744" s="434" t="s">
        <v>428</v>
      </c>
      <c r="U744" s="434" t="s">
        <v>429</v>
      </c>
      <c r="V744" s="436" t="n">
        <f aca="false">AY744</f>
        <v>0</v>
      </c>
    </row>
    <row r="745" customFormat="false" ht="13.5" hidden="false" customHeight="false" outlineLevel="0" collapsed="false">
      <c r="A745" s="424"/>
      <c r="B745" s="424"/>
      <c r="C745" s="424"/>
      <c r="D745" s="424"/>
      <c r="E745" s="424"/>
      <c r="F745" s="424"/>
      <c r="G745" s="424"/>
      <c r="H745" s="424"/>
      <c r="I745" s="424"/>
      <c r="J745" s="424"/>
      <c r="K745" s="424"/>
      <c r="L745" s="424"/>
      <c r="M745" s="424"/>
      <c r="N745" s="424"/>
      <c r="O745" s="424"/>
      <c r="P745" s="438" t="s">
        <v>417</v>
      </c>
      <c r="Q745" s="435" t="n">
        <v>8</v>
      </c>
      <c r="R745" s="434" t="s">
        <v>430</v>
      </c>
      <c r="S745" s="434" t="s">
        <v>431</v>
      </c>
      <c r="T745" s="434" t="s">
        <v>432</v>
      </c>
      <c r="U745" s="434" t="s">
        <v>433</v>
      </c>
      <c r="V745" s="436" t="n">
        <f aca="false">AY745</f>
        <v>0</v>
      </c>
    </row>
    <row r="746" customFormat="false" ht="13.5" hidden="false" customHeight="false" outlineLevel="0" collapsed="false">
      <c r="A746" s="424"/>
      <c r="B746" s="424"/>
      <c r="C746" s="424"/>
      <c r="D746" s="424"/>
      <c r="E746" s="424"/>
      <c r="F746" s="424"/>
      <c r="G746" s="424"/>
      <c r="H746" s="424"/>
      <c r="I746" s="424"/>
      <c r="J746" s="424"/>
      <c r="K746" s="424"/>
      <c r="L746" s="424"/>
      <c r="M746" s="424"/>
      <c r="N746" s="424"/>
      <c r="O746" s="424"/>
      <c r="P746" s="438" t="s">
        <v>417</v>
      </c>
      <c r="Q746" s="435" t="n">
        <v>9</v>
      </c>
      <c r="R746" s="434" t="s">
        <v>434</v>
      </c>
      <c r="S746" s="434" t="s">
        <v>435</v>
      </c>
      <c r="T746" s="434" t="s">
        <v>436</v>
      </c>
      <c r="U746" s="434" t="s">
        <v>437</v>
      </c>
      <c r="V746" s="436" t="n">
        <f aca="false">AY746</f>
        <v>0</v>
      </c>
    </row>
    <row r="747" customFormat="false" ht="13.5" hidden="false" customHeight="false" outlineLevel="0" collapsed="false">
      <c r="A747" s="424"/>
      <c r="B747" s="424"/>
      <c r="C747" s="424"/>
      <c r="D747" s="424"/>
      <c r="E747" s="424"/>
      <c r="F747" s="424"/>
      <c r="G747" s="424"/>
      <c r="H747" s="424"/>
      <c r="I747" s="424"/>
      <c r="J747" s="424"/>
      <c r="K747" s="424"/>
      <c r="L747" s="424"/>
      <c r="M747" s="424"/>
      <c r="N747" s="424"/>
      <c r="O747" s="424"/>
      <c r="P747" s="438" t="s">
        <v>417</v>
      </c>
      <c r="Q747" s="435" t="n">
        <v>10</v>
      </c>
      <c r="R747" s="434" t="s">
        <v>438</v>
      </c>
      <c r="S747" s="424"/>
      <c r="T747" s="434" t="s">
        <v>439</v>
      </c>
      <c r="U747" s="434" t="s">
        <v>440</v>
      </c>
      <c r="V747" s="436" t="n">
        <f aca="false">AY747</f>
        <v>0</v>
      </c>
    </row>
    <row r="748" customFormat="false" ht="13.5" hidden="false" customHeight="false" outlineLevel="0" collapsed="false">
      <c r="A748" s="424"/>
      <c r="B748" s="424"/>
      <c r="C748" s="424"/>
      <c r="D748" s="424"/>
      <c r="E748" s="424"/>
      <c r="F748" s="435" t="n">
        <f aca="false">TRUNC(+A750/1000000)</f>
        <v>12</v>
      </c>
      <c r="G748" s="424"/>
      <c r="H748" s="424"/>
      <c r="I748" s="424"/>
      <c r="J748" s="424"/>
      <c r="K748" s="424"/>
      <c r="L748" s="424"/>
      <c r="M748" s="424"/>
      <c r="N748" s="424"/>
      <c r="O748" s="424"/>
      <c r="P748" s="438" t="s">
        <v>417</v>
      </c>
      <c r="Q748" s="435" t="n">
        <v>11</v>
      </c>
      <c r="R748" s="434" t="s">
        <v>441</v>
      </c>
      <c r="S748" s="424"/>
      <c r="T748" s="434" t="s">
        <v>442</v>
      </c>
      <c r="U748" s="434" t="s">
        <v>443</v>
      </c>
      <c r="V748" s="436" t="n">
        <f aca="false">AY748</f>
        <v>0</v>
      </c>
    </row>
    <row r="749" customFormat="false" ht="13.5" hidden="false" customHeight="false" outlineLevel="0" collapsed="false">
      <c r="A749" s="424"/>
      <c r="B749" s="424"/>
      <c r="C749" s="424"/>
      <c r="D749" s="424"/>
      <c r="E749" s="424"/>
      <c r="F749" s="435" t="e">
        <f aca="false">(+B753*100000+C753*1000+E753*100)</f>
        <v>#VALUE!</v>
      </c>
      <c r="G749" s="424"/>
      <c r="H749" s="424"/>
      <c r="I749" s="424"/>
      <c r="J749" s="424"/>
      <c r="K749" s="424"/>
      <c r="L749" s="434" t="s">
        <v>444</v>
      </c>
      <c r="M749" s="424"/>
      <c r="N749" s="424"/>
      <c r="O749" s="424"/>
      <c r="P749" s="438" t="s">
        <v>417</v>
      </c>
      <c r="Q749" s="435" t="n">
        <v>12</v>
      </c>
      <c r="R749" s="434" t="s">
        <v>445</v>
      </c>
      <c r="S749" s="424"/>
      <c r="T749" s="434" t="s">
        <v>446</v>
      </c>
      <c r="U749" s="434" t="s">
        <v>447</v>
      </c>
      <c r="V749" s="436" t="n">
        <f aca="false">AY749</f>
        <v>0</v>
      </c>
    </row>
    <row r="750" customFormat="false" ht="13.5" hidden="false" customHeight="false" outlineLevel="0" collapsed="false">
      <c r="A750" s="436" t="n">
        <f aca="false">TRUNC(+A751)</f>
        <v>12222222</v>
      </c>
      <c r="B750" s="424"/>
      <c r="C750" s="424"/>
      <c r="D750" s="424"/>
      <c r="E750" s="440" t="n">
        <f aca="false">TRUNC(+A750/100000000)</f>
        <v>0</v>
      </c>
      <c r="F750" s="424"/>
      <c r="G750" s="424"/>
      <c r="H750" s="424"/>
      <c r="I750" s="424"/>
      <c r="J750" s="424"/>
      <c r="K750" s="424"/>
      <c r="L750" s="424"/>
      <c r="M750" s="424"/>
      <c r="N750" s="424"/>
      <c r="O750" s="424"/>
      <c r="P750" s="438" t="s">
        <v>417</v>
      </c>
      <c r="Q750" s="435" t="n">
        <v>13</v>
      </c>
      <c r="R750" s="434" t="s">
        <v>448</v>
      </c>
      <c r="S750" s="424"/>
      <c r="T750" s="434" t="s">
        <v>449</v>
      </c>
      <c r="U750" s="434" t="s">
        <v>450</v>
      </c>
      <c r="V750" s="436" t="n">
        <f aca="false">AY750</f>
        <v>0</v>
      </c>
    </row>
    <row r="751" customFormat="false" ht="13.5" hidden="false" customHeight="false" outlineLevel="0" collapsed="false">
      <c r="A751" s="441" t="n">
        <v>12222222</v>
      </c>
      <c r="B751" s="434" t="s">
        <v>451</v>
      </c>
      <c r="C751" s="434" t="s">
        <v>452</v>
      </c>
      <c r="D751" s="424"/>
      <c r="E751" s="434" t="s">
        <v>452</v>
      </c>
      <c r="F751" s="424"/>
      <c r="G751" s="424"/>
      <c r="H751" s="424"/>
      <c r="I751" s="440" t="n">
        <f aca="false">TRUNC((+A750-(+F748*1000000))/1000)</f>
        <v>222</v>
      </c>
      <c r="J751" s="424"/>
      <c r="K751" s="440" t="n">
        <f aca="false">(TRUNC((+A750-(+F748*1000000))/1))-I751*1000</f>
        <v>222</v>
      </c>
      <c r="L751" s="424"/>
      <c r="M751" s="424"/>
      <c r="N751" s="424"/>
      <c r="O751" s="424"/>
      <c r="P751" s="438" t="s">
        <v>417</v>
      </c>
      <c r="Q751" s="435" t="n">
        <v>14</v>
      </c>
      <c r="R751" s="434" t="s">
        <v>453</v>
      </c>
      <c r="S751" s="424"/>
      <c r="T751" s="434" t="s">
        <v>454</v>
      </c>
      <c r="U751" s="434" t="s">
        <v>455</v>
      </c>
      <c r="V751" s="436" t="n">
        <f aca="false">AY751</f>
        <v>0</v>
      </c>
    </row>
    <row r="752" customFormat="false" ht="13.5" hidden="false" customHeight="false" outlineLevel="0" collapsed="false">
      <c r="A752" s="424"/>
      <c r="B752" s="442" t="s">
        <v>712</v>
      </c>
      <c r="C752" s="442" t="s">
        <v>712</v>
      </c>
      <c r="D752" s="424"/>
      <c r="E752" s="442" t="s">
        <v>712</v>
      </c>
      <c r="F752" s="424"/>
      <c r="G752" s="424"/>
      <c r="H752" s="424"/>
      <c r="I752" s="424"/>
      <c r="J752" s="424"/>
      <c r="K752" s="424"/>
      <c r="L752" s="424"/>
      <c r="M752" s="424"/>
      <c r="N752" s="440" t="n">
        <f aca="false">ROUND(((+A751-A750)*100),1)</f>
        <v>0</v>
      </c>
      <c r="O752" s="424"/>
      <c r="P752" s="438" t="s">
        <v>417</v>
      </c>
      <c r="Q752" s="435" t="n">
        <v>15</v>
      </c>
      <c r="R752" s="434" t="s">
        <v>457</v>
      </c>
      <c r="S752" s="424"/>
      <c r="T752" s="434" t="s">
        <v>458</v>
      </c>
      <c r="U752" s="434" t="s">
        <v>459</v>
      </c>
      <c r="V752" s="436" t="n">
        <f aca="false">AY752</f>
        <v>0</v>
      </c>
    </row>
    <row r="753" customFormat="false" ht="13.5" hidden="false" customHeight="false" outlineLevel="0" collapsed="false">
      <c r="A753" s="424"/>
      <c r="B753" s="440" t="n">
        <f aca="false">TRUNC(+A751/100000000000)</f>
        <v>0</v>
      </c>
      <c r="C753" s="440" t="n">
        <f aca="false">(TRUNC(+A750/1000000000))-B753*100</f>
        <v>0</v>
      </c>
      <c r="D753" s="424"/>
      <c r="E753" s="435" t="str">
        <f aca="false">IF(E750&gt;0,TRUNC(+E750-B753*1000-C753*10),"")</f>
        <v/>
      </c>
      <c r="F753" s="435" t="e">
        <f aca="false">F748-F749</f>
        <v>#VALUE!</v>
      </c>
      <c r="G753" s="435" t="e">
        <f aca="false">G755</f>
        <v>#VALUE!</v>
      </c>
      <c r="H753" s="440" t="n">
        <f aca="false">TRUNC((+A750-(+F748*1000000))/100000)</f>
        <v>2</v>
      </c>
      <c r="I753" s="440" t="n">
        <f aca="false">I751-H753*100</f>
        <v>22</v>
      </c>
      <c r="J753" s="424"/>
      <c r="K753" s="440" t="n">
        <f aca="false">TRUNC(+K751/100)</f>
        <v>2</v>
      </c>
      <c r="L753" s="440" t="n">
        <f aca="false">K751-K753*100</f>
        <v>22</v>
      </c>
      <c r="M753" s="440" t="str">
        <f aca="false">IF(N753&gt;0," &amp; Sen ","")</f>
        <v/>
      </c>
      <c r="N753" s="435" t="n">
        <f aca="false">N752</f>
        <v>0</v>
      </c>
      <c r="O753" s="424"/>
      <c r="P753" s="438" t="s">
        <v>417</v>
      </c>
      <c r="Q753" s="435" t="n">
        <v>16</v>
      </c>
      <c r="R753" s="434" t="s">
        <v>460</v>
      </c>
      <c r="S753" s="424"/>
      <c r="T753" s="434" t="s">
        <v>461</v>
      </c>
      <c r="U753" s="434" t="s">
        <v>462</v>
      </c>
      <c r="V753" s="436" t="n">
        <f aca="false">AY753</f>
        <v>0</v>
      </c>
    </row>
    <row r="754" customFormat="false" ht="13.5" hidden="false" customHeight="false" outlineLevel="0" collapsed="false">
      <c r="A754" s="424"/>
      <c r="B754" s="424"/>
      <c r="C754" s="424"/>
      <c r="D754" s="424"/>
      <c r="E754" s="424"/>
      <c r="F754" s="424"/>
      <c r="G754" s="424"/>
      <c r="H754" s="424"/>
      <c r="I754" s="424"/>
      <c r="J754" s="424"/>
      <c r="K754" s="424"/>
      <c r="L754" s="424"/>
      <c r="M754" s="424"/>
      <c r="N754" s="424"/>
      <c r="O754" s="424"/>
      <c r="P754" s="438" t="s">
        <v>417</v>
      </c>
      <c r="Q754" s="435" t="n">
        <v>17</v>
      </c>
      <c r="R754" s="434" t="s">
        <v>463</v>
      </c>
      <c r="S754" s="424"/>
      <c r="T754" s="434" t="s">
        <v>464</v>
      </c>
      <c r="U754" s="434" t="s">
        <v>465</v>
      </c>
      <c r="V754" s="436" t="n">
        <f aca="false">AY754</f>
        <v>0</v>
      </c>
    </row>
    <row r="755" customFormat="false" ht="13.5" hidden="false" customHeight="false" outlineLevel="0" collapsed="false">
      <c r="A755" s="440" t="n">
        <f aca="false">B753*100000000000</f>
        <v>0</v>
      </c>
      <c r="B755" s="440" t="str">
        <f aca="false">IF(B753&gt;0,VLOOKUP(B753,$Q$7:$T$15,3),"")</f>
        <v/>
      </c>
      <c r="C755" s="440" t="str">
        <f aca="false">IF(C753&gt;0,VLOOKUP(C753,Q738:R836,2),"")</f>
        <v/>
      </c>
      <c r="D755" s="440" t="str">
        <f aca="false">IF(B750+C753&gt;0," Milyar ","")</f>
        <v/>
      </c>
      <c r="E755" s="440" t="e">
        <f aca="false">IF(E753&gt;0,VLOOKUP(E753,$Q$7:$T$15,3),"")</f>
        <v>#N/A</v>
      </c>
      <c r="F755" s="440" t="e">
        <f aca="false">IF(F753&gt;0,VLOOKUP(F753,Q738:R836,2),"")</f>
        <v>#VALUE!</v>
      </c>
      <c r="G755" s="435" t="e">
        <f aca="false">IF(F753+E753&gt;0," Juta","")</f>
        <v>#VALUE!</v>
      </c>
      <c r="H755" s="440" t="str">
        <f aca="false">IF(H753&gt;0,VLOOKUP(H753,$Q$7:$T$15,3),"")</f>
        <v> Dua ratus</v>
      </c>
      <c r="I755" s="440" t="str">
        <f aca="false">IF(I753=1," Se",IF(I753=0,"",VLOOKUP(I753,Q738:R836,2)))</f>
        <v> Dua puluh dua</v>
      </c>
      <c r="J755" s="435" t="str">
        <f aca="false">IF(I753+H753&gt;0," ribu","")</f>
        <v> ribu</v>
      </c>
      <c r="K755" s="440" t="str">
        <f aca="false">IF(K753&gt;0,VLOOKUP(K753,Q738:S746,3),"")</f>
        <v> Dua ratus</v>
      </c>
      <c r="L755" s="440" t="str">
        <f aca="false">IF(L753&gt;0,VLOOKUP(L753,Q738:R836,2),"")</f>
        <v> Dua puluh dua</v>
      </c>
      <c r="M755" s="440" t="str">
        <f aca="false">IF(N753&gt;0,VLOOKUP(N752,Q737:U836,5)," Rupiah ")</f>
        <v> Rupiah </v>
      </c>
      <c r="N755" s="424"/>
      <c r="O755" s="435" t="str">
        <f aca="false">IF(N753&gt;0," ====","")</f>
        <v/>
      </c>
      <c r="P755" s="435" t="str">
        <f aca="false">IF(N753&gt;0,"-","====")</f>
        <v>====</v>
      </c>
      <c r="Q755" s="435" t="n">
        <v>18</v>
      </c>
      <c r="R755" s="434" t="s">
        <v>466</v>
      </c>
      <c r="S755" s="424"/>
      <c r="T755" s="434" t="s">
        <v>467</v>
      </c>
      <c r="U755" s="434" t="s">
        <v>468</v>
      </c>
      <c r="V755" s="436" t="n">
        <f aca="false">AY755</f>
        <v>0</v>
      </c>
    </row>
    <row r="756" customFormat="false" ht="13.5" hidden="false" customHeight="false" outlineLevel="0" collapsed="false">
      <c r="A756" s="440"/>
      <c r="B756" s="435" t="str">
        <f aca="false">B755</f>
        <v/>
      </c>
      <c r="C756" s="424"/>
      <c r="D756" s="424"/>
      <c r="E756" s="424"/>
      <c r="F756" s="424"/>
      <c r="G756" s="424"/>
      <c r="H756" s="424"/>
      <c r="I756" s="424"/>
      <c r="J756" s="424"/>
      <c r="K756" s="424"/>
      <c r="L756" s="424"/>
      <c r="M756" s="424"/>
      <c r="N756" s="424"/>
      <c r="O756" s="424"/>
      <c r="P756" s="438" t="s">
        <v>417</v>
      </c>
      <c r="Q756" s="435" t="n">
        <v>19</v>
      </c>
      <c r="R756" s="434" t="s">
        <v>469</v>
      </c>
      <c r="S756" s="424"/>
      <c r="T756" s="434" t="s">
        <v>470</v>
      </c>
      <c r="U756" s="434" t="s">
        <v>471</v>
      </c>
      <c r="V756" s="436" t="n">
        <f aca="false">AY761</f>
        <v>0</v>
      </c>
    </row>
    <row r="757" customFormat="false" ht="13.5" hidden="false" customHeight="false" outlineLevel="0" collapsed="false">
      <c r="A757" s="440"/>
      <c r="B757" s="435" t="str">
        <f aca="false">C755</f>
        <v/>
      </c>
      <c r="C757" s="424"/>
      <c r="D757" s="424"/>
      <c r="E757" s="424"/>
      <c r="F757" s="424"/>
      <c r="G757" s="424"/>
      <c r="H757" s="424"/>
      <c r="I757" s="424"/>
      <c r="J757" s="424"/>
      <c r="K757" s="424"/>
      <c r="L757" s="424"/>
      <c r="M757" s="424"/>
      <c r="N757" s="424"/>
      <c r="O757" s="424"/>
      <c r="P757" s="438" t="s">
        <v>417</v>
      </c>
      <c r="Q757" s="435" t="n">
        <v>20</v>
      </c>
      <c r="R757" s="434" t="s">
        <v>472</v>
      </c>
      <c r="S757" s="424"/>
      <c r="T757" s="434" t="s">
        <v>473</v>
      </c>
      <c r="U757" s="434" t="s">
        <v>474</v>
      </c>
      <c r="V757" s="436" t="n">
        <f aca="false">AY762</f>
        <v>0</v>
      </c>
    </row>
    <row r="758" customFormat="false" ht="13.5" hidden="false" customHeight="false" outlineLevel="0" collapsed="false">
      <c r="A758" s="440"/>
      <c r="B758" s="435" t="str">
        <f aca="false">D755</f>
        <v/>
      </c>
      <c r="C758" s="424"/>
      <c r="D758" s="424"/>
      <c r="E758" s="424"/>
      <c r="F758" s="424"/>
      <c r="G758" s="424"/>
      <c r="H758" s="424"/>
      <c r="I758" s="424"/>
      <c r="J758" s="424"/>
      <c r="K758" s="424"/>
      <c r="L758" s="424"/>
      <c r="M758" s="424"/>
      <c r="N758" s="424"/>
      <c r="O758" s="424"/>
      <c r="P758" s="438" t="s">
        <v>417</v>
      </c>
      <c r="Q758" s="435" t="n">
        <v>21</v>
      </c>
      <c r="R758" s="434" t="s">
        <v>475</v>
      </c>
      <c r="S758" s="424"/>
      <c r="T758" s="434" t="s">
        <v>476</v>
      </c>
      <c r="U758" s="434" t="s">
        <v>477</v>
      </c>
      <c r="V758" s="436" t="n">
        <f aca="false">AY763</f>
        <v>0</v>
      </c>
    </row>
    <row r="759" customFormat="false" ht="13.5" hidden="false" customHeight="false" outlineLevel="0" collapsed="false">
      <c r="A759" s="440"/>
      <c r="B759" s="435" t="e">
        <f aca="false">E755</f>
        <v>#N/A</v>
      </c>
      <c r="C759" s="424"/>
      <c r="D759" s="424"/>
      <c r="E759" s="424"/>
      <c r="F759" s="424"/>
      <c r="G759" s="424"/>
      <c r="H759" s="424"/>
      <c r="I759" s="424"/>
      <c r="J759" s="424"/>
      <c r="K759" s="424"/>
      <c r="L759" s="424"/>
      <c r="M759" s="424"/>
      <c r="N759" s="424"/>
      <c r="O759" s="424"/>
      <c r="P759" s="424"/>
      <c r="Q759" s="435" t="n">
        <v>22</v>
      </c>
      <c r="R759" s="434" t="s">
        <v>478</v>
      </c>
      <c r="S759" s="424"/>
      <c r="T759" s="434" t="s">
        <v>479</v>
      </c>
      <c r="U759" s="434" t="s">
        <v>480</v>
      </c>
      <c r="V759" s="436" t="n">
        <f aca="false">AY764</f>
        <v>0</v>
      </c>
    </row>
    <row r="760" customFormat="false" ht="13.5" hidden="false" customHeight="false" outlineLevel="0" collapsed="false">
      <c r="A760" s="440"/>
      <c r="B760" s="435" t="e">
        <f aca="false">F755</f>
        <v>#VALUE!</v>
      </c>
      <c r="C760" s="424"/>
      <c r="D760" s="424"/>
      <c r="E760" s="424"/>
      <c r="F760" s="424"/>
      <c r="G760" s="424"/>
      <c r="H760" s="424"/>
      <c r="I760" s="424"/>
      <c r="J760" s="424"/>
      <c r="K760" s="424"/>
      <c r="L760" s="424"/>
      <c r="M760" s="424"/>
      <c r="N760" s="424"/>
      <c r="O760" s="424"/>
      <c r="P760" s="438" t="s">
        <v>417</v>
      </c>
      <c r="Q760" s="435" t="n">
        <v>23</v>
      </c>
      <c r="R760" s="434" t="s">
        <v>481</v>
      </c>
      <c r="S760" s="424"/>
      <c r="T760" s="434" t="s">
        <v>482</v>
      </c>
      <c r="U760" s="434" t="s">
        <v>483</v>
      </c>
      <c r="V760" s="436" t="n">
        <f aca="false">AY765</f>
        <v>0</v>
      </c>
    </row>
    <row r="761" customFormat="false" ht="13.5" hidden="false" customHeight="false" outlineLevel="0" collapsed="false">
      <c r="A761" s="424"/>
      <c r="B761" s="424"/>
      <c r="C761" s="424"/>
      <c r="D761" s="424"/>
      <c r="E761" s="424"/>
      <c r="F761" s="424"/>
      <c r="G761" s="424"/>
      <c r="H761" s="424"/>
      <c r="I761" s="424"/>
      <c r="J761" s="424"/>
      <c r="K761" s="424"/>
      <c r="L761" s="424"/>
      <c r="M761" s="424"/>
      <c r="N761" s="424"/>
      <c r="O761" s="424"/>
      <c r="P761" s="438" t="s">
        <v>417</v>
      </c>
      <c r="Q761" s="435" t="n">
        <v>24</v>
      </c>
      <c r="R761" s="434" t="s">
        <v>484</v>
      </c>
      <c r="S761" s="424"/>
      <c r="T761" s="434" t="s">
        <v>485</v>
      </c>
      <c r="U761" s="434" t="s">
        <v>486</v>
      </c>
      <c r="V761" s="436" t="n">
        <f aca="false">AY766</f>
        <v>0</v>
      </c>
    </row>
    <row r="762" customFormat="false" ht="13.5" hidden="false" customHeight="false" outlineLevel="0" collapsed="false">
      <c r="A762" s="424"/>
      <c r="B762" s="424"/>
      <c r="C762" s="424"/>
      <c r="D762" s="424"/>
      <c r="E762" s="424"/>
      <c r="F762" s="424"/>
      <c r="G762" s="424"/>
      <c r="H762" s="424"/>
      <c r="I762" s="424"/>
      <c r="J762" s="424"/>
      <c r="K762" s="424"/>
      <c r="L762" s="424"/>
      <c r="M762" s="424"/>
      <c r="N762" s="424"/>
      <c r="O762" s="424"/>
      <c r="P762" s="438" t="s">
        <v>417</v>
      </c>
      <c r="Q762" s="435" t="n">
        <v>25</v>
      </c>
      <c r="R762" s="434" t="s">
        <v>487</v>
      </c>
      <c r="S762" s="424"/>
      <c r="T762" s="434" t="s">
        <v>488</v>
      </c>
      <c r="U762" s="434" t="s">
        <v>489</v>
      </c>
      <c r="V762" s="436" t="n">
        <f aca="false">AY767</f>
        <v>0</v>
      </c>
    </row>
    <row r="763" customFormat="false" ht="13.5" hidden="false" customHeight="false" outlineLevel="0" collapsed="false">
      <c r="A763" s="424"/>
      <c r="B763" s="424"/>
      <c r="C763" s="424"/>
      <c r="D763" s="424"/>
      <c r="E763" s="424"/>
      <c r="F763" s="424"/>
      <c r="G763" s="424"/>
      <c r="H763" s="424"/>
      <c r="I763" s="424"/>
      <c r="J763" s="424"/>
      <c r="K763" s="424"/>
      <c r="L763" s="424"/>
      <c r="M763" s="424"/>
      <c r="N763" s="424"/>
      <c r="O763" s="424"/>
      <c r="P763" s="438" t="s">
        <v>417</v>
      </c>
      <c r="Q763" s="435" t="n">
        <v>26</v>
      </c>
      <c r="R763" s="434" t="s">
        <v>490</v>
      </c>
      <c r="S763" s="424"/>
      <c r="T763" s="434" t="s">
        <v>491</v>
      </c>
      <c r="U763" s="434" t="s">
        <v>492</v>
      </c>
      <c r="V763" s="436" t="n">
        <f aca="false">AY768</f>
        <v>0</v>
      </c>
    </row>
    <row r="764" customFormat="false" ht="13.5" hidden="false" customHeight="false" outlineLevel="0" collapsed="false">
      <c r="A764" s="424"/>
      <c r="B764" s="424"/>
      <c r="C764" s="424"/>
      <c r="D764" s="424"/>
      <c r="E764" s="424"/>
      <c r="F764" s="424"/>
      <c r="G764" s="424"/>
      <c r="H764" s="424"/>
      <c r="I764" s="424"/>
      <c r="J764" s="424"/>
      <c r="K764" s="424"/>
      <c r="L764" s="424"/>
      <c r="M764" s="424"/>
      <c r="N764" s="424"/>
      <c r="O764" s="424"/>
      <c r="P764" s="424"/>
      <c r="Q764" s="435" t="n">
        <v>27</v>
      </c>
      <c r="R764" s="434" t="s">
        <v>493</v>
      </c>
      <c r="S764" s="424"/>
      <c r="T764" s="434" t="s">
        <v>494</v>
      </c>
      <c r="U764" s="434" t="s">
        <v>495</v>
      </c>
      <c r="V764" s="436" t="n">
        <f aca="false">AY769</f>
        <v>0</v>
      </c>
    </row>
    <row r="765" customFormat="false" ht="13.5" hidden="false" customHeight="false" outlineLevel="0" collapsed="false">
      <c r="A765" s="424"/>
      <c r="B765" s="424"/>
      <c r="C765" s="424"/>
      <c r="D765" s="424"/>
      <c r="E765" s="424"/>
      <c r="F765" s="424"/>
      <c r="G765" s="424"/>
      <c r="H765" s="424"/>
      <c r="I765" s="424"/>
      <c r="J765" s="424"/>
      <c r="K765" s="424"/>
      <c r="L765" s="424"/>
      <c r="M765" s="424"/>
      <c r="N765" s="424"/>
      <c r="O765" s="424"/>
      <c r="P765" s="424"/>
      <c r="Q765" s="435" t="n">
        <v>28</v>
      </c>
      <c r="R765" s="434" t="s">
        <v>496</v>
      </c>
      <c r="S765" s="424"/>
      <c r="T765" s="434" t="s">
        <v>497</v>
      </c>
      <c r="U765" s="434" t="s">
        <v>498</v>
      </c>
      <c r="V765" s="436" t="n">
        <f aca="false">AY770</f>
        <v>0</v>
      </c>
    </row>
    <row r="766" customFormat="false" ht="13.5" hidden="false" customHeight="false" outlineLevel="0" collapsed="false">
      <c r="A766" s="424"/>
      <c r="B766" s="424"/>
      <c r="C766" s="424"/>
      <c r="D766" s="424"/>
      <c r="E766" s="424"/>
      <c r="F766" s="424"/>
      <c r="G766" s="424"/>
      <c r="H766" s="424"/>
      <c r="I766" s="424"/>
      <c r="J766" s="424"/>
      <c r="K766" s="424"/>
      <c r="L766" s="424"/>
      <c r="M766" s="424"/>
      <c r="N766" s="424"/>
      <c r="O766" s="424"/>
      <c r="P766" s="424"/>
      <c r="Q766" s="435" t="n">
        <v>29</v>
      </c>
      <c r="R766" s="434" t="s">
        <v>499</v>
      </c>
      <c r="S766" s="424"/>
      <c r="T766" s="434" t="s">
        <v>500</v>
      </c>
      <c r="U766" s="434" t="s">
        <v>501</v>
      </c>
      <c r="V766" s="436" t="n">
        <f aca="false">AY771</f>
        <v>0</v>
      </c>
    </row>
    <row r="767" customFormat="false" ht="13.5" hidden="false" customHeight="false" outlineLevel="0" collapsed="false">
      <c r="A767" s="424"/>
      <c r="B767" s="424"/>
      <c r="C767" s="424"/>
      <c r="D767" s="424"/>
      <c r="E767" s="424"/>
      <c r="F767" s="424"/>
      <c r="G767" s="424"/>
      <c r="H767" s="424"/>
      <c r="I767" s="424"/>
      <c r="J767" s="424"/>
      <c r="K767" s="424"/>
      <c r="L767" s="424"/>
      <c r="M767" s="424"/>
      <c r="N767" s="424"/>
      <c r="O767" s="424"/>
      <c r="P767" s="424"/>
      <c r="Q767" s="435" t="n">
        <v>30</v>
      </c>
      <c r="R767" s="434" t="s">
        <v>502</v>
      </c>
      <c r="S767" s="424"/>
      <c r="T767" s="434" t="s">
        <v>503</v>
      </c>
      <c r="U767" s="434" t="s">
        <v>504</v>
      </c>
      <c r="V767" s="436" t="n">
        <f aca="false">AY772</f>
        <v>0</v>
      </c>
    </row>
    <row r="768" customFormat="false" ht="13.5" hidden="false" customHeight="false" outlineLevel="0" collapsed="false">
      <c r="A768" s="424"/>
      <c r="B768" s="424"/>
      <c r="C768" s="424"/>
      <c r="D768" s="424"/>
      <c r="E768" s="424"/>
      <c r="F768" s="424"/>
      <c r="G768" s="424"/>
      <c r="H768" s="424"/>
      <c r="I768" s="424"/>
      <c r="J768" s="424"/>
      <c r="K768" s="424"/>
      <c r="L768" s="424"/>
      <c r="M768" s="424"/>
      <c r="N768" s="424"/>
      <c r="O768" s="424"/>
      <c r="P768" s="424"/>
      <c r="Q768" s="435" t="n">
        <v>31</v>
      </c>
      <c r="R768" s="434" t="s">
        <v>505</v>
      </c>
      <c r="S768" s="424"/>
      <c r="T768" s="434" t="s">
        <v>506</v>
      </c>
      <c r="U768" s="434" t="s">
        <v>507</v>
      </c>
      <c r="V768" s="436" t="n">
        <f aca="false">AY773</f>
        <v>0</v>
      </c>
    </row>
    <row r="769" customFormat="false" ht="13.5" hidden="false" customHeight="false" outlineLevel="0" collapsed="false">
      <c r="A769" s="424"/>
      <c r="B769" s="424"/>
      <c r="C769" s="424"/>
      <c r="D769" s="424"/>
      <c r="E769" s="424"/>
      <c r="F769" s="424"/>
      <c r="G769" s="424"/>
      <c r="H769" s="424"/>
      <c r="I769" s="424"/>
      <c r="J769" s="424"/>
      <c r="K769" s="424"/>
      <c r="L769" s="424"/>
      <c r="M769" s="424"/>
      <c r="N769" s="424"/>
      <c r="O769" s="424"/>
      <c r="P769" s="424"/>
      <c r="Q769" s="435" t="n">
        <v>32</v>
      </c>
      <c r="R769" s="434" t="s">
        <v>508</v>
      </c>
      <c r="S769" s="424"/>
      <c r="T769" s="434" t="s">
        <v>509</v>
      </c>
      <c r="U769" s="434" t="s">
        <v>510</v>
      </c>
      <c r="V769" s="436" t="n">
        <f aca="false">AY774</f>
        <v>0</v>
      </c>
    </row>
    <row r="770" customFormat="false" ht="13.5" hidden="false" customHeight="false" outlineLevel="0" collapsed="false">
      <c r="A770" s="440"/>
      <c r="B770" s="435" t="e">
        <f aca="false">G755</f>
        <v>#VALUE!</v>
      </c>
      <c r="C770" s="424"/>
      <c r="D770" s="424"/>
      <c r="E770" s="424"/>
      <c r="F770" s="424"/>
      <c r="G770" s="424"/>
      <c r="H770" s="424"/>
      <c r="I770" s="424"/>
      <c r="J770" s="424"/>
      <c r="K770" s="424"/>
      <c r="L770" s="424"/>
      <c r="M770" s="424"/>
      <c r="N770" s="424"/>
      <c r="O770" s="424"/>
      <c r="P770" s="424"/>
      <c r="Q770" s="435" t="n">
        <v>33</v>
      </c>
      <c r="R770" s="434" t="s">
        <v>511</v>
      </c>
      <c r="S770" s="424"/>
      <c r="T770" s="434" t="s">
        <v>512</v>
      </c>
      <c r="U770" s="434" t="s">
        <v>513</v>
      </c>
      <c r="V770" s="436" t="n">
        <f aca="false">AY775</f>
        <v>0</v>
      </c>
    </row>
    <row r="771" customFormat="false" ht="13.5" hidden="false" customHeight="false" outlineLevel="0" collapsed="false">
      <c r="A771" s="440"/>
      <c r="B771" s="435" t="str">
        <f aca="false">H755</f>
        <v> Dua ratus</v>
      </c>
      <c r="C771" s="424"/>
      <c r="D771" s="424"/>
      <c r="E771" s="424"/>
      <c r="F771" s="424"/>
      <c r="G771" s="424"/>
      <c r="H771" s="424"/>
      <c r="I771" s="424"/>
      <c r="J771" s="424"/>
      <c r="K771" s="424"/>
      <c r="L771" s="424"/>
      <c r="M771" s="424"/>
      <c r="N771" s="424"/>
      <c r="O771" s="424"/>
      <c r="P771" s="424"/>
      <c r="Q771" s="435" t="n">
        <v>34</v>
      </c>
      <c r="R771" s="434" t="s">
        <v>514</v>
      </c>
      <c r="S771" s="424"/>
      <c r="T771" s="434" t="s">
        <v>515</v>
      </c>
      <c r="U771" s="434" t="s">
        <v>516</v>
      </c>
      <c r="V771" s="436" t="n">
        <f aca="false">AY776</f>
        <v>0</v>
      </c>
    </row>
    <row r="772" customFormat="false" ht="13.5" hidden="false" customHeight="false" outlineLevel="0" collapsed="false">
      <c r="A772" s="440"/>
      <c r="B772" s="435" t="str">
        <f aca="false">I755</f>
        <v> Dua puluh dua</v>
      </c>
      <c r="C772" s="424"/>
      <c r="D772" s="424"/>
      <c r="E772" s="424"/>
      <c r="F772" s="424"/>
      <c r="G772" s="424"/>
      <c r="H772" s="424"/>
      <c r="I772" s="424"/>
      <c r="J772" s="424"/>
      <c r="K772" s="424"/>
      <c r="L772" s="424"/>
      <c r="M772" s="424"/>
      <c r="N772" s="424"/>
      <c r="O772" s="424"/>
      <c r="P772" s="424"/>
      <c r="Q772" s="435" t="n">
        <v>35</v>
      </c>
      <c r="R772" s="434" t="s">
        <v>517</v>
      </c>
      <c r="S772" s="424"/>
      <c r="T772" s="434" t="s">
        <v>518</v>
      </c>
      <c r="U772" s="434" t="s">
        <v>519</v>
      </c>
      <c r="V772" s="436" t="n">
        <f aca="false">AY777</f>
        <v>0</v>
      </c>
    </row>
    <row r="773" customFormat="false" ht="13.5" hidden="false" customHeight="false" outlineLevel="0" collapsed="false">
      <c r="A773" s="440"/>
      <c r="B773" s="435" t="str">
        <f aca="false">J755</f>
        <v> ribu</v>
      </c>
      <c r="C773" s="424"/>
      <c r="D773" s="424"/>
      <c r="E773" s="424"/>
      <c r="F773" s="424"/>
      <c r="G773" s="424"/>
      <c r="H773" s="424"/>
      <c r="I773" s="424"/>
      <c r="J773" s="424"/>
      <c r="K773" s="424"/>
      <c r="L773" s="424"/>
      <c r="M773" s="424"/>
      <c r="N773" s="424"/>
      <c r="O773" s="424"/>
      <c r="P773" s="424"/>
      <c r="Q773" s="435" t="n">
        <v>36</v>
      </c>
      <c r="R773" s="434" t="s">
        <v>520</v>
      </c>
      <c r="S773" s="424"/>
      <c r="T773" s="434" t="s">
        <v>521</v>
      </c>
      <c r="U773" s="434" t="s">
        <v>522</v>
      </c>
      <c r="V773" s="436" t="n">
        <f aca="false">AY778</f>
        <v>0</v>
      </c>
    </row>
    <row r="774" customFormat="false" ht="13.5" hidden="false" customHeight="false" outlineLevel="0" collapsed="false">
      <c r="A774" s="440"/>
      <c r="B774" s="440" t="str">
        <f aca="false">K755</f>
        <v> Dua ratus</v>
      </c>
      <c r="C774" s="424"/>
      <c r="D774" s="424"/>
      <c r="E774" s="424"/>
      <c r="F774" s="424"/>
      <c r="G774" s="424"/>
      <c r="H774" s="424"/>
      <c r="I774" s="424"/>
      <c r="J774" s="424"/>
      <c r="K774" s="424"/>
      <c r="L774" s="424"/>
      <c r="M774" s="424"/>
      <c r="N774" s="424"/>
      <c r="O774" s="424"/>
      <c r="P774" s="424"/>
      <c r="Q774" s="435" t="n">
        <v>37</v>
      </c>
      <c r="R774" s="434" t="s">
        <v>523</v>
      </c>
      <c r="S774" s="424"/>
      <c r="T774" s="434" t="s">
        <v>524</v>
      </c>
      <c r="U774" s="434" t="s">
        <v>525</v>
      </c>
      <c r="V774" s="436" t="n">
        <f aca="false">AY779</f>
        <v>0</v>
      </c>
    </row>
    <row r="775" customFormat="false" ht="13.5" hidden="false" customHeight="false" outlineLevel="0" collapsed="false">
      <c r="A775" s="440"/>
      <c r="B775" s="435" t="str">
        <f aca="false">L755</f>
        <v> Dua puluh dua</v>
      </c>
      <c r="C775" s="424"/>
      <c r="D775" s="424"/>
      <c r="E775" s="424"/>
      <c r="F775" s="424"/>
      <c r="G775" s="424"/>
      <c r="H775" s="424"/>
      <c r="I775" s="424"/>
      <c r="J775" s="424"/>
      <c r="K775" s="424"/>
      <c r="L775" s="424"/>
      <c r="M775" s="424"/>
      <c r="N775" s="424"/>
      <c r="O775" s="424"/>
      <c r="P775" s="424"/>
      <c r="Q775" s="435" t="n">
        <v>38</v>
      </c>
      <c r="R775" s="434" t="s">
        <v>526</v>
      </c>
      <c r="S775" s="424"/>
      <c r="T775" s="434" t="s">
        <v>527</v>
      </c>
      <c r="U775" s="434" t="s">
        <v>528</v>
      </c>
      <c r="V775" s="436" t="n">
        <f aca="false">AY780</f>
        <v>0</v>
      </c>
    </row>
    <row r="776" customFormat="false" ht="13.5" hidden="false" customHeight="false" outlineLevel="0" collapsed="false">
      <c r="A776" s="440"/>
      <c r="B776" s="435" t="str">
        <f aca="false">M755</f>
        <v> Rupiah </v>
      </c>
      <c r="C776" s="424"/>
      <c r="D776" s="424"/>
      <c r="E776" s="424"/>
      <c r="F776" s="424"/>
      <c r="G776" s="424"/>
      <c r="H776" s="424"/>
      <c r="I776" s="424"/>
      <c r="J776" s="424"/>
      <c r="K776" s="424"/>
      <c r="L776" s="424"/>
      <c r="M776" s="424"/>
      <c r="N776" s="424"/>
      <c r="O776" s="424"/>
      <c r="P776" s="424"/>
      <c r="Q776" s="435" t="n">
        <v>39</v>
      </c>
      <c r="R776" s="434" t="s">
        <v>529</v>
      </c>
      <c r="S776" s="424"/>
      <c r="T776" s="434" t="s">
        <v>530</v>
      </c>
      <c r="U776" s="434" t="s">
        <v>531</v>
      </c>
      <c r="V776" s="436" t="n">
        <f aca="false">AY781</f>
        <v>0</v>
      </c>
    </row>
    <row r="777" customFormat="false" ht="13.5" hidden="false" customHeight="false" outlineLevel="0" collapsed="false">
      <c r="A777" s="436" t="e">
        <f aca="false">+#REF!</f>
        <v>#REF!</v>
      </c>
      <c r="B777" s="435" t="str">
        <f aca="false">O755</f>
        <v/>
      </c>
      <c r="C777" s="424"/>
      <c r="D777" s="424"/>
      <c r="E777" s="424"/>
      <c r="F777" s="424"/>
      <c r="G777" s="424"/>
      <c r="H777" s="424"/>
      <c r="I777" s="424"/>
      <c r="J777" s="424"/>
      <c r="K777" s="424"/>
      <c r="L777" s="424"/>
      <c r="M777" s="424"/>
      <c r="N777" s="424"/>
      <c r="O777" s="424"/>
      <c r="P777" s="424"/>
      <c r="Q777" s="435" t="n">
        <v>40</v>
      </c>
      <c r="R777" s="434" t="s">
        <v>532</v>
      </c>
      <c r="S777" s="424"/>
      <c r="T777" s="434" t="s">
        <v>533</v>
      </c>
      <c r="U777" s="434" t="s">
        <v>534</v>
      </c>
      <c r="V777" s="436" t="n">
        <f aca="false">AY782</f>
        <v>0</v>
      </c>
    </row>
    <row r="778" customFormat="false" ht="13.5" hidden="false" customHeight="false" outlineLevel="0" collapsed="false">
      <c r="A778" s="440"/>
      <c r="B778" s="435" t="str">
        <f aca="false">IF(N753&gt;0,"-","====")</f>
        <v>====</v>
      </c>
      <c r="C778" s="424"/>
      <c r="D778" s="424"/>
      <c r="E778" s="424"/>
      <c r="F778" s="424"/>
      <c r="G778" s="424"/>
      <c r="H778" s="424"/>
      <c r="I778" s="424"/>
      <c r="J778" s="424"/>
      <c r="K778" s="424"/>
      <c r="L778" s="424"/>
      <c r="M778" s="424"/>
      <c r="N778" s="424"/>
      <c r="O778" s="424"/>
      <c r="P778" s="424"/>
      <c r="Q778" s="435" t="n">
        <v>41</v>
      </c>
      <c r="R778" s="434" t="s">
        <v>535</v>
      </c>
      <c r="S778" s="424"/>
      <c r="T778" s="434" t="s">
        <v>536</v>
      </c>
      <c r="U778" s="434" t="s">
        <v>537</v>
      </c>
      <c r="V778" s="436" t="n">
        <f aca="false">AY783</f>
        <v>0</v>
      </c>
    </row>
    <row r="779" customFormat="false" ht="13.5" hidden="false" customHeight="false" outlineLevel="0" collapsed="false">
      <c r="A779" s="435" t="e">
        <f aca="false">B755&amp;C755&amp;D755&amp;E755&amp;F755&amp;G755&amp;H755&amp;I755&amp;J755&amp;K755&amp;L755&amp;M755&amp;O755</f>
        <v>#N/A</v>
      </c>
      <c r="B779" s="424"/>
      <c r="C779" s="424"/>
      <c r="D779" s="424"/>
      <c r="E779" s="424"/>
      <c r="F779" s="424"/>
      <c r="G779" s="424"/>
      <c r="H779" s="424"/>
      <c r="I779" s="424"/>
      <c r="J779" s="424"/>
      <c r="K779" s="424"/>
      <c r="L779" s="424"/>
      <c r="M779" s="424"/>
      <c r="N779" s="424"/>
      <c r="O779" s="424"/>
      <c r="P779" s="424"/>
      <c r="Q779" s="435" t="n">
        <v>42</v>
      </c>
      <c r="R779" s="434" t="s">
        <v>538</v>
      </c>
      <c r="S779" s="424"/>
      <c r="T779" s="434" t="s">
        <v>539</v>
      </c>
      <c r="U779" s="434" t="s">
        <v>540</v>
      </c>
      <c r="V779" s="436" t="n">
        <f aca="false">AY784</f>
        <v>0</v>
      </c>
    </row>
    <row r="780" customFormat="false" ht="13.5" hidden="false" customHeight="false" outlineLevel="0" collapsed="false">
      <c r="A780" s="440" t="str">
        <f aca="false">I755&amp;J755&amp;K755&amp;L755&amp;M755&amp;O755</f>
        <v> Dua puluh dua ribu Dua ratus Dua puluh dua Rupiah </v>
      </c>
      <c r="B780" s="424"/>
      <c r="C780" s="424"/>
      <c r="D780" s="424"/>
      <c r="E780" s="424"/>
      <c r="F780" s="424"/>
      <c r="G780" s="424"/>
      <c r="H780" s="424"/>
      <c r="I780" s="424"/>
      <c r="J780" s="424"/>
      <c r="K780" s="424"/>
      <c r="L780" s="424"/>
      <c r="M780" s="424"/>
      <c r="N780" s="424"/>
      <c r="O780" s="424"/>
      <c r="P780" s="424"/>
      <c r="Q780" s="435" t="n">
        <v>43</v>
      </c>
      <c r="R780" s="434" t="s">
        <v>541</v>
      </c>
      <c r="S780" s="424"/>
      <c r="T780" s="434" t="s">
        <v>542</v>
      </c>
      <c r="U780" s="434" t="s">
        <v>543</v>
      </c>
      <c r="V780" s="436" t="n">
        <f aca="false">AY785</f>
        <v>0</v>
      </c>
    </row>
    <row r="781" customFormat="false" ht="13.5" hidden="false" customHeight="false" outlineLevel="0" collapsed="false">
      <c r="A781" s="440"/>
      <c r="B781" s="424"/>
      <c r="C781" s="424"/>
      <c r="D781" s="424"/>
      <c r="E781" s="424"/>
      <c r="F781" s="424"/>
      <c r="G781" s="424"/>
      <c r="H781" s="424"/>
      <c r="I781" s="424"/>
      <c r="J781" s="424"/>
      <c r="K781" s="424"/>
      <c r="L781" s="424"/>
      <c r="M781" s="424"/>
      <c r="N781" s="424"/>
      <c r="O781" s="424"/>
      <c r="P781" s="424"/>
      <c r="Q781" s="435" t="n">
        <v>44</v>
      </c>
      <c r="R781" s="434" t="s">
        <v>544</v>
      </c>
      <c r="S781" s="424"/>
      <c r="T781" s="434" t="s">
        <v>545</v>
      </c>
      <c r="U781" s="434" t="s">
        <v>546</v>
      </c>
      <c r="V781" s="436" t="n">
        <f aca="false">AY786</f>
        <v>0</v>
      </c>
    </row>
    <row r="782" customFormat="false" ht="13.5" hidden="false" customHeight="false" outlineLevel="0" collapsed="false">
      <c r="A782" s="440"/>
      <c r="B782" s="424"/>
      <c r="C782" s="424"/>
      <c r="D782" s="424"/>
      <c r="E782" s="424"/>
      <c r="F782" s="424"/>
      <c r="G782" s="424"/>
      <c r="H782" s="424"/>
      <c r="I782" s="424"/>
      <c r="J782" s="424"/>
      <c r="K782" s="424"/>
      <c r="L782" s="424"/>
      <c r="M782" s="424"/>
      <c r="N782" s="424"/>
      <c r="O782" s="424"/>
      <c r="P782" s="424"/>
      <c r="Q782" s="435" t="n">
        <v>45</v>
      </c>
      <c r="R782" s="434" t="s">
        <v>547</v>
      </c>
      <c r="S782" s="424"/>
      <c r="T782" s="434" t="s">
        <v>548</v>
      </c>
      <c r="U782" s="434" t="s">
        <v>549</v>
      </c>
      <c r="V782" s="436" t="n">
        <f aca="false">AY787</f>
        <v>0</v>
      </c>
    </row>
    <row r="783" customFormat="false" ht="13.5" hidden="false" customHeight="false" outlineLevel="0" collapsed="false">
      <c r="A783" s="440"/>
      <c r="B783" s="424"/>
      <c r="C783" s="424"/>
      <c r="D783" s="424"/>
      <c r="E783" s="424"/>
      <c r="F783" s="424"/>
      <c r="G783" s="424"/>
      <c r="H783" s="424"/>
      <c r="I783" s="424"/>
      <c r="J783" s="424"/>
      <c r="K783" s="424"/>
      <c r="L783" s="424"/>
      <c r="M783" s="424"/>
      <c r="N783" s="424"/>
      <c r="O783" s="424"/>
      <c r="P783" s="424"/>
      <c r="Q783" s="435" t="n">
        <v>46</v>
      </c>
      <c r="R783" s="434" t="s">
        <v>550</v>
      </c>
      <c r="S783" s="424"/>
      <c r="T783" s="434" t="s">
        <v>551</v>
      </c>
      <c r="U783" s="434" t="s">
        <v>552</v>
      </c>
      <c r="V783" s="436" t="n">
        <f aca="false">AY788</f>
        <v>0</v>
      </c>
    </row>
    <row r="784" customFormat="false" ht="13.5" hidden="false" customHeight="false" outlineLevel="0" collapsed="false">
      <c r="A784" s="440"/>
      <c r="B784" s="424"/>
      <c r="C784" s="424"/>
      <c r="D784" s="424"/>
      <c r="E784" s="424"/>
      <c r="F784" s="424"/>
      <c r="G784" s="424"/>
      <c r="H784" s="424"/>
      <c r="I784" s="424"/>
      <c r="J784" s="424"/>
      <c r="K784" s="424"/>
      <c r="L784" s="424"/>
      <c r="M784" s="424"/>
      <c r="N784" s="424"/>
      <c r="O784" s="424"/>
      <c r="P784" s="424"/>
      <c r="Q784" s="435" t="n">
        <v>47</v>
      </c>
      <c r="R784" s="434" t="s">
        <v>553</v>
      </c>
      <c r="S784" s="424"/>
      <c r="T784" s="434" t="s">
        <v>554</v>
      </c>
      <c r="U784" s="434" t="s">
        <v>555</v>
      </c>
      <c r="V784" s="436" t="n">
        <f aca="false">AY789</f>
        <v>0</v>
      </c>
    </row>
    <row r="785" customFormat="false" ht="13.5" hidden="false" customHeight="false" outlineLevel="0" collapsed="false">
      <c r="A785" s="424"/>
      <c r="B785" s="424"/>
      <c r="C785" s="424"/>
      <c r="D785" s="424"/>
      <c r="E785" s="424"/>
      <c r="F785" s="424"/>
      <c r="G785" s="424"/>
      <c r="H785" s="424"/>
      <c r="I785" s="424"/>
      <c r="J785" s="424"/>
      <c r="K785" s="424"/>
      <c r="L785" s="424"/>
      <c r="M785" s="424"/>
      <c r="N785" s="424"/>
      <c r="O785" s="424"/>
      <c r="P785" s="424"/>
      <c r="Q785" s="435" t="n">
        <v>48</v>
      </c>
      <c r="R785" s="434" t="s">
        <v>556</v>
      </c>
      <c r="S785" s="424"/>
      <c r="T785" s="434" t="s">
        <v>557</v>
      </c>
      <c r="U785" s="434" t="s">
        <v>558</v>
      </c>
      <c r="V785" s="436" t="n">
        <f aca="false">AY790</f>
        <v>0</v>
      </c>
    </row>
    <row r="786" customFormat="false" ht="13.5" hidden="false" customHeight="false" outlineLevel="0" collapsed="false">
      <c r="A786" s="424"/>
      <c r="B786" s="424"/>
      <c r="C786" s="424"/>
      <c r="D786" s="424"/>
      <c r="E786" s="424"/>
      <c r="F786" s="424"/>
      <c r="G786" s="424"/>
      <c r="H786" s="424"/>
      <c r="I786" s="424"/>
      <c r="J786" s="424"/>
      <c r="K786" s="424"/>
      <c r="L786" s="424"/>
      <c r="M786" s="424"/>
      <c r="N786" s="424"/>
      <c r="O786" s="424"/>
      <c r="P786" s="424"/>
      <c r="Q786" s="435" t="n">
        <v>49</v>
      </c>
      <c r="R786" s="434" t="s">
        <v>559</v>
      </c>
      <c r="S786" s="424"/>
      <c r="T786" s="434" t="s">
        <v>560</v>
      </c>
      <c r="U786" s="434" t="s">
        <v>561</v>
      </c>
      <c r="V786" s="436" t="n">
        <f aca="false">AY791</f>
        <v>0</v>
      </c>
    </row>
    <row r="787" customFormat="false" ht="13.5" hidden="false" customHeight="false" outlineLevel="0" collapsed="false">
      <c r="A787" s="424"/>
      <c r="B787" s="424"/>
      <c r="C787" s="424"/>
      <c r="D787" s="424"/>
      <c r="E787" s="424"/>
      <c r="F787" s="424"/>
      <c r="G787" s="424"/>
      <c r="H787" s="424"/>
      <c r="I787" s="424"/>
      <c r="J787" s="424"/>
      <c r="K787" s="424"/>
      <c r="L787" s="424"/>
      <c r="M787" s="424"/>
      <c r="N787" s="424"/>
      <c r="O787" s="424"/>
      <c r="P787" s="424"/>
      <c r="Q787" s="435" t="n">
        <v>50</v>
      </c>
      <c r="R787" s="434" t="s">
        <v>562</v>
      </c>
      <c r="S787" s="424"/>
      <c r="T787" s="434" t="s">
        <v>563</v>
      </c>
      <c r="U787" s="434" t="s">
        <v>564</v>
      </c>
      <c r="V787" s="436" t="n">
        <f aca="false">AY792</f>
        <v>0</v>
      </c>
    </row>
    <row r="788" customFormat="false" ht="13.5" hidden="false" customHeight="false" outlineLevel="0" collapsed="false">
      <c r="A788" s="424"/>
      <c r="B788" s="424"/>
      <c r="C788" s="424"/>
      <c r="D788" s="424"/>
      <c r="E788" s="424"/>
      <c r="F788" s="424"/>
      <c r="G788" s="424"/>
      <c r="H788" s="424"/>
      <c r="I788" s="424"/>
      <c r="J788" s="424"/>
      <c r="K788" s="424"/>
      <c r="L788" s="424"/>
      <c r="M788" s="424"/>
      <c r="N788" s="424"/>
      <c r="O788" s="424"/>
      <c r="P788" s="424"/>
      <c r="Q788" s="435" t="n">
        <v>51</v>
      </c>
      <c r="R788" s="434" t="s">
        <v>565</v>
      </c>
      <c r="S788" s="424"/>
      <c r="T788" s="434" t="s">
        <v>566</v>
      </c>
      <c r="U788" s="434" t="s">
        <v>567</v>
      </c>
      <c r="V788" s="436" t="n">
        <f aca="false">AY793</f>
        <v>0</v>
      </c>
    </row>
    <row r="789" customFormat="false" ht="13.5" hidden="false" customHeight="false" outlineLevel="0" collapsed="false">
      <c r="A789" s="424"/>
      <c r="B789" s="424"/>
      <c r="C789" s="424"/>
      <c r="D789" s="424"/>
      <c r="E789" s="424"/>
      <c r="F789" s="424"/>
      <c r="G789" s="424"/>
      <c r="H789" s="424"/>
      <c r="I789" s="424"/>
      <c r="J789" s="424"/>
      <c r="K789" s="424"/>
      <c r="L789" s="424"/>
      <c r="M789" s="424"/>
      <c r="N789" s="424"/>
      <c r="O789" s="424"/>
      <c r="P789" s="424"/>
      <c r="Q789" s="435" t="n">
        <v>52</v>
      </c>
      <c r="R789" s="434" t="s">
        <v>568</v>
      </c>
      <c r="S789" s="424"/>
      <c r="T789" s="434" t="s">
        <v>569</v>
      </c>
      <c r="U789" s="434" t="s">
        <v>570</v>
      </c>
      <c r="V789" s="436" t="n">
        <f aca="false">AY794</f>
        <v>0</v>
      </c>
    </row>
    <row r="790" customFormat="false" ht="13.5" hidden="false" customHeight="false" outlineLevel="0" collapsed="false">
      <c r="A790" s="424"/>
      <c r="B790" s="424"/>
      <c r="C790" s="424"/>
      <c r="D790" s="424"/>
      <c r="E790" s="424"/>
      <c r="F790" s="424"/>
      <c r="G790" s="424"/>
      <c r="H790" s="424"/>
      <c r="I790" s="424"/>
      <c r="J790" s="424"/>
      <c r="K790" s="424"/>
      <c r="L790" s="424"/>
      <c r="M790" s="424"/>
      <c r="N790" s="424"/>
      <c r="O790" s="424"/>
      <c r="P790" s="424"/>
      <c r="Q790" s="435" t="n">
        <v>53</v>
      </c>
      <c r="R790" s="434" t="s">
        <v>571</v>
      </c>
      <c r="S790" s="424"/>
      <c r="T790" s="434" t="s">
        <v>572</v>
      </c>
      <c r="U790" s="434" t="s">
        <v>573</v>
      </c>
      <c r="V790" s="436" t="n">
        <f aca="false">AY795</f>
        <v>0</v>
      </c>
    </row>
    <row r="791" customFormat="false" ht="13.5" hidden="false" customHeight="false" outlineLevel="0" collapsed="false">
      <c r="A791" s="424"/>
      <c r="B791" s="424"/>
      <c r="C791" s="424"/>
      <c r="D791" s="424"/>
      <c r="E791" s="424"/>
      <c r="F791" s="424"/>
      <c r="G791" s="424"/>
      <c r="H791" s="424"/>
      <c r="I791" s="424"/>
      <c r="J791" s="424"/>
      <c r="K791" s="424"/>
      <c r="L791" s="424"/>
      <c r="M791" s="424"/>
      <c r="N791" s="424"/>
      <c r="O791" s="424"/>
      <c r="P791" s="424"/>
      <c r="Q791" s="435" t="n">
        <v>54</v>
      </c>
      <c r="R791" s="434" t="s">
        <v>574</v>
      </c>
      <c r="S791" s="424"/>
      <c r="T791" s="434" t="s">
        <v>575</v>
      </c>
      <c r="U791" s="434" t="s">
        <v>576</v>
      </c>
      <c r="V791" s="436" t="n">
        <f aca="false">AY796</f>
        <v>0</v>
      </c>
    </row>
    <row r="792" customFormat="false" ht="13.5" hidden="false" customHeight="false" outlineLevel="0" collapsed="false">
      <c r="A792" s="424"/>
      <c r="B792" s="424"/>
      <c r="C792" s="424"/>
      <c r="D792" s="424"/>
      <c r="E792" s="424"/>
      <c r="F792" s="424"/>
      <c r="G792" s="424"/>
      <c r="H792" s="424"/>
      <c r="I792" s="424"/>
      <c r="J792" s="424"/>
      <c r="K792" s="424"/>
      <c r="L792" s="424"/>
      <c r="M792" s="424"/>
      <c r="N792" s="424"/>
      <c r="O792" s="424"/>
      <c r="P792" s="424"/>
      <c r="Q792" s="435" t="n">
        <v>55</v>
      </c>
      <c r="R792" s="434" t="s">
        <v>577</v>
      </c>
      <c r="S792" s="424"/>
      <c r="T792" s="434" t="s">
        <v>578</v>
      </c>
      <c r="U792" s="434" t="s">
        <v>579</v>
      </c>
      <c r="V792" s="436" t="n">
        <f aca="false">AY797</f>
        <v>0</v>
      </c>
    </row>
    <row r="793" customFormat="false" ht="13.5" hidden="false" customHeight="false" outlineLevel="0" collapsed="false">
      <c r="A793" s="424"/>
      <c r="B793" s="424"/>
      <c r="C793" s="424"/>
      <c r="D793" s="424"/>
      <c r="E793" s="424"/>
      <c r="F793" s="424"/>
      <c r="G793" s="424"/>
      <c r="H793" s="424"/>
      <c r="I793" s="424"/>
      <c r="J793" s="424"/>
      <c r="K793" s="424"/>
      <c r="L793" s="424"/>
      <c r="M793" s="424"/>
      <c r="N793" s="424"/>
      <c r="O793" s="424"/>
      <c r="P793" s="424"/>
      <c r="Q793" s="435" t="n">
        <v>56</v>
      </c>
      <c r="R793" s="434" t="s">
        <v>580</v>
      </c>
      <c r="S793" s="424"/>
      <c r="T793" s="434" t="s">
        <v>581</v>
      </c>
      <c r="U793" s="434" t="s">
        <v>582</v>
      </c>
      <c r="V793" s="436" t="n">
        <f aca="false">AY798</f>
        <v>0</v>
      </c>
    </row>
    <row r="794" customFormat="false" ht="13.5" hidden="false" customHeight="false" outlineLevel="0" collapsed="false">
      <c r="A794" s="424"/>
      <c r="B794" s="424"/>
      <c r="C794" s="424"/>
      <c r="D794" s="424"/>
      <c r="E794" s="424"/>
      <c r="F794" s="424"/>
      <c r="G794" s="424"/>
      <c r="H794" s="424"/>
      <c r="I794" s="424"/>
      <c r="J794" s="424"/>
      <c r="K794" s="424"/>
      <c r="L794" s="424"/>
      <c r="M794" s="424"/>
      <c r="N794" s="424"/>
      <c r="O794" s="424"/>
      <c r="P794" s="424"/>
      <c r="Q794" s="435" t="n">
        <v>57</v>
      </c>
      <c r="R794" s="434" t="s">
        <v>583</v>
      </c>
      <c r="S794" s="424"/>
      <c r="T794" s="434" t="s">
        <v>584</v>
      </c>
      <c r="U794" s="434" t="s">
        <v>585</v>
      </c>
      <c r="V794" s="436" t="n">
        <f aca="false">AY799</f>
        <v>0</v>
      </c>
    </row>
    <row r="795" customFormat="false" ht="13.5" hidden="false" customHeight="false" outlineLevel="0" collapsed="false">
      <c r="A795" s="424"/>
      <c r="B795" s="424"/>
      <c r="C795" s="424"/>
      <c r="D795" s="424"/>
      <c r="E795" s="424"/>
      <c r="F795" s="424"/>
      <c r="G795" s="424"/>
      <c r="H795" s="424"/>
      <c r="I795" s="424"/>
      <c r="J795" s="424"/>
      <c r="K795" s="424"/>
      <c r="L795" s="424"/>
      <c r="M795" s="424"/>
      <c r="N795" s="424"/>
      <c r="O795" s="424"/>
      <c r="P795" s="424"/>
      <c r="Q795" s="435" t="n">
        <v>58</v>
      </c>
      <c r="R795" s="434" t="s">
        <v>586</v>
      </c>
      <c r="S795" s="424"/>
      <c r="T795" s="434" t="s">
        <v>587</v>
      </c>
      <c r="U795" s="434" t="s">
        <v>588</v>
      </c>
      <c r="V795" s="436" t="n">
        <f aca="false">AY800</f>
        <v>0</v>
      </c>
    </row>
    <row r="796" customFormat="false" ht="13.5" hidden="false" customHeight="false" outlineLevel="0" collapsed="false">
      <c r="A796" s="424"/>
      <c r="B796" s="424"/>
      <c r="C796" s="424"/>
      <c r="D796" s="424"/>
      <c r="E796" s="424"/>
      <c r="F796" s="424"/>
      <c r="G796" s="424"/>
      <c r="H796" s="424"/>
      <c r="I796" s="424"/>
      <c r="J796" s="424"/>
      <c r="K796" s="424"/>
      <c r="L796" s="424"/>
      <c r="M796" s="424"/>
      <c r="N796" s="424"/>
      <c r="O796" s="424"/>
      <c r="P796" s="424"/>
      <c r="Q796" s="435" t="n">
        <v>59</v>
      </c>
      <c r="R796" s="434" t="s">
        <v>589</v>
      </c>
      <c r="S796" s="424"/>
      <c r="T796" s="434" t="s">
        <v>590</v>
      </c>
      <c r="U796" s="434" t="s">
        <v>591</v>
      </c>
      <c r="V796" s="436" t="n">
        <f aca="false">AY801</f>
        <v>0</v>
      </c>
    </row>
    <row r="797" customFormat="false" ht="13.5" hidden="false" customHeight="false" outlineLevel="0" collapsed="false">
      <c r="A797" s="424"/>
      <c r="B797" s="424"/>
      <c r="C797" s="424"/>
      <c r="D797" s="424"/>
      <c r="E797" s="424"/>
      <c r="F797" s="424"/>
      <c r="G797" s="424"/>
      <c r="H797" s="424"/>
      <c r="I797" s="424"/>
      <c r="J797" s="424"/>
      <c r="K797" s="424"/>
      <c r="L797" s="424"/>
      <c r="M797" s="424"/>
      <c r="N797" s="424"/>
      <c r="O797" s="424"/>
      <c r="P797" s="424"/>
      <c r="Q797" s="435" t="n">
        <v>60</v>
      </c>
      <c r="R797" s="434" t="s">
        <v>592</v>
      </c>
      <c r="S797" s="424"/>
      <c r="T797" s="434" t="s">
        <v>593</v>
      </c>
      <c r="U797" s="434" t="s">
        <v>594</v>
      </c>
      <c r="V797" s="436" t="n">
        <f aca="false">AY802</f>
        <v>0</v>
      </c>
    </row>
    <row r="798" customFormat="false" ht="13.5" hidden="false" customHeight="false" outlineLevel="0" collapsed="false">
      <c r="A798" s="424"/>
      <c r="B798" s="424"/>
      <c r="C798" s="424"/>
      <c r="D798" s="424"/>
      <c r="E798" s="424"/>
      <c r="F798" s="424"/>
      <c r="G798" s="424"/>
      <c r="H798" s="424"/>
      <c r="I798" s="424"/>
      <c r="J798" s="424"/>
      <c r="K798" s="424"/>
      <c r="L798" s="424"/>
      <c r="M798" s="424"/>
      <c r="N798" s="424"/>
      <c r="O798" s="424"/>
      <c r="P798" s="424"/>
      <c r="Q798" s="435" t="n">
        <v>61</v>
      </c>
      <c r="R798" s="434" t="s">
        <v>595</v>
      </c>
      <c r="S798" s="424"/>
      <c r="T798" s="434" t="s">
        <v>596</v>
      </c>
      <c r="U798" s="434" t="s">
        <v>597</v>
      </c>
      <c r="V798" s="436" t="n">
        <f aca="false">AY803</f>
        <v>0</v>
      </c>
    </row>
    <row r="799" customFormat="false" ht="13.5" hidden="false" customHeight="false" outlineLevel="0" collapsed="false">
      <c r="A799" s="424"/>
      <c r="B799" s="424"/>
      <c r="C799" s="424"/>
      <c r="D799" s="424"/>
      <c r="E799" s="424"/>
      <c r="F799" s="424"/>
      <c r="G799" s="424"/>
      <c r="H799" s="424"/>
      <c r="I799" s="424"/>
      <c r="J799" s="424"/>
      <c r="K799" s="424"/>
      <c r="L799" s="424"/>
      <c r="M799" s="424"/>
      <c r="N799" s="424"/>
      <c r="O799" s="424"/>
      <c r="P799" s="424"/>
      <c r="Q799" s="435" t="n">
        <v>62</v>
      </c>
      <c r="R799" s="434" t="s">
        <v>598</v>
      </c>
      <c r="S799" s="424"/>
      <c r="T799" s="434" t="s">
        <v>599</v>
      </c>
      <c r="U799" s="434" t="s">
        <v>600</v>
      </c>
      <c r="V799" s="436" t="n">
        <f aca="false">AY804</f>
        <v>0</v>
      </c>
    </row>
    <row r="800" customFormat="false" ht="13.5" hidden="false" customHeight="false" outlineLevel="0" collapsed="false">
      <c r="A800" s="424"/>
      <c r="B800" s="424"/>
      <c r="C800" s="424"/>
      <c r="D800" s="424"/>
      <c r="E800" s="424"/>
      <c r="F800" s="424"/>
      <c r="G800" s="424"/>
      <c r="H800" s="424"/>
      <c r="I800" s="424"/>
      <c r="J800" s="424"/>
      <c r="K800" s="424"/>
      <c r="L800" s="424"/>
      <c r="M800" s="424"/>
      <c r="N800" s="424"/>
      <c r="O800" s="424"/>
      <c r="P800" s="424"/>
      <c r="Q800" s="435" t="n">
        <v>63</v>
      </c>
      <c r="R800" s="434" t="s">
        <v>601</v>
      </c>
      <c r="S800" s="424"/>
      <c r="T800" s="434" t="s">
        <v>602</v>
      </c>
      <c r="U800" s="434" t="s">
        <v>603</v>
      </c>
      <c r="V800" s="436" t="n">
        <f aca="false">AY805</f>
        <v>0</v>
      </c>
    </row>
    <row r="801" customFormat="false" ht="13.5" hidden="false" customHeight="false" outlineLevel="0" collapsed="false">
      <c r="A801" s="424"/>
      <c r="B801" s="424"/>
      <c r="C801" s="424"/>
      <c r="D801" s="424"/>
      <c r="E801" s="424"/>
      <c r="F801" s="424"/>
      <c r="G801" s="424"/>
      <c r="H801" s="424"/>
      <c r="I801" s="424"/>
      <c r="J801" s="424"/>
      <c r="K801" s="424"/>
      <c r="L801" s="424"/>
      <c r="M801" s="424"/>
      <c r="N801" s="424"/>
      <c r="O801" s="424"/>
      <c r="P801" s="424"/>
      <c r="Q801" s="435" t="n">
        <v>64</v>
      </c>
      <c r="R801" s="434" t="s">
        <v>604</v>
      </c>
      <c r="S801" s="424"/>
      <c r="T801" s="434" t="s">
        <v>605</v>
      </c>
      <c r="U801" s="434" t="s">
        <v>606</v>
      </c>
      <c r="V801" s="436" t="n">
        <f aca="false">AY806</f>
        <v>0</v>
      </c>
    </row>
    <row r="802" customFormat="false" ht="13.5" hidden="false" customHeight="false" outlineLevel="0" collapsed="false">
      <c r="A802" s="424"/>
      <c r="B802" s="424"/>
      <c r="C802" s="424"/>
      <c r="D802" s="424"/>
      <c r="E802" s="424"/>
      <c r="F802" s="424"/>
      <c r="G802" s="424"/>
      <c r="H802" s="424"/>
      <c r="I802" s="424"/>
      <c r="J802" s="424"/>
      <c r="K802" s="424"/>
      <c r="L802" s="424"/>
      <c r="M802" s="424"/>
      <c r="N802" s="424"/>
      <c r="O802" s="424"/>
      <c r="P802" s="424"/>
      <c r="Q802" s="435" t="n">
        <v>65</v>
      </c>
      <c r="R802" s="434" t="s">
        <v>607</v>
      </c>
      <c r="S802" s="424"/>
      <c r="T802" s="434" t="s">
        <v>608</v>
      </c>
      <c r="U802" s="434" t="s">
        <v>609</v>
      </c>
      <c r="V802" s="436" t="n">
        <f aca="false">AY807</f>
        <v>0</v>
      </c>
    </row>
    <row r="803" customFormat="false" ht="13.5" hidden="false" customHeight="false" outlineLevel="0" collapsed="false">
      <c r="A803" s="424"/>
      <c r="B803" s="424"/>
      <c r="C803" s="424"/>
      <c r="D803" s="424"/>
      <c r="E803" s="424"/>
      <c r="F803" s="424"/>
      <c r="G803" s="424"/>
      <c r="H803" s="424"/>
      <c r="I803" s="424"/>
      <c r="J803" s="424"/>
      <c r="K803" s="424"/>
      <c r="L803" s="424"/>
      <c r="M803" s="424"/>
      <c r="N803" s="424"/>
      <c r="O803" s="424"/>
      <c r="P803" s="424"/>
      <c r="Q803" s="435" t="n">
        <v>66</v>
      </c>
      <c r="R803" s="434" t="s">
        <v>610</v>
      </c>
      <c r="S803" s="424"/>
      <c r="T803" s="434" t="s">
        <v>611</v>
      </c>
      <c r="U803" s="434" t="s">
        <v>612</v>
      </c>
      <c r="V803" s="436" t="n">
        <f aca="false">AY808</f>
        <v>0</v>
      </c>
    </row>
    <row r="804" customFormat="false" ht="13.5" hidden="false" customHeight="false" outlineLevel="0" collapsed="false">
      <c r="A804" s="424"/>
      <c r="B804" s="424"/>
      <c r="C804" s="424"/>
      <c r="D804" s="424"/>
      <c r="E804" s="424"/>
      <c r="F804" s="424"/>
      <c r="G804" s="424"/>
      <c r="H804" s="424"/>
      <c r="I804" s="424"/>
      <c r="J804" s="424"/>
      <c r="K804" s="424"/>
      <c r="L804" s="424"/>
      <c r="M804" s="424"/>
      <c r="N804" s="424"/>
      <c r="O804" s="424"/>
      <c r="P804" s="424"/>
      <c r="Q804" s="435" t="n">
        <v>67</v>
      </c>
      <c r="R804" s="434" t="s">
        <v>613</v>
      </c>
      <c r="S804" s="424"/>
      <c r="T804" s="434" t="s">
        <v>614</v>
      </c>
      <c r="U804" s="434" t="s">
        <v>615</v>
      </c>
      <c r="V804" s="436" t="n">
        <f aca="false">AY809</f>
        <v>0</v>
      </c>
    </row>
    <row r="805" customFormat="false" ht="13.5" hidden="false" customHeight="false" outlineLevel="0" collapsed="false">
      <c r="A805" s="424"/>
      <c r="B805" s="424"/>
      <c r="C805" s="424"/>
      <c r="D805" s="424"/>
      <c r="E805" s="424"/>
      <c r="F805" s="424"/>
      <c r="G805" s="424"/>
      <c r="H805" s="424"/>
      <c r="I805" s="424"/>
      <c r="J805" s="424"/>
      <c r="K805" s="424"/>
      <c r="L805" s="424"/>
      <c r="M805" s="424"/>
      <c r="N805" s="424"/>
      <c r="O805" s="424"/>
      <c r="P805" s="424"/>
      <c r="Q805" s="435" t="n">
        <v>68</v>
      </c>
      <c r="R805" s="434" t="s">
        <v>616</v>
      </c>
      <c r="S805" s="424"/>
      <c r="T805" s="434" t="s">
        <v>617</v>
      </c>
      <c r="U805" s="434" t="s">
        <v>618</v>
      </c>
      <c r="V805" s="436" t="n">
        <f aca="false">AY810</f>
        <v>0</v>
      </c>
    </row>
    <row r="806" customFormat="false" ht="13.5" hidden="false" customHeight="false" outlineLevel="0" collapsed="false">
      <c r="A806" s="424"/>
      <c r="B806" s="424"/>
      <c r="C806" s="424"/>
      <c r="D806" s="424"/>
      <c r="E806" s="424"/>
      <c r="F806" s="424"/>
      <c r="G806" s="424"/>
      <c r="H806" s="424"/>
      <c r="I806" s="424"/>
      <c r="J806" s="424"/>
      <c r="K806" s="424"/>
      <c r="L806" s="424"/>
      <c r="M806" s="424"/>
      <c r="N806" s="424"/>
      <c r="O806" s="424"/>
      <c r="P806" s="424"/>
      <c r="Q806" s="435" t="n">
        <v>69</v>
      </c>
      <c r="R806" s="434" t="s">
        <v>619</v>
      </c>
      <c r="S806" s="424"/>
      <c r="T806" s="434" t="s">
        <v>620</v>
      </c>
      <c r="U806" s="434" t="s">
        <v>621</v>
      </c>
      <c r="V806" s="436" t="n">
        <f aca="false">AY811</f>
        <v>0</v>
      </c>
    </row>
    <row r="807" customFormat="false" ht="13.5" hidden="false" customHeight="false" outlineLevel="0" collapsed="false">
      <c r="A807" s="424"/>
      <c r="B807" s="424"/>
      <c r="C807" s="424"/>
      <c r="D807" s="424"/>
      <c r="E807" s="424"/>
      <c r="F807" s="424"/>
      <c r="G807" s="424"/>
      <c r="H807" s="424"/>
      <c r="I807" s="424"/>
      <c r="J807" s="424"/>
      <c r="K807" s="424"/>
      <c r="L807" s="424"/>
      <c r="M807" s="424"/>
      <c r="N807" s="424"/>
      <c r="O807" s="424"/>
      <c r="P807" s="424"/>
      <c r="Q807" s="435" t="n">
        <v>70</v>
      </c>
      <c r="R807" s="434" t="s">
        <v>622</v>
      </c>
      <c r="S807" s="424"/>
      <c r="T807" s="434" t="s">
        <v>623</v>
      </c>
      <c r="U807" s="434" t="s">
        <v>624</v>
      </c>
      <c r="V807" s="436" t="n">
        <f aca="false">AY812</f>
        <v>0</v>
      </c>
    </row>
    <row r="808" customFormat="false" ht="13.5" hidden="false" customHeight="false" outlineLevel="0" collapsed="false">
      <c r="A808" s="424"/>
      <c r="B808" s="424"/>
      <c r="C808" s="424"/>
      <c r="D808" s="424"/>
      <c r="E808" s="424"/>
      <c r="F808" s="424"/>
      <c r="G808" s="424"/>
      <c r="H808" s="424"/>
      <c r="I808" s="424"/>
      <c r="J808" s="424"/>
      <c r="K808" s="424"/>
      <c r="L808" s="424"/>
      <c r="M808" s="424"/>
      <c r="N808" s="424"/>
      <c r="O808" s="424"/>
      <c r="P808" s="424"/>
      <c r="Q808" s="435" t="n">
        <v>71</v>
      </c>
      <c r="R808" s="434" t="s">
        <v>625</v>
      </c>
      <c r="S808" s="424"/>
      <c r="T808" s="434" t="s">
        <v>626</v>
      </c>
      <c r="U808" s="434" t="s">
        <v>627</v>
      </c>
      <c r="V808" s="436" t="n">
        <f aca="false">AY813</f>
        <v>0</v>
      </c>
    </row>
    <row r="809" customFormat="false" ht="13.5" hidden="false" customHeight="false" outlineLevel="0" collapsed="false">
      <c r="A809" s="424"/>
      <c r="B809" s="424"/>
      <c r="C809" s="424"/>
      <c r="D809" s="424"/>
      <c r="E809" s="424"/>
      <c r="F809" s="424"/>
      <c r="G809" s="424"/>
      <c r="H809" s="424"/>
      <c r="I809" s="424"/>
      <c r="J809" s="424"/>
      <c r="K809" s="424"/>
      <c r="L809" s="424"/>
      <c r="M809" s="424"/>
      <c r="N809" s="424"/>
      <c r="O809" s="424"/>
      <c r="P809" s="424"/>
      <c r="Q809" s="435" t="n">
        <v>72</v>
      </c>
      <c r="R809" s="434" t="s">
        <v>628</v>
      </c>
      <c r="S809" s="424"/>
      <c r="T809" s="434" t="s">
        <v>629</v>
      </c>
      <c r="U809" s="434" t="s">
        <v>630</v>
      </c>
      <c r="V809" s="436" t="n">
        <f aca="false">AY814</f>
        <v>0</v>
      </c>
    </row>
    <row r="810" customFormat="false" ht="13.5" hidden="false" customHeight="false" outlineLevel="0" collapsed="false">
      <c r="A810" s="424"/>
      <c r="B810" s="424"/>
      <c r="C810" s="424"/>
      <c r="D810" s="424"/>
      <c r="E810" s="424"/>
      <c r="F810" s="424"/>
      <c r="G810" s="424"/>
      <c r="H810" s="424"/>
      <c r="I810" s="424"/>
      <c r="J810" s="424"/>
      <c r="K810" s="424"/>
      <c r="L810" s="424"/>
      <c r="M810" s="424"/>
      <c r="N810" s="424"/>
      <c r="O810" s="424"/>
      <c r="P810" s="424"/>
      <c r="Q810" s="435" t="n">
        <v>73</v>
      </c>
      <c r="R810" s="434" t="s">
        <v>631</v>
      </c>
      <c r="S810" s="424"/>
      <c r="T810" s="434" t="s">
        <v>632</v>
      </c>
      <c r="U810" s="434" t="s">
        <v>633</v>
      </c>
      <c r="V810" s="436" t="n">
        <f aca="false">AY815</f>
        <v>0</v>
      </c>
    </row>
    <row r="811" customFormat="false" ht="13.5" hidden="false" customHeight="false" outlineLevel="0" collapsed="false">
      <c r="A811" s="424"/>
      <c r="B811" s="424"/>
      <c r="C811" s="424"/>
      <c r="D811" s="424"/>
      <c r="E811" s="424"/>
      <c r="F811" s="424"/>
      <c r="G811" s="424"/>
      <c r="H811" s="424"/>
      <c r="I811" s="424"/>
      <c r="J811" s="424"/>
      <c r="K811" s="424"/>
      <c r="L811" s="424"/>
      <c r="M811" s="424"/>
      <c r="N811" s="424"/>
      <c r="O811" s="424"/>
      <c r="P811" s="424"/>
      <c r="Q811" s="435" t="n">
        <v>74</v>
      </c>
      <c r="R811" s="434" t="s">
        <v>634</v>
      </c>
      <c r="S811" s="424"/>
      <c r="T811" s="434" t="s">
        <v>635</v>
      </c>
      <c r="U811" s="434" t="s">
        <v>636</v>
      </c>
      <c r="V811" s="436" t="n">
        <f aca="false">AY816</f>
        <v>0</v>
      </c>
    </row>
    <row r="812" customFormat="false" ht="13.5" hidden="false" customHeight="false" outlineLevel="0" collapsed="false">
      <c r="A812" s="424"/>
      <c r="B812" s="424"/>
      <c r="C812" s="424"/>
      <c r="D812" s="424"/>
      <c r="E812" s="424"/>
      <c r="F812" s="424"/>
      <c r="G812" s="424"/>
      <c r="H812" s="424"/>
      <c r="I812" s="424"/>
      <c r="J812" s="424"/>
      <c r="K812" s="424"/>
      <c r="L812" s="424"/>
      <c r="M812" s="424"/>
      <c r="N812" s="424"/>
      <c r="O812" s="424"/>
      <c r="P812" s="424"/>
      <c r="Q812" s="435" t="n">
        <v>75</v>
      </c>
      <c r="R812" s="434" t="s">
        <v>637</v>
      </c>
      <c r="S812" s="424"/>
      <c r="T812" s="434" t="s">
        <v>638</v>
      </c>
      <c r="U812" s="434" t="s">
        <v>639</v>
      </c>
      <c r="V812" s="436" t="n">
        <f aca="false">AY817</f>
        <v>0</v>
      </c>
    </row>
    <row r="813" customFormat="false" ht="13.5" hidden="false" customHeight="false" outlineLevel="0" collapsed="false">
      <c r="A813" s="424"/>
      <c r="B813" s="424"/>
      <c r="C813" s="424"/>
      <c r="D813" s="424"/>
      <c r="E813" s="424"/>
      <c r="F813" s="424"/>
      <c r="G813" s="424"/>
      <c r="H813" s="424"/>
      <c r="I813" s="424"/>
      <c r="J813" s="424"/>
      <c r="K813" s="424"/>
      <c r="L813" s="424"/>
      <c r="M813" s="424"/>
      <c r="N813" s="424"/>
      <c r="O813" s="424"/>
      <c r="P813" s="424"/>
      <c r="Q813" s="435" t="n">
        <v>76</v>
      </c>
      <c r="R813" s="434" t="s">
        <v>640</v>
      </c>
      <c r="S813" s="424"/>
      <c r="T813" s="434" t="s">
        <v>641</v>
      </c>
      <c r="U813" s="434" t="s">
        <v>642</v>
      </c>
      <c r="V813" s="436" t="n">
        <f aca="false">AY818</f>
        <v>0</v>
      </c>
    </row>
    <row r="814" customFormat="false" ht="13.5" hidden="false" customHeight="false" outlineLevel="0" collapsed="false">
      <c r="A814" s="424"/>
      <c r="B814" s="424"/>
      <c r="C814" s="424"/>
      <c r="D814" s="424"/>
      <c r="E814" s="424"/>
      <c r="F814" s="424"/>
      <c r="G814" s="424"/>
      <c r="H814" s="424"/>
      <c r="I814" s="424"/>
      <c r="J814" s="424"/>
      <c r="K814" s="424"/>
      <c r="L814" s="424"/>
      <c r="M814" s="424"/>
      <c r="N814" s="424"/>
      <c r="O814" s="424"/>
      <c r="P814" s="424"/>
      <c r="Q814" s="435" t="n">
        <v>77</v>
      </c>
      <c r="R814" s="434" t="s">
        <v>643</v>
      </c>
      <c r="S814" s="424"/>
      <c r="T814" s="434" t="s">
        <v>644</v>
      </c>
      <c r="U814" s="434" t="s">
        <v>645</v>
      </c>
      <c r="V814" s="436" t="n">
        <f aca="false">AY819</f>
        <v>0</v>
      </c>
    </row>
    <row r="815" customFormat="false" ht="13.5" hidden="false" customHeight="false" outlineLevel="0" collapsed="false">
      <c r="A815" s="424"/>
      <c r="B815" s="424"/>
      <c r="C815" s="424"/>
      <c r="D815" s="424"/>
      <c r="E815" s="424"/>
      <c r="F815" s="424"/>
      <c r="G815" s="424"/>
      <c r="H815" s="424"/>
      <c r="I815" s="424"/>
      <c r="J815" s="424"/>
      <c r="K815" s="424"/>
      <c r="L815" s="424"/>
      <c r="M815" s="424"/>
      <c r="N815" s="424"/>
      <c r="O815" s="424"/>
      <c r="P815" s="424"/>
      <c r="Q815" s="435" t="n">
        <v>78</v>
      </c>
      <c r="R815" s="434" t="s">
        <v>646</v>
      </c>
      <c r="S815" s="424"/>
      <c r="T815" s="434" t="s">
        <v>647</v>
      </c>
      <c r="U815" s="434" t="s">
        <v>648</v>
      </c>
      <c r="V815" s="436" t="n">
        <f aca="false">AY820</f>
        <v>0</v>
      </c>
    </row>
    <row r="816" customFormat="false" ht="13.5" hidden="false" customHeight="false" outlineLevel="0" collapsed="false">
      <c r="A816" s="424"/>
      <c r="B816" s="424"/>
      <c r="C816" s="424"/>
      <c r="D816" s="424"/>
      <c r="E816" s="424"/>
      <c r="F816" s="424"/>
      <c r="G816" s="424"/>
      <c r="H816" s="424"/>
      <c r="I816" s="424"/>
      <c r="J816" s="424"/>
      <c r="K816" s="424"/>
      <c r="L816" s="424"/>
      <c r="M816" s="424"/>
      <c r="N816" s="424"/>
      <c r="O816" s="424"/>
      <c r="P816" s="424"/>
      <c r="Q816" s="435" t="n">
        <v>79</v>
      </c>
      <c r="R816" s="434" t="s">
        <v>649</v>
      </c>
      <c r="S816" s="424"/>
      <c r="T816" s="434" t="s">
        <v>650</v>
      </c>
      <c r="U816" s="434" t="s">
        <v>651</v>
      </c>
      <c r="V816" s="436" t="n">
        <f aca="false">AY821</f>
        <v>0</v>
      </c>
    </row>
    <row r="817" customFormat="false" ht="13.5" hidden="false" customHeight="false" outlineLevel="0" collapsed="false">
      <c r="A817" s="424"/>
      <c r="B817" s="424"/>
      <c r="C817" s="424"/>
      <c r="D817" s="424"/>
      <c r="E817" s="424"/>
      <c r="F817" s="424"/>
      <c r="G817" s="424"/>
      <c r="H817" s="424"/>
      <c r="I817" s="424"/>
      <c r="J817" s="424"/>
      <c r="K817" s="424"/>
      <c r="L817" s="424"/>
      <c r="M817" s="424"/>
      <c r="N817" s="424"/>
      <c r="O817" s="424"/>
      <c r="P817" s="424"/>
      <c r="Q817" s="435" t="n">
        <v>80</v>
      </c>
      <c r="R817" s="434" t="s">
        <v>652</v>
      </c>
      <c r="S817" s="424"/>
      <c r="T817" s="434" t="s">
        <v>653</v>
      </c>
      <c r="U817" s="434" t="s">
        <v>654</v>
      </c>
      <c r="V817" s="436" t="n">
        <f aca="false">AY822</f>
        <v>0</v>
      </c>
    </row>
    <row r="818" customFormat="false" ht="13.5" hidden="false" customHeight="false" outlineLevel="0" collapsed="false">
      <c r="A818" s="424"/>
      <c r="B818" s="424"/>
      <c r="C818" s="424"/>
      <c r="D818" s="424"/>
      <c r="E818" s="424"/>
      <c r="F818" s="424"/>
      <c r="G818" s="424"/>
      <c r="H818" s="424"/>
      <c r="I818" s="424"/>
      <c r="J818" s="424"/>
      <c r="K818" s="424"/>
      <c r="L818" s="424"/>
      <c r="M818" s="424"/>
      <c r="N818" s="424"/>
      <c r="O818" s="424"/>
      <c r="P818" s="424"/>
      <c r="Q818" s="435" t="n">
        <v>81</v>
      </c>
      <c r="R818" s="434" t="s">
        <v>655</v>
      </c>
      <c r="S818" s="424"/>
      <c r="T818" s="434" t="s">
        <v>656</v>
      </c>
      <c r="U818" s="434" t="s">
        <v>657</v>
      </c>
      <c r="V818" s="436" t="n">
        <f aca="false">AY823</f>
        <v>0</v>
      </c>
    </row>
    <row r="819" customFormat="false" ht="13.5" hidden="false" customHeight="false" outlineLevel="0" collapsed="false">
      <c r="A819" s="424"/>
      <c r="B819" s="424"/>
      <c r="C819" s="424"/>
      <c r="D819" s="424"/>
      <c r="E819" s="424"/>
      <c r="F819" s="424"/>
      <c r="G819" s="424"/>
      <c r="H819" s="424"/>
      <c r="I819" s="424"/>
      <c r="J819" s="424"/>
      <c r="K819" s="424"/>
      <c r="L819" s="424"/>
      <c r="M819" s="424"/>
      <c r="N819" s="424"/>
      <c r="O819" s="424"/>
      <c r="P819" s="424"/>
      <c r="Q819" s="435" t="n">
        <v>82</v>
      </c>
      <c r="R819" s="434" t="s">
        <v>658</v>
      </c>
      <c r="S819" s="424"/>
      <c r="T819" s="434" t="s">
        <v>659</v>
      </c>
      <c r="U819" s="434" t="s">
        <v>660</v>
      </c>
      <c r="V819" s="436" t="n">
        <f aca="false">AY824</f>
        <v>0</v>
      </c>
    </row>
    <row r="820" customFormat="false" ht="13.5" hidden="false" customHeight="false" outlineLevel="0" collapsed="false">
      <c r="A820" s="424"/>
      <c r="B820" s="424"/>
      <c r="C820" s="424"/>
      <c r="D820" s="424"/>
      <c r="E820" s="424"/>
      <c r="F820" s="424"/>
      <c r="G820" s="424"/>
      <c r="H820" s="424"/>
      <c r="I820" s="424"/>
      <c r="J820" s="424"/>
      <c r="K820" s="424"/>
      <c r="L820" s="424"/>
      <c r="M820" s="424"/>
      <c r="N820" s="424"/>
      <c r="O820" s="424"/>
      <c r="P820" s="424"/>
      <c r="Q820" s="435" t="n">
        <v>83</v>
      </c>
      <c r="R820" s="434" t="s">
        <v>661</v>
      </c>
      <c r="S820" s="424"/>
      <c r="T820" s="434" t="s">
        <v>662</v>
      </c>
      <c r="U820" s="434" t="s">
        <v>663</v>
      </c>
      <c r="V820" s="436" t="n">
        <f aca="false">AY825</f>
        <v>0</v>
      </c>
    </row>
    <row r="821" customFormat="false" ht="13.5" hidden="false" customHeight="false" outlineLevel="0" collapsed="false">
      <c r="A821" s="424"/>
      <c r="B821" s="424"/>
      <c r="C821" s="424"/>
      <c r="D821" s="424"/>
      <c r="E821" s="424"/>
      <c r="F821" s="424"/>
      <c r="G821" s="424"/>
      <c r="H821" s="424"/>
      <c r="I821" s="424"/>
      <c r="J821" s="424"/>
      <c r="K821" s="424"/>
      <c r="L821" s="424"/>
      <c r="M821" s="424"/>
      <c r="N821" s="424"/>
      <c r="O821" s="424"/>
      <c r="P821" s="424"/>
      <c r="Q821" s="435" t="n">
        <v>84</v>
      </c>
      <c r="R821" s="434" t="s">
        <v>664</v>
      </c>
      <c r="S821" s="424"/>
      <c r="T821" s="434" t="s">
        <v>665</v>
      </c>
      <c r="U821" s="434" t="s">
        <v>666</v>
      </c>
      <c r="V821" s="436" t="n">
        <f aca="false">AY826</f>
        <v>0</v>
      </c>
    </row>
    <row r="822" customFormat="false" ht="13.5" hidden="false" customHeight="false" outlineLevel="0" collapsed="false">
      <c r="A822" s="424"/>
      <c r="B822" s="424"/>
      <c r="C822" s="424"/>
      <c r="D822" s="424"/>
      <c r="E822" s="424"/>
      <c r="F822" s="424"/>
      <c r="G822" s="424"/>
      <c r="H822" s="424"/>
      <c r="I822" s="424"/>
      <c r="J822" s="424"/>
      <c r="K822" s="424"/>
      <c r="L822" s="424"/>
      <c r="M822" s="424"/>
      <c r="N822" s="424"/>
      <c r="O822" s="424"/>
      <c r="P822" s="424"/>
      <c r="Q822" s="435" t="n">
        <v>85</v>
      </c>
      <c r="R822" s="434" t="s">
        <v>667</v>
      </c>
      <c r="S822" s="424"/>
      <c r="T822" s="434" t="s">
        <v>668</v>
      </c>
      <c r="U822" s="434" t="s">
        <v>669</v>
      </c>
      <c r="V822" s="436" t="n">
        <f aca="false">AY827</f>
        <v>0</v>
      </c>
    </row>
    <row r="823" customFormat="false" ht="13.5" hidden="false" customHeight="false" outlineLevel="0" collapsed="false">
      <c r="A823" s="424"/>
      <c r="B823" s="424"/>
      <c r="C823" s="424"/>
      <c r="D823" s="424"/>
      <c r="E823" s="424"/>
      <c r="F823" s="424"/>
      <c r="G823" s="424"/>
      <c r="H823" s="424"/>
      <c r="I823" s="424"/>
      <c r="J823" s="424"/>
      <c r="K823" s="424"/>
      <c r="L823" s="424"/>
      <c r="M823" s="424"/>
      <c r="N823" s="424"/>
      <c r="O823" s="424"/>
      <c r="P823" s="424"/>
      <c r="Q823" s="435" t="n">
        <v>86</v>
      </c>
      <c r="R823" s="434" t="s">
        <v>670</v>
      </c>
      <c r="S823" s="424"/>
      <c r="T823" s="434" t="s">
        <v>671</v>
      </c>
      <c r="U823" s="434" t="s">
        <v>672</v>
      </c>
      <c r="V823" s="436" t="n">
        <f aca="false">AY828</f>
        <v>0</v>
      </c>
    </row>
    <row r="824" customFormat="false" ht="13.5" hidden="false" customHeight="false" outlineLevel="0" collapsed="false">
      <c r="A824" s="424"/>
      <c r="B824" s="424"/>
      <c r="C824" s="424"/>
      <c r="D824" s="424"/>
      <c r="E824" s="424"/>
      <c r="F824" s="424"/>
      <c r="G824" s="424"/>
      <c r="H824" s="424"/>
      <c r="I824" s="424"/>
      <c r="J824" s="424"/>
      <c r="K824" s="424"/>
      <c r="L824" s="424"/>
      <c r="M824" s="424"/>
      <c r="N824" s="424"/>
      <c r="O824" s="424"/>
      <c r="P824" s="424"/>
      <c r="Q824" s="435" t="n">
        <v>87</v>
      </c>
      <c r="R824" s="434" t="s">
        <v>673</v>
      </c>
      <c r="S824" s="424"/>
      <c r="T824" s="434" t="s">
        <v>674</v>
      </c>
      <c r="U824" s="434" t="s">
        <v>675</v>
      </c>
      <c r="V824" s="436" t="n">
        <f aca="false">AY829</f>
        <v>0</v>
      </c>
    </row>
    <row r="825" customFormat="false" ht="13.5" hidden="false" customHeight="false" outlineLevel="0" collapsed="false">
      <c r="A825" s="424"/>
      <c r="B825" s="424"/>
      <c r="C825" s="424"/>
      <c r="D825" s="424"/>
      <c r="E825" s="424"/>
      <c r="F825" s="424"/>
      <c r="G825" s="424"/>
      <c r="H825" s="424"/>
      <c r="I825" s="424"/>
      <c r="J825" s="424"/>
      <c r="K825" s="424"/>
      <c r="L825" s="424"/>
      <c r="M825" s="424"/>
      <c r="N825" s="424"/>
      <c r="O825" s="424"/>
      <c r="P825" s="424"/>
      <c r="Q825" s="435" t="n">
        <v>88</v>
      </c>
      <c r="R825" s="434" t="s">
        <v>676</v>
      </c>
      <c r="S825" s="424"/>
      <c r="T825" s="434" t="s">
        <v>677</v>
      </c>
      <c r="U825" s="434" t="s">
        <v>678</v>
      </c>
      <c r="V825" s="436" t="n">
        <f aca="false">AY830</f>
        <v>0</v>
      </c>
    </row>
    <row r="826" customFormat="false" ht="13.5" hidden="false" customHeight="false" outlineLevel="0" collapsed="false">
      <c r="A826" s="424"/>
      <c r="B826" s="424"/>
      <c r="C826" s="424"/>
      <c r="D826" s="424"/>
      <c r="E826" s="424"/>
      <c r="F826" s="424"/>
      <c r="G826" s="424"/>
      <c r="H826" s="424"/>
      <c r="I826" s="424"/>
      <c r="J826" s="424"/>
      <c r="K826" s="424"/>
      <c r="L826" s="424"/>
      <c r="M826" s="424"/>
      <c r="N826" s="424"/>
      <c r="O826" s="424"/>
      <c r="P826" s="424"/>
      <c r="Q826" s="435" t="n">
        <v>89</v>
      </c>
      <c r="R826" s="434" t="s">
        <v>679</v>
      </c>
      <c r="S826" s="424"/>
      <c r="T826" s="434" t="s">
        <v>680</v>
      </c>
      <c r="U826" s="434" t="s">
        <v>681</v>
      </c>
      <c r="V826" s="436" t="n">
        <f aca="false">AY831</f>
        <v>0</v>
      </c>
    </row>
    <row r="827" customFormat="false" ht="13.5" hidden="false" customHeight="false" outlineLevel="0" collapsed="false">
      <c r="A827" s="424"/>
      <c r="B827" s="424"/>
      <c r="C827" s="424"/>
      <c r="D827" s="424"/>
      <c r="E827" s="424"/>
      <c r="F827" s="424"/>
      <c r="G827" s="424"/>
      <c r="H827" s="424"/>
      <c r="I827" s="424"/>
      <c r="J827" s="424"/>
      <c r="K827" s="424"/>
      <c r="L827" s="424"/>
      <c r="M827" s="424"/>
      <c r="N827" s="424"/>
      <c r="O827" s="424"/>
      <c r="P827" s="424"/>
      <c r="Q827" s="435" t="n">
        <v>90</v>
      </c>
      <c r="R827" s="434" t="s">
        <v>682</v>
      </c>
      <c r="S827" s="424"/>
      <c r="T827" s="434" t="s">
        <v>683</v>
      </c>
      <c r="U827" s="434" t="s">
        <v>684</v>
      </c>
      <c r="V827" s="436" t="n">
        <f aca="false">AY832</f>
        <v>0</v>
      </c>
    </row>
    <row r="828" customFormat="false" ht="13.5" hidden="false" customHeight="false" outlineLevel="0" collapsed="false">
      <c r="A828" s="424"/>
      <c r="B828" s="424"/>
      <c r="C828" s="424"/>
      <c r="D828" s="424"/>
      <c r="E828" s="424"/>
      <c r="F828" s="424"/>
      <c r="G828" s="424"/>
      <c r="H828" s="424"/>
      <c r="I828" s="424"/>
      <c r="J828" s="424"/>
      <c r="K828" s="424"/>
      <c r="L828" s="424"/>
      <c r="M828" s="424"/>
      <c r="N828" s="424"/>
      <c r="O828" s="424"/>
      <c r="P828" s="424"/>
      <c r="Q828" s="435" t="n">
        <v>91</v>
      </c>
      <c r="R828" s="434" t="s">
        <v>685</v>
      </c>
      <c r="S828" s="424"/>
      <c r="T828" s="434" t="s">
        <v>686</v>
      </c>
      <c r="U828" s="434" t="s">
        <v>687</v>
      </c>
      <c r="V828" s="436" t="n">
        <f aca="false">AY833</f>
        <v>0</v>
      </c>
    </row>
    <row r="829" customFormat="false" ht="13.5" hidden="false" customHeight="false" outlineLevel="0" collapsed="false">
      <c r="A829" s="424"/>
      <c r="B829" s="424"/>
      <c r="C829" s="424"/>
      <c r="D829" s="424"/>
      <c r="E829" s="424"/>
      <c r="F829" s="424"/>
      <c r="G829" s="424"/>
      <c r="H829" s="424"/>
      <c r="I829" s="424"/>
      <c r="J829" s="424"/>
      <c r="K829" s="424"/>
      <c r="L829" s="424"/>
      <c r="M829" s="424"/>
      <c r="N829" s="424"/>
      <c r="O829" s="424"/>
      <c r="P829" s="424"/>
      <c r="Q829" s="435" t="n">
        <v>92</v>
      </c>
      <c r="R829" s="434" t="s">
        <v>688</v>
      </c>
      <c r="S829" s="424"/>
      <c r="T829" s="434" t="s">
        <v>689</v>
      </c>
      <c r="U829" s="434" t="s">
        <v>690</v>
      </c>
      <c r="V829" s="436" t="n">
        <f aca="false">AY834</f>
        <v>0</v>
      </c>
    </row>
    <row r="830" customFormat="false" ht="13.5" hidden="false" customHeight="false" outlineLevel="0" collapsed="false">
      <c r="A830" s="424"/>
      <c r="B830" s="424"/>
      <c r="C830" s="424"/>
      <c r="D830" s="424"/>
      <c r="E830" s="424"/>
      <c r="F830" s="424"/>
      <c r="G830" s="424"/>
      <c r="H830" s="424"/>
      <c r="I830" s="424"/>
      <c r="J830" s="424"/>
      <c r="K830" s="424"/>
      <c r="L830" s="424"/>
      <c r="M830" s="424"/>
      <c r="N830" s="424"/>
      <c r="O830" s="424"/>
      <c r="P830" s="424"/>
      <c r="Q830" s="435" t="n">
        <v>93</v>
      </c>
      <c r="R830" s="434" t="s">
        <v>691</v>
      </c>
      <c r="S830" s="424"/>
      <c r="T830" s="434" t="s">
        <v>692</v>
      </c>
      <c r="U830" s="434" t="s">
        <v>693</v>
      </c>
      <c r="V830" s="436" t="n">
        <f aca="false">AY835</f>
        <v>0</v>
      </c>
    </row>
    <row r="831" customFormat="false" ht="13.5" hidden="false" customHeight="false" outlineLevel="0" collapsed="false">
      <c r="A831" s="424"/>
      <c r="B831" s="424"/>
      <c r="C831" s="424"/>
      <c r="D831" s="424"/>
      <c r="E831" s="424"/>
      <c r="F831" s="424"/>
      <c r="G831" s="424"/>
      <c r="H831" s="424"/>
      <c r="I831" s="424"/>
      <c r="J831" s="424"/>
      <c r="K831" s="424"/>
      <c r="L831" s="424"/>
      <c r="M831" s="424"/>
      <c r="N831" s="424"/>
      <c r="O831" s="424"/>
      <c r="P831" s="424"/>
      <c r="Q831" s="435" t="n">
        <v>94</v>
      </c>
      <c r="R831" s="434" t="s">
        <v>694</v>
      </c>
      <c r="S831" s="424"/>
      <c r="T831" s="434" t="s">
        <v>695</v>
      </c>
      <c r="U831" s="434" t="s">
        <v>696</v>
      </c>
      <c r="V831" s="436" t="n">
        <f aca="false">AY836</f>
        <v>0</v>
      </c>
    </row>
    <row r="832" customFormat="false" ht="13.5" hidden="false" customHeight="false" outlineLevel="0" collapsed="false">
      <c r="A832" s="424"/>
      <c r="B832" s="424"/>
      <c r="C832" s="424"/>
      <c r="D832" s="424"/>
      <c r="E832" s="424"/>
      <c r="F832" s="424"/>
      <c r="G832" s="424"/>
      <c r="H832" s="424"/>
      <c r="I832" s="424"/>
      <c r="J832" s="424"/>
      <c r="K832" s="424"/>
      <c r="L832" s="424"/>
      <c r="M832" s="424"/>
      <c r="N832" s="424"/>
      <c r="O832" s="424"/>
      <c r="P832" s="424"/>
      <c r="Q832" s="435" t="n">
        <v>95</v>
      </c>
      <c r="R832" s="434" t="s">
        <v>697</v>
      </c>
      <c r="S832" s="424"/>
      <c r="T832" s="434" t="s">
        <v>698</v>
      </c>
      <c r="U832" s="434" t="s">
        <v>699</v>
      </c>
      <c r="V832" s="436" t="n">
        <f aca="false">AY837</f>
        <v>0</v>
      </c>
    </row>
    <row r="833" customFormat="false" ht="13.5" hidden="false" customHeight="false" outlineLevel="0" collapsed="false">
      <c r="A833" s="424"/>
      <c r="B833" s="424"/>
      <c r="C833" s="424"/>
      <c r="D833" s="424"/>
      <c r="E833" s="424"/>
      <c r="F833" s="424"/>
      <c r="G833" s="424"/>
      <c r="H833" s="424"/>
      <c r="I833" s="424"/>
      <c r="J833" s="424"/>
      <c r="K833" s="424"/>
      <c r="L833" s="424"/>
      <c r="M833" s="424"/>
      <c r="N833" s="424"/>
      <c r="O833" s="424"/>
      <c r="P833" s="424"/>
      <c r="Q833" s="435" t="n">
        <v>96</v>
      </c>
      <c r="R833" s="434" t="s">
        <v>700</v>
      </c>
      <c r="S833" s="424"/>
      <c r="T833" s="434" t="s">
        <v>701</v>
      </c>
      <c r="U833" s="434" t="s">
        <v>702</v>
      </c>
      <c r="V833" s="436" t="n">
        <f aca="false">AY838</f>
        <v>0</v>
      </c>
    </row>
    <row r="834" customFormat="false" ht="13.5" hidden="false" customHeight="false" outlineLevel="0" collapsed="false">
      <c r="A834" s="424"/>
      <c r="B834" s="424"/>
      <c r="C834" s="424"/>
      <c r="D834" s="424"/>
      <c r="E834" s="424"/>
      <c r="F834" s="424"/>
      <c r="G834" s="424"/>
      <c r="H834" s="424"/>
      <c r="I834" s="424"/>
      <c r="J834" s="424"/>
      <c r="K834" s="424"/>
      <c r="L834" s="424"/>
      <c r="M834" s="424"/>
      <c r="N834" s="424"/>
      <c r="O834" s="424"/>
      <c r="P834" s="424"/>
      <c r="Q834" s="435" t="n">
        <v>97</v>
      </c>
      <c r="R834" s="434" t="s">
        <v>703</v>
      </c>
      <c r="S834" s="424"/>
      <c r="T834" s="434" t="s">
        <v>704</v>
      </c>
      <c r="U834" s="434" t="s">
        <v>705</v>
      </c>
      <c r="V834" s="436" t="n">
        <f aca="false">AY839</f>
        <v>0</v>
      </c>
    </row>
    <row r="835" customFormat="false" ht="13.5" hidden="false" customHeight="false" outlineLevel="0" collapsed="false">
      <c r="A835" s="424"/>
      <c r="B835" s="424"/>
      <c r="C835" s="424"/>
      <c r="D835" s="424"/>
      <c r="E835" s="424"/>
      <c r="F835" s="424"/>
      <c r="G835" s="424"/>
      <c r="H835" s="424"/>
      <c r="I835" s="424"/>
      <c r="J835" s="424"/>
      <c r="K835" s="424"/>
      <c r="L835" s="424"/>
      <c r="M835" s="424"/>
      <c r="N835" s="424"/>
      <c r="O835" s="424"/>
      <c r="P835" s="424"/>
      <c r="Q835" s="435" t="n">
        <v>98</v>
      </c>
      <c r="R835" s="434" t="s">
        <v>706</v>
      </c>
      <c r="S835" s="424"/>
      <c r="T835" s="434" t="s">
        <v>707</v>
      </c>
      <c r="U835" s="434" t="s">
        <v>708</v>
      </c>
      <c r="V835" s="436" t="n">
        <f aca="false">AY840</f>
        <v>0</v>
      </c>
    </row>
    <row r="836" customFormat="false" ht="13.5" hidden="false" customHeight="false" outlineLevel="0" collapsed="false">
      <c r="A836" s="424"/>
      <c r="B836" s="424"/>
      <c r="C836" s="424"/>
      <c r="D836" s="424"/>
      <c r="E836" s="424"/>
      <c r="F836" s="424"/>
      <c r="G836" s="424"/>
      <c r="H836" s="424"/>
      <c r="I836" s="424"/>
      <c r="J836" s="424"/>
      <c r="K836" s="424"/>
      <c r="L836" s="424"/>
      <c r="M836" s="424"/>
      <c r="N836" s="424"/>
      <c r="O836" s="424"/>
      <c r="P836" s="424"/>
      <c r="Q836" s="435" t="n">
        <v>99</v>
      </c>
      <c r="R836" s="434" t="s">
        <v>709</v>
      </c>
      <c r="S836" s="424"/>
      <c r="T836" s="434" t="s">
        <v>710</v>
      </c>
      <c r="U836" s="434" t="s">
        <v>711</v>
      </c>
      <c r="V836" s="436" t="n">
        <f aca="false">AY841</f>
        <v>0</v>
      </c>
    </row>
    <row r="837" customFormat="false" ht="13.5" hidden="false" customHeight="false" outlineLevel="0" collapsed="false">
      <c r="A837" s="424"/>
      <c r="B837" s="424"/>
      <c r="C837" s="424"/>
      <c r="D837" s="424"/>
      <c r="E837" s="424"/>
      <c r="F837" s="424"/>
      <c r="G837" s="424"/>
      <c r="H837" s="424"/>
      <c r="I837" s="424"/>
      <c r="J837" s="424"/>
      <c r="K837" s="424"/>
      <c r="L837" s="424"/>
      <c r="M837" s="424"/>
      <c r="N837" s="424"/>
      <c r="O837" s="424"/>
      <c r="P837" s="424"/>
      <c r="Q837" s="424"/>
      <c r="R837" s="424"/>
      <c r="S837" s="424"/>
      <c r="T837" s="424"/>
      <c r="U837" s="424"/>
      <c r="V837" s="436" t="n">
        <f aca="false">AY842</f>
        <v>0</v>
      </c>
    </row>
    <row r="838" customFormat="false" ht="13.5" hidden="false" customHeight="false" outlineLevel="0" collapsed="false">
      <c r="A838" s="424"/>
      <c r="B838" s="424"/>
      <c r="C838" s="424"/>
      <c r="D838" s="424"/>
      <c r="E838" s="424"/>
      <c r="F838" s="424"/>
      <c r="G838" s="424"/>
      <c r="H838" s="424"/>
      <c r="I838" s="424"/>
      <c r="J838" s="424"/>
      <c r="K838" s="424"/>
      <c r="L838" s="424"/>
      <c r="M838" s="424"/>
      <c r="N838" s="424"/>
      <c r="O838" s="424"/>
      <c r="P838" s="424"/>
      <c r="Q838" s="424"/>
      <c r="R838" s="424"/>
      <c r="S838" s="424"/>
      <c r="T838" s="424"/>
      <c r="U838" s="424"/>
      <c r="V838" s="436" t="n">
        <f aca="false">AY843</f>
        <v>0</v>
      </c>
    </row>
    <row r="839" customFormat="false" ht="13.5" hidden="false" customHeight="false" outlineLevel="0" collapsed="false">
      <c r="A839" s="424"/>
      <c r="B839" s="424"/>
      <c r="C839" s="424"/>
      <c r="D839" s="424"/>
      <c r="E839" s="424"/>
      <c r="F839" s="424"/>
      <c r="G839" s="424"/>
      <c r="H839" s="424"/>
      <c r="I839" s="424"/>
      <c r="J839" s="424"/>
      <c r="K839" s="424"/>
      <c r="L839" s="424"/>
      <c r="M839" s="424"/>
      <c r="N839" s="424"/>
      <c r="O839" s="424"/>
      <c r="P839" s="424"/>
      <c r="Q839" s="424"/>
      <c r="R839" s="424"/>
      <c r="S839" s="424"/>
      <c r="T839" s="424"/>
      <c r="U839" s="424"/>
      <c r="V839" s="436" t="n">
        <f aca="false">AY844</f>
        <v>0</v>
      </c>
    </row>
    <row r="840" customFormat="false" ht="13.5" hidden="false" customHeight="false" outlineLevel="0" collapsed="false">
      <c r="A840" s="424"/>
      <c r="B840" s="424"/>
      <c r="C840" s="424"/>
      <c r="D840" s="424"/>
      <c r="E840" s="424"/>
      <c r="F840" s="424"/>
      <c r="G840" s="424"/>
      <c r="H840" s="424"/>
      <c r="I840" s="424"/>
      <c r="J840" s="424"/>
      <c r="K840" s="424"/>
      <c r="L840" s="424"/>
      <c r="M840" s="424"/>
      <c r="N840" s="424"/>
      <c r="O840" s="424"/>
      <c r="P840" s="424"/>
      <c r="Q840" s="424"/>
      <c r="R840" s="424"/>
      <c r="S840" s="424"/>
      <c r="T840" s="424"/>
      <c r="U840" s="424"/>
      <c r="V840" s="436" t="n">
        <f aca="false">AY845</f>
        <v>0</v>
      </c>
    </row>
    <row r="841" customFormat="false" ht="13.5" hidden="false" customHeight="false" outlineLevel="0" collapsed="false">
      <c r="A841" s="424"/>
      <c r="B841" s="424"/>
      <c r="C841" s="424"/>
      <c r="D841" s="424"/>
      <c r="E841" s="424"/>
      <c r="F841" s="424"/>
      <c r="G841" s="424"/>
      <c r="H841" s="424"/>
      <c r="I841" s="424"/>
      <c r="J841" s="424"/>
      <c r="K841" s="424"/>
      <c r="L841" s="424"/>
      <c r="M841" s="424"/>
      <c r="N841" s="424"/>
      <c r="O841" s="424"/>
      <c r="P841" s="424"/>
      <c r="Q841" s="424"/>
      <c r="R841" s="424"/>
      <c r="S841" s="424"/>
      <c r="T841" s="424"/>
      <c r="U841" s="424"/>
      <c r="V841" s="436" t="n">
        <f aca="false">AY846</f>
        <v>0</v>
      </c>
    </row>
    <row r="842" customFormat="false" ht="13.5" hidden="false" customHeight="false" outlineLevel="0" collapsed="false">
      <c r="A842" s="424"/>
      <c r="B842" s="424"/>
      <c r="C842" s="424"/>
      <c r="D842" s="424"/>
      <c r="E842" s="424"/>
      <c r="F842" s="424"/>
      <c r="G842" s="424"/>
      <c r="H842" s="424"/>
      <c r="I842" s="424"/>
      <c r="J842" s="424"/>
      <c r="K842" s="424"/>
      <c r="L842" s="424"/>
      <c r="M842" s="424"/>
      <c r="N842" s="424"/>
      <c r="O842" s="424"/>
      <c r="P842" s="424"/>
      <c r="Q842" s="424"/>
      <c r="R842" s="424"/>
      <c r="S842" s="424"/>
      <c r="T842" s="424"/>
      <c r="U842" s="424"/>
      <c r="V842" s="436" t="n">
        <f aca="false">AY847</f>
        <v>0</v>
      </c>
    </row>
    <row r="843" customFormat="false" ht="13.5" hidden="false" customHeight="false" outlineLevel="0" collapsed="false">
      <c r="A843" s="424"/>
      <c r="B843" s="424"/>
      <c r="C843" s="424"/>
      <c r="D843" s="424"/>
      <c r="E843" s="424"/>
      <c r="F843" s="424"/>
      <c r="G843" s="424"/>
      <c r="H843" s="424"/>
      <c r="I843" s="424"/>
      <c r="J843" s="424"/>
      <c r="K843" s="424"/>
      <c r="L843" s="424"/>
      <c r="M843" s="424"/>
      <c r="N843" s="424"/>
      <c r="O843" s="424"/>
      <c r="P843" s="424"/>
      <c r="Q843" s="424"/>
      <c r="R843" s="424"/>
      <c r="S843" s="424"/>
      <c r="T843" s="424"/>
      <c r="U843" s="424"/>
      <c r="V843" s="436" t="n">
        <f aca="false">AY848</f>
        <v>0</v>
      </c>
    </row>
    <row r="844" customFormat="false" ht="13.5" hidden="false" customHeight="false" outlineLevel="0" collapsed="false">
      <c r="A844" s="424"/>
      <c r="B844" s="424"/>
      <c r="C844" s="424"/>
      <c r="D844" s="424"/>
      <c r="E844" s="424"/>
      <c r="F844" s="424"/>
      <c r="G844" s="424"/>
      <c r="H844" s="424"/>
      <c r="I844" s="424"/>
      <c r="J844" s="424"/>
      <c r="K844" s="424"/>
      <c r="L844" s="424"/>
      <c r="M844" s="424"/>
      <c r="N844" s="424"/>
      <c r="O844" s="424"/>
      <c r="P844" s="424"/>
      <c r="Q844" s="424"/>
      <c r="R844" s="424"/>
      <c r="S844" s="424"/>
      <c r="T844" s="424"/>
      <c r="U844" s="424"/>
      <c r="V844" s="436" t="n">
        <f aca="false">AY849</f>
        <v>0</v>
      </c>
    </row>
    <row r="845" customFormat="false" ht="13.5" hidden="false" customHeight="false" outlineLevel="0" collapsed="false">
      <c r="A845" s="424"/>
      <c r="B845" s="424"/>
      <c r="C845" s="424"/>
      <c r="D845" s="424"/>
      <c r="E845" s="424"/>
      <c r="F845" s="424"/>
      <c r="G845" s="424"/>
      <c r="H845" s="424"/>
      <c r="I845" s="424"/>
      <c r="J845" s="424"/>
      <c r="K845" s="424"/>
      <c r="L845" s="424"/>
      <c r="M845" s="424"/>
      <c r="N845" s="424"/>
      <c r="O845" s="424"/>
      <c r="P845" s="424"/>
      <c r="Q845" s="424"/>
      <c r="R845" s="424"/>
      <c r="S845" s="424"/>
      <c r="T845" s="424"/>
      <c r="U845" s="424"/>
      <c r="V845" s="436" t="n">
        <f aca="false">AY850</f>
        <v>0</v>
      </c>
    </row>
    <row r="846" customFormat="false" ht="13.5" hidden="false" customHeight="false" outlineLevel="0" collapsed="false">
      <c r="A846" s="424"/>
      <c r="B846" s="424"/>
      <c r="C846" s="424"/>
      <c r="D846" s="424"/>
      <c r="E846" s="424"/>
      <c r="F846" s="424"/>
      <c r="G846" s="424"/>
      <c r="H846" s="424"/>
      <c r="I846" s="424"/>
      <c r="J846" s="424"/>
      <c r="K846" s="424"/>
      <c r="L846" s="424"/>
      <c r="M846" s="424"/>
      <c r="N846" s="424"/>
      <c r="O846" s="424"/>
      <c r="P846" s="424"/>
      <c r="Q846" s="424"/>
      <c r="R846" s="424"/>
      <c r="S846" s="424"/>
      <c r="T846" s="424"/>
      <c r="U846" s="424"/>
      <c r="V846" s="436" t="n">
        <f aca="false">AY851</f>
        <v>0</v>
      </c>
    </row>
    <row r="847" customFormat="false" ht="13.5" hidden="false" customHeight="false" outlineLevel="0" collapsed="false">
      <c r="A847" s="424"/>
      <c r="B847" s="424"/>
      <c r="C847" s="424"/>
      <c r="D847" s="424"/>
      <c r="E847" s="424"/>
      <c r="F847" s="424"/>
      <c r="G847" s="424"/>
      <c r="H847" s="424"/>
      <c r="I847" s="424"/>
      <c r="J847" s="424"/>
      <c r="K847" s="424"/>
      <c r="L847" s="424"/>
      <c r="M847" s="424"/>
      <c r="N847" s="424"/>
      <c r="O847" s="424"/>
      <c r="P847" s="424"/>
      <c r="Q847" s="424"/>
      <c r="R847" s="424"/>
      <c r="S847" s="424"/>
      <c r="T847" s="424"/>
      <c r="U847" s="424"/>
      <c r="V847" s="436" t="n">
        <f aca="false">AY852</f>
        <v>0</v>
      </c>
    </row>
    <row r="848" customFormat="false" ht="13.5" hidden="false" customHeight="false" outlineLevel="0" collapsed="false">
      <c r="A848" s="424"/>
      <c r="B848" s="424"/>
      <c r="C848" s="424"/>
      <c r="D848" s="424"/>
      <c r="E848" s="424"/>
      <c r="F848" s="424"/>
      <c r="G848" s="424"/>
      <c r="H848" s="424"/>
      <c r="I848" s="424"/>
      <c r="J848" s="424"/>
      <c r="K848" s="424"/>
      <c r="L848" s="424"/>
      <c r="M848" s="424"/>
      <c r="N848" s="424"/>
      <c r="O848" s="424"/>
      <c r="P848" s="424"/>
      <c r="Q848" s="424"/>
      <c r="R848" s="424"/>
      <c r="S848" s="424"/>
      <c r="T848" s="424"/>
      <c r="U848" s="424"/>
      <c r="V848" s="436" t="n">
        <f aca="false">AY853</f>
        <v>0</v>
      </c>
    </row>
    <row r="849" customFormat="false" ht="13.5" hidden="false" customHeight="false" outlineLevel="0" collapsed="false">
      <c r="A849" s="424"/>
      <c r="B849" s="424"/>
      <c r="C849" s="424"/>
      <c r="D849" s="424"/>
      <c r="E849" s="424"/>
      <c r="F849" s="424"/>
      <c r="G849" s="424"/>
      <c r="H849" s="424"/>
      <c r="I849" s="424"/>
      <c r="J849" s="424"/>
      <c r="K849" s="424"/>
      <c r="L849" s="424"/>
      <c r="M849" s="424"/>
      <c r="N849" s="424"/>
      <c r="O849" s="424"/>
      <c r="P849" s="424"/>
      <c r="Q849" s="424"/>
      <c r="R849" s="424"/>
      <c r="S849" s="424"/>
      <c r="T849" s="424"/>
      <c r="U849" s="424"/>
      <c r="V849" s="436" t="n">
        <f aca="false">AY854</f>
        <v>0</v>
      </c>
    </row>
    <row r="850" customFormat="false" ht="13.5" hidden="false" customHeight="false" outlineLevel="0" collapsed="false">
      <c r="A850" s="424"/>
      <c r="B850" s="424"/>
      <c r="C850" s="424"/>
      <c r="D850" s="424"/>
      <c r="E850" s="424"/>
      <c r="F850" s="424"/>
      <c r="G850" s="424"/>
      <c r="H850" s="424"/>
      <c r="I850" s="424"/>
      <c r="J850" s="424"/>
      <c r="K850" s="424"/>
      <c r="L850" s="424"/>
      <c r="M850" s="424"/>
      <c r="N850" s="424"/>
      <c r="O850" s="424"/>
      <c r="P850" s="424"/>
      <c r="Q850" s="424"/>
      <c r="R850" s="424"/>
      <c r="S850" s="424"/>
      <c r="T850" s="424"/>
      <c r="U850" s="424"/>
      <c r="V850" s="436" t="n">
        <f aca="false">AY855</f>
        <v>0</v>
      </c>
    </row>
    <row r="851" customFormat="false" ht="13.5" hidden="false" customHeight="false" outlineLevel="0" collapsed="false">
      <c r="A851" s="424"/>
      <c r="B851" s="424"/>
      <c r="C851" s="424"/>
      <c r="D851" s="424"/>
      <c r="E851" s="424"/>
      <c r="F851" s="424"/>
      <c r="G851" s="424"/>
      <c r="H851" s="424"/>
      <c r="I851" s="424"/>
      <c r="J851" s="424"/>
      <c r="K851" s="424"/>
      <c r="L851" s="424"/>
      <c r="M851" s="424"/>
      <c r="N851" s="424"/>
      <c r="O851" s="424"/>
      <c r="P851" s="424"/>
      <c r="Q851" s="424"/>
      <c r="R851" s="424"/>
      <c r="S851" s="424"/>
      <c r="T851" s="424"/>
      <c r="U851" s="424"/>
      <c r="V851" s="436" t="n">
        <f aca="false">AY856</f>
        <v>0</v>
      </c>
    </row>
    <row r="852" customFormat="false" ht="13.5" hidden="false" customHeight="false" outlineLevel="0" collapsed="false">
      <c r="A852" s="424"/>
      <c r="B852" s="424"/>
      <c r="C852" s="424"/>
      <c r="D852" s="424"/>
      <c r="E852" s="424"/>
      <c r="F852" s="424"/>
      <c r="G852" s="424"/>
      <c r="H852" s="424"/>
      <c r="I852" s="424"/>
      <c r="J852" s="424"/>
      <c r="K852" s="424"/>
      <c r="L852" s="424"/>
      <c r="M852" s="424"/>
      <c r="N852" s="424"/>
      <c r="O852" s="424"/>
      <c r="P852" s="424"/>
      <c r="Q852" s="424"/>
      <c r="R852" s="424"/>
      <c r="S852" s="424"/>
      <c r="T852" s="424"/>
      <c r="U852" s="424"/>
      <c r="V852" s="436" t="n">
        <f aca="false">AY857</f>
        <v>0</v>
      </c>
    </row>
    <row r="853" customFormat="false" ht="13.5" hidden="false" customHeight="false" outlineLevel="0" collapsed="false">
      <c r="A853" s="424"/>
      <c r="B853" s="424"/>
      <c r="C853" s="424"/>
      <c r="D853" s="424"/>
      <c r="E853" s="424"/>
      <c r="F853" s="424"/>
      <c r="G853" s="424"/>
      <c r="H853" s="424"/>
      <c r="I853" s="424"/>
      <c r="J853" s="424"/>
      <c r="K853" s="424"/>
      <c r="L853" s="424"/>
      <c r="M853" s="424"/>
      <c r="N853" s="424"/>
      <c r="O853" s="424"/>
      <c r="P853" s="424"/>
      <c r="Q853" s="424"/>
      <c r="R853" s="424"/>
      <c r="S853" s="424"/>
      <c r="T853" s="424"/>
      <c r="U853" s="424"/>
      <c r="V853" s="436" t="n">
        <f aca="false">AY858</f>
        <v>0</v>
      </c>
    </row>
    <row r="854" customFormat="false" ht="13.5" hidden="false" customHeight="false" outlineLevel="0" collapsed="false">
      <c r="A854" s="424"/>
      <c r="B854" s="424"/>
      <c r="C854" s="424"/>
      <c r="D854" s="424"/>
      <c r="E854" s="424"/>
      <c r="F854" s="424"/>
      <c r="G854" s="424"/>
      <c r="H854" s="424"/>
      <c r="I854" s="424"/>
      <c r="J854" s="424"/>
      <c r="K854" s="424"/>
      <c r="L854" s="424"/>
      <c r="M854" s="424"/>
      <c r="N854" s="424"/>
      <c r="O854" s="424"/>
      <c r="P854" s="424"/>
      <c r="Q854" s="424"/>
      <c r="R854" s="424"/>
      <c r="S854" s="424"/>
      <c r="T854" s="424"/>
      <c r="U854" s="424"/>
      <c r="V854" s="436" t="n">
        <f aca="false">AY859</f>
        <v>0</v>
      </c>
    </row>
    <row r="855" customFormat="false" ht="13.5" hidden="false" customHeight="false" outlineLevel="0" collapsed="false">
      <c r="A855" s="424"/>
      <c r="B855" s="424"/>
      <c r="C855" s="424"/>
      <c r="D855" s="424"/>
      <c r="E855" s="424"/>
      <c r="F855" s="424"/>
      <c r="G855" s="424"/>
      <c r="H855" s="424"/>
      <c r="I855" s="424"/>
      <c r="J855" s="424"/>
      <c r="K855" s="424"/>
      <c r="L855" s="424"/>
      <c r="M855" s="424"/>
      <c r="N855" s="424"/>
      <c r="O855" s="424"/>
      <c r="P855" s="424"/>
      <c r="Q855" s="424"/>
      <c r="R855" s="424"/>
      <c r="S855" s="424"/>
      <c r="T855" s="424"/>
      <c r="U855" s="424"/>
      <c r="V855" s="424"/>
    </row>
    <row r="856" customFormat="false" ht="13.5" hidden="false" customHeight="false" outlineLevel="0" collapsed="false">
      <c r="A856" s="424"/>
      <c r="B856" s="424"/>
      <c r="C856" s="424"/>
      <c r="D856" s="424"/>
      <c r="E856" s="424"/>
      <c r="F856" s="424"/>
      <c r="G856" s="424"/>
      <c r="H856" s="424"/>
      <c r="I856" s="424"/>
      <c r="J856" s="424"/>
      <c r="K856" s="424"/>
      <c r="L856" s="424"/>
      <c r="M856" s="424"/>
      <c r="N856" s="424"/>
      <c r="O856" s="424"/>
      <c r="P856" s="424"/>
      <c r="Q856" s="424"/>
      <c r="R856" s="424"/>
      <c r="S856" s="424"/>
      <c r="T856" s="424"/>
      <c r="U856" s="424"/>
      <c r="V856" s="424"/>
    </row>
    <row r="857" customFormat="false" ht="13.5" hidden="false" customHeight="false" outlineLevel="0" collapsed="false">
      <c r="A857" s="424"/>
      <c r="B857" s="424"/>
      <c r="C857" s="424"/>
      <c r="D857" s="424"/>
      <c r="E857" s="424"/>
      <c r="F857" s="424"/>
      <c r="G857" s="424"/>
      <c r="H857" s="424"/>
      <c r="I857" s="424"/>
      <c r="J857" s="424"/>
      <c r="K857" s="424"/>
      <c r="L857" s="424"/>
      <c r="M857" s="424"/>
      <c r="N857" s="424"/>
      <c r="O857" s="424"/>
      <c r="P857" s="424"/>
      <c r="Q857" s="424"/>
      <c r="R857" s="434" t="s">
        <v>400</v>
      </c>
      <c r="S857" s="424"/>
      <c r="T857" s="424"/>
      <c r="U857" s="424"/>
      <c r="V857" s="435" t="n">
        <f aca="false">SUM(V859:V891)</f>
        <v>0</v>
      </c>
    </row>
    <row r="858" customFormat="false" ht="13.5" hidden="false" customHeight="false" outlineLevel="0" collapsed="false">
      <c r="A858" s="424"/>
      <c r="B858" s="424"/>
      <c r="C858" s="424"/>
      <c r="D858" s="424"/>
      <c r="E858" s="424"/>
      <c r="F858" s="424"/>
      <c r="G858" s="424"/>
      <c r="H858" s="424"/>
      <c r="I858" s="424"/>
      <c r="J858" s="424"/>
      <c r="K858" s="424"/>
      <c r="L858" s="424"/>
      <c r="M858" s="424"/>
      <c r="N858" s="424"/>
      <c r="O858" s="424"/>
      <c r="P858" s="424"/>
      <c r="Q858" s="435" t="n">
        <v>0</v>
      </c>
      <c r="R858" s="424"/>
      <c r="S858" s="435" t="n">
        <v>0</v>
      </c>
      <c r="T858" s="424"/>
      <c r="U858" s="424"/>
      <c r="V858" s="436" t="n">
        <f aca="false">AY858</f>
        <v>0</v>
      </c>
    </row>
    <row r="859" customFormat="false" ht="13.5" hidden="false" customHeight="false" outlineLevel="0" collapsed="false">
      <c r="A859" s="424"/>
      <c r="B859" s="424"/>
      <c r="C859" s="424"/>
      <c r="D859" s="424"/>
      <c r="E859" s="424"/>
      <c r="F859" s="424"/>
      <c r="G859" s="424"/>
      <c r="H859" s="424"/>
      <c r="I859" s="424"/>
      <c r="J859" s="424"/>
      <c r="K859" s="424"/>
      <c r="L859" s="424"/>
      <c r="M859" s="424"/>
      <c r="N859" s="424"/>
      <c r="O859" s="424"/>
      <c r="P859" s="424"/>
      <c r="Q859" s="435" t="n">
        <v>1</v>
      </c>
      <c r="R859" s="434" t="s">
        <v>401</v>
      </c>
      <c r="S859" s="434" t="s">
        <v>402</v>
      </c>
      <c r="T859" s="434" t="s">
        <v>403</v>
      </c>
      <c r="U859" s="434" t="s">
        <v>404</v>
      </c>
      <c r="V859" s="436" t="n">
        <f aca="false">AY859</f>
        <v>0</v>
      </c>
    </row>
    <row r="860" customFormat="false" ht="13.5" hidden="false" customHeight="false" outlineLevel="0" collapsed="false">
      <c r="A860" s="424"/>
      <c r="B860" s="424"/>
      <c r="C860" s="424"/>
      <c r="D860" s="424"/>
      <c r="E860" s="424"/>
      <c r="F860" s="424"/>
      <c r="G860" s="424"/>
      <c r="H860" s="424"/>
      <c r="I860" s="424"/>
      <c r="J860" s="424"/>
      <c r="K860" s="424"/>
      <c r="L860" s="424"/>
      <c r="M860" s="424"/>
      <c r="N860" s="424"/>
      <c r="O860" s="424"/>
      <c r="P860" s="424"/>
      <c r="Q860" s="435" t="n">
        <v>2</v>
      </c>
      <c r="R860" s="434" t="s">
        <v>405</v>
      </c>
      <c r="S860" s="434" t="s">
        <v>406</v>
      </c>
      <c r="T860" s="434" t="s">
        <v>407</v>
      </c>
      <c r="U860" s="434" t="s">
        <v>408</v>
      </c>
      <c r="V860" s="436" t="n">
        <f aca="false">AY860</f>
        <v>0</v>
      </c>
    </row>
    <row r="861" customFormat="false" ht="13.5" hidden="false" customHeight="false" outlineLevel="0" collapsed="false">
      <c r="A861" s="424"/>
      <c r="B861" s="424"/>
      <c r="C861" s="424"/>
      <c r="D861" s="424"/>
      <c r="E861" s="424"/>
      <c r="F861" s="424"/>
      <c r="G861" s="424"/>
      <c r="H861" s="424"/>
      <c r="I861" s="424"/>
      <c r="J861" s="424"/>
      <c r="K861" s="424"/>
      <c r="L861" s="424"/>
      <c r="M861" s="424"/>
      <c r="N861" s="424"/>
      <c r="O861" s="424"/>
      <c r="P861" s="424"/>
      <c r="Q861" s="435" t="n">
        <v>3</v>
      </c>
      <c r="R861" s="434" t="s">
        <v>409</v>
      </c>
      <c r="S861" s="434" t="s">
        <v>410</v>
      </c>
      <c r="T861" s="434" t="s">
        <v>411</v>
      </c>
      <c r="U861" s="434" t="s">
        <v>412</v>
      </c>
      <c r="V861" s="436" t="n">
        <f aca="false">AY861</f>
        <v>0</v>
      </c>
    </row>
    <row r="862" customFormat="false" ht="13.5" hidden="false" customHeight="false" outlineLevel="0" collapsed="false">
      <c r="A862" s="424"/>
      <c r="B862" s="424"/>
      <c r="C862" s="424"/>
      <c r="D862" s="424"/>
      <c r="E862" s="424"/>
      <c r="F862" s="424"/>
      <c r="G862" s="424"/>
      <c r="H862" s="424"/>
      <c r="I862" s="424"/>
      <c r="J862" s="424"/>
      <c r="K862" s="424"/>
      <c r="L862" s="424"/>
      <c r="M862" s="424"/>
      <c r="N862" s="424"/>
      <c r="O862" s="424"/>
      <c r="P862" s="424"/>
      <c r="Q862" s="435" t="n">
        <v>4</v>
      </c>
      <c r="R862" s="434" t="s">
        <v>413</v>
      </c>
      <c r="S862" s="434" t="s">
        <v>414</v>
      </c>
      <c r="T862" s="434" t="s">
        <v>415</v>
      </c>
      <c r="U862" s="434" t="s">
        <v>416</v>
      </c>
      <c r="V862" s="436" t="n">
        <f aca="false">AY862</f>
        <v>0</v>
      </c>
    </row>
    <row r="863" customFormat="false" ht="13.5" hidden="false" customHeight="false" outlineLevel="0" collapsed="false">
      <c r="A863" s="424"/>
      <c r="B863" s="424"/>
      <c r="C863" s="424"/>
      <c r="D863" s="424"/>
      <c r="E863" s="424"/>
      <c r="F863" s="424"/>
      <c r="G863" s="424"/>
      <c r="H863" s="424"/>
      <c r="I863" s="424"/>
      <c r="J863" s="424"/>
      <c r="K863" s="424"/>
      <c r="L863" s="424"/>
      <c r="M863" s="424"/>
      <c r="N863" s="424"/>
      <c r="O863" s="424"/>
      <c r="P863" s="438" t="s">
        <v>417</v>
      </c>
      <c r="Q863" s="435" t="n">
        <v>5</v>
      </c>
      <c r="R863" s="434" t="s">
        <v>418</v>
      </c>
      <c r="S863" s="434" t="s">
        <v>419</v>
      </c>
      <c r="T863" s="434" t="s">
        <v>420</v>
      </c>
      <c r="U863" s="434" t="s">
        <v>421</v>
      </c>
      <c r="V863" s="436" t="n">
        <f aca="false">AY863</f>
        <v>0</v>
      </c>
    </row>
    <row r="864" customFormat="false" ht="13.5" hidden="false" customHeight="false" outlineLevel="0" collapsed="false">
      <c r="A864" s="424"/>
      <c r="B864" s="424"/>
      <c r="C864" s="424"/>
      <c r="D864" s="424"/>
      <c r="E864" s="424"/>
      <c r="F864" s="424"/>
      <c r="G864" s="424"/>
      <c r="H864" s="424"/>
      <c r="I864" s="424"/>
      <c r="J864" s="424"/>
      <c r="K864" s="424"/>
      <c r="L864" s="424"/>
      <c r="M864" s="424"/>
      <c r="N864" s="424"/>
      <c r="O864" s="424"/>
      <c r="P864" s="438" t="s">
        <v>417</v>
      </c>
      <c r="Q864" s="435" t="n">
        <v>6</v>
      </c>
      <c r="R864" s="434" t="s">
        <v>422</v>
      </c>
      <c r="S864" s="434" t="s">
        <v>423</v>
      </c>
      <c r="T864" s="434" t="s">
        <v>424</v>
      </c>
      <c r="U864" s="434" t="s">
        <v>425</v>
      </c>
      <c r="V864" s="436" t="n">
        <f aca="false">AY864</f>
        <v>0</v>
      </c>
    </row>
    <row r="865" customFormat="false" ht="13.5" hidden="false" customHeight="false" outlineLevel="0" collapsed="false">
      <c r="A865" s="424"/>
      <c r="B865" s="424"/>
      <c r="C865" s="424"/>
      <c r="D865" s="424"/>
      <c r="E865" s="424"/>
      <c r="F865" s="424"/>
      <c r="G865" s="424"/>
      <c r="H865" s="424"/>
      <c r="I865" s="424"/>
      <c r="J865" s="424"/>
      <c r="K865" s="424"/>
      <c r="L865" s="424"/>
      <c r="M865" s="424"/>
      <c r="N865" s="424"/>
      <c r="O865" s="424"/>
      <c r="P865" s="438" t="s">
        <v>417</v>
      </c>
      <c r="Q865" s="435" t="n">
        <v>7</v>
      </c>
      <c r="R865" s="434" t="s">
        <v>426</v>
      </c>
      <c r="S865" s="434" t="s">
        <v>427</v>
      </c>
      <c r="T865" s="434" t="s">
        <v>428</v>
      </c>
      <c r="U865" s="434" t="s">
        <v>429</v>
      </c>
      <c r="V865" s="436" t="n">
        <f aca="false">AY865</f>
        <v>0</v>
      </c>
    </row>
    <row r="866" customFormat="false" ht="13.5" hidden="false" customHeight="false" outlineLevel="0" collapsed="false">
      <c r="A866" s="424"/>
      <c r="B866" s="424"/>
      <c r="C866" s="424"/>
      <c r="D866" s="424"/>
      <c r="E866" s="424"/>
      <c r="F866" s="424"/>
      <c r="G866" s="424"/>
      <c r="H866" s="424"/>
      <c r="I866" s="424"/>
      <c r="J866" s="424"/>
      <c r="K866" s="424"/>
      <c r="L866" s="424"/>
      <c r="M866" s="424"/>
      <c r="N866" s="424"/>
      <c r="O866" s="424"/>
      <c r="P866" s="438" t="s">
        <v>417</v>
      </c>
      <c r="Q866" s="435" t="n">
        <v>8</v>
      </c>
      <c r="R866" s="434" t="s">
        <v>430</v>
      </c>
      <c r="S866" s="434" t="s">
        <v>431</v>
      </c>
      <c r="T866" s="434" t="s">
        <v>432</v>
      </c>
      <c r="U866" s="434" t="s">
        <v>433</v>
      </c>
      <c r="V866" s="436" t="n">
        <f aca="false">AY866</f>
        <v>0</v>
      </c>
    </row>
    <row r="867" customFormat="false" ht="13.5" hidden="false" customHeight="false" outlineLevel="0" collapsed="false">
      <c r="A867" s="424"/>
      <c r="B867" s="424"/>
      <c r="C867" s="424"/>
      <c r="D867" s="424"/>
      <c r="E867" s="424"/>
      <c r="F867" s="424"/>
      <c r="G867" s="424"/>
      <c r="H867" s="424"/>
      <c r="I867" s="424"/>
      <c r="J867" s="424"/>
      <c r="K867" s="424"/>
      <c r="L867" s="424"/>
      <c r="M867" s="424"/>
      <c r="N867" s="424"/>
      <c r="O867" s="424"/>
      <c r="P867" s="438" t="s">
        <v>417</v>
      </c>
      <c r="Q867" s="435" t="n">
        <v>9</v>
      </c>
      <c r="R867" s="434" t="s">
        <v>434</v>
      </c>
      <c r="S867" s="434" t="s">
        <v>435</v>
      </c>
      <c r="T867" s="434" t="s">
        <v>436</v>
      </c>
      <c r="U867" s="434" t="s">
        <v>437</v>
      </c>
      <c r="V867" s="436" t="n">
        <f aca="false">AY867</f>
        <v>0</v>
      </c>
    </row>
    <row r="868" customFormat="false" ht="13.5" hidden="false" customHeight="false" outlineLevel="0" collapsed="false">
      <c r="A868" s="424"/>
      <c r="B868" s="424"/>
      <c r="C868" s="424"/>
      <c r="D868" s="424"/>
      <c r="E868" s="424"/>
      <c r="F868" s="424"/>
      <c r="G868" s="424"/>
      <c r="H868" s="424"/>
      <c r="I868" s="424"/>
      <c r="J868" s="424"/>
      <c r="K868" s="424"/>
      <c r="L868" s="424"/>
      <c r="M868" s="424"/>
      <c r="N868" s="424"/>
      <c r="O868" s="424"/>
      <c r="P868" s="438" t="s">
        <v>417</v>
      </c>
      <c r="Q868" s="435" t="n">
        <v>10</v>
      </c>
      <c r="R868" s="434" t="s">
        <v>438</v>
      </c>
      <c r="S868" s="424"/>
      <c r="T868" s="434" t="s">
        <v>439</v>
      </c>
      <c r="U868" s="434" t="s">
        <v>440</v>
      </c>
      <c r="V868" s="436" t="n">
        <f aca="false">AY868</f>
        <v>0</v>
      </c>
    </row>
    <row r="869" customFormat="false" ht="13.5" hidden="false" customHeight="false" outlineLevel="0" collapsed="false">
      <c r="A869" s="424"/>
      <c r="B869" s="424"/>
      <c r="C869" s="424"/>
      <c r="D869" s="424"/>
      <c r="E869" s="424"/>
      <c r="F869" s="435" t="n">
        <f aca="false">TRUNC(+A871/1000000)</f>
        <v>0</v>
      </c>
      <c r="G869" s="424"/>
      <c r="H869" s="424"/>
      <c r="I869" s="424"/>
      <c r="J869" s="424"/>
      <c r="K869" s="424"/>
      <c r="L869" s="424"/>
      <c r="M869" s="424"/>
      <c r="N869" s="424"/>
      <c r="O869" s="424"/>
      <c r="P869" s="438" t="s">
        <v>417</v>
      </c>
      <c r="Q869" s="435" t="n">
        <v>11</v>
      </c>
      <c r="R869" s="434" t="s">
        <v>441</v>
      </c>
      <c r="S869" s="424"/>
      <c r="T869" s="434" t="s">
        <v>442</v>
      </c>
      <c r="U869" s="434" t="s">
        <v>443</v>
      </c>
      <c r="V869" s="436" t="n">
        <f aca="false">AY869</f>
        <v>0</v>
      </c>
    </row>
    <row r="870" customFormat="false" ht="13.5" hidden="false" customHeight="false" outlineLevel="0" collapsed="false">
      <c r="A870" s="424"/>
      <c r="B870" s="424"/>
      <c r="C870" s="424"/>
      <c r="D870" s="424"/>
      <c r="E870" s="424"/>
      <c r="F870" s="435" t="e">
        <f aca="false">(+B874*100000+C874*1000+E874*100)</f>
        <v>#VALUE!</v>
      </c>
      <c r="G870" s="424"/>
      <c r="H870" s="424"/>
      <c r="I870" s="424"/>
      <c r="J870" s="424"/>
      <c r="K870" s="424"/>
      <c r="L870" s="434" t="s">
        <v>444</v>
      </c>
      <c r="M870" s="424"/>
      <c r="N870" s="424"/>
      <c r="O870" s="424"/>
      <c r="P870" s="438" t="s">
        <v>417</v>
      </c>
      <c r="Q870" s="435" t="n">
        <v>12</v>
      </c>
      <c r="R870" s="434" t="s">
        <v>445</v>
      </c>
      <c r="S870" s="424"/>
      <c r="T870" s="434" t="s">
        <v>446</v>
      </c>
      <c r="U870" s="434" t="s">
        <v>447</v>
      </c>
      <c r="V870" s="436" t="n">
        <f aca="false">AY870</f>
        <v>0</v>
      </c>
    </row>
    <row r="871" customFormat="false" ht="13.5" hidden="false" customHeight="false" outlineLevel="0" collapsed="false">
      <c r="A871" s="436" t="n">
        <f aca="false">TRUNC(+A872)</f>
        <v>12</v>
      </c>
      <c r="B871" s="424"/>
      <c r="C871" s="424"/>
      <c r="D871" s="424"/>
      <c r="E871" s="440" t="n">
        <f aca="false">TRUNC(+A871/100000000)</f>
        <v>0</v>
      </c>
      <c r="F871" s="424"/>
      <c r="G871" s="424"/>
      <c r="H871" s="424"/>
      <c r="I871" s="424"/>
      <c r="J871" s="424"/>
      <c r="K871" s="424"/>
      <c r="L871" s="424"/>
      <c r="M871" s="424"/>
      <c r="N871" s="424"/>
      <c r="O871" s="424"/>
      <c r="P871" s="438" t="s">
        <v>417</v>
      </c>
      <c r="Q871" s="435" t="n">
        <v>13</v>
      </c>
      <c r="R871" s="434" t="s">
        <v>448</v>
      </c>
      <c r="S871" s="424"/>
      <c r="T871" s="434" t="s">
        <v>449</v>
      </c>
      <c r="U871" s="434" t="s">
        <v>450</v>
      </c>
      <c r="V871" s="436" t="n">
        <f aca="false">AY871</f>
        <v>0</v>
      </c>
    </row>
    <row r="872" customFormat="false" ht="13.5" hidden="false" customHeight="false" outlineLevel="0" collapsed="false">
      <c r="A872" s="441" t="n">
        <v>12</v>
      </c>
      <c r="B872" s="434" t="s">
        <v>451</v>
      </c>
      <c r="C872" s="434" t="s">
        <v>452</v>
      </c>
      <c r="D872" s="424"/>
      <c r="E872" s="434" t="s">
        <v>452</v>
      </c>
      <c r="F872" s="424"/>
      <c r="G872" s="424"/>
      <c r="H872" s="424"/>
      <c r="I872" s="440" t="n">
        <f aca="false">TRUNC((+A871-(+F869*1000000))/1000)</f>
        <v>0</v>
      </c>
      <c r="J872" s="424"/>
      <c r="K872" s="440" t="n">
        <f aca="false">(TRUNC((+A871-(+F869*1000000))/1))-I872*1000</f>
        <v>12</v>
      </c>
      <c r="L872" s="424"/>
      <c r="M872" s="424"/>
      <c r="N872" s="424"/>
      <c r="O872" s="424"/>
      <c r="P872" s="438" t="s">
        <v>417</v>
      </c>
      <c r="Q872" s="435" t="n">
        <v>14</v>
      </c>
      <c r="R872" s="434" t="s">
        <v>453</v>
      </c>
      <c r="S872" s="424"/>
      <c r="T872" s="434" t="s">
        <v>454</v>
      </c>
      <c r="U872" s="434" t="s">
        <v>455</v>
      </c>
      <c r="V872" s="436" t="n">
        <f aca="false">AY872</f>
        <v>0</v>
      </c>
    </row>
    <row r="873" customFormat="false" ht="13.5" hidden="false" customHeight="false" outlineLevel="0" collapsed="false">
      <c r="A873" s="424"/>
      <c r="B873" s="442" t="s">
        <v>712</v>
      </c>
      <c r="C873" s="442" t="s">
        <v>712</v>
      </c>
      <c r="D873" s="424"/>
      <c r="E873" s="442" t="s">
        <v>456</v>
      </c>
      <c r="F873" s="424"/>
      <c r="G873" s="424"/>
      <c r="H873" s="424"/>
      <c r="I873" s="424"/>
      <c r="J873" s="424"/>
      <c r="K873" s="424"/>
      <c r="L873" s="424"/>
      <c r="M873" s="424"/>
      <c r="N873" s="440" t="n">
        <f aca="false">ROUND(((+A872-A871)*100),1)</f>
        <v>0</v>
      </c>
      <c r="O873" s="424"/>
      <c r="P873" s="438" t="s">
        <v>417</v>
      </c>
      <c r="Q873" s="435" t="n">
        <v>15</v>
      </c>
      <c r="R873" s="434" t="s">
        <v>457</v>
      </c>
      <c r="S873" s="424"/>
      <c r="T873" s="434" t="s">
        <v>458</v>
      </c>
      <c r="U873" s="434" t="s">
        <v>459</v>
      </c>
      <c r="V873" s="436" t="n">
        <f aca="false">AY873</f>
        <v>0</v>
      </c>
    </row>
    <row r="874" customFormat="false" ht="13.5" hidden="false" customHeight="false" outlineLevel="0" collapsed="false">
      <c r="A874" s="424"/>
      <c r="B874" s="440" t="n">
        <f aca="false">TRUNC(+A872/100000000000)</f>
        <v>0</v>
      </c>
      <c r="C874" s="440" t="n">
        <f aca="false">(TRUNC(+A871/1000000000))-B874*100</f>
        <v>0</v>
      </c>
      <c r="D874" s="424"/>
      <c r="E874" s="435" t="str">
        <f aca="false">IF(E871&gt;0,TRUNC(+E871-B874*1000-C874*10),"")</f>
        <v/>
      </c>
      <c r="F874" s="435" t="e">
        <f aca="false">F869-F870</f>
        <v>#VALUE!</v>
      </c>
      <c r="G874" s="435" t="e">
        <f aca="false">G876</f>
        <v>#VALUE!</v>
      </c>
      <c r="H874" s="440" t="n">
        <f aca="false">TRUNC((+A871-(+F869*1000000))/100000)</f>
        <v>0</v>
      </c>
      <c r="I874" s="440" t="n">
        <f aca="false">I872-H874*100</f>
        <v>0</v>
      </c>
      <c r="J874" s="424"/>
      <c r="K874" s="440" t="n">
        <f aca="false">TRUNC(+K872/100)</f>
        <v>0</v>
      </c>
      <c r="L874" s="440" t="n">
        <f aca="false">K872-K874*100</f>
        <v>12</v>
      </c>
      <c r="M874" s="440" t="str">
        <f aca="false">IF(N874&gt;0," &amp; Sen ","")</f>
        <v/>
      </c>
      <c r="N874" s="435" t="n">
        <f aca="false">N873</f>
        <v>0</v>
      </c>
      <c r="O874" s="424"/>
      <c r="P874" s="438" t="s">
        <v>417</v>
      </c>
      <c r="Q874" s="435" t="n">
        <v>16</v>
      </c>
      <c r="R874" s="434" t="s">
        <v>460</v>
      </c>
      <c r="S874" s="424"/>
      <c r="T874" s="434" t="s">
        <v>461</v>
      </c>
      <c r="U874" s="434" t="s">
        <v>462</v>
      </c>
      <c r="V874" s="436" t="n">
        <f aca="false">AY874</f>
        <v>0</v>
      </c>
    </row>
    <row r="875" customFormat="false" ht="13.5" hidden="false" customHeight="false" outlineLevel="0" collapsed="false">
      <c r="A875" s="424"/>
      <c r="B875" s="424"/>
      <c r="C875" s="424"/>
      <c r="D875" s="424"/>
      <c r="E875" s="424"/>
      <c r="F875" s="424"/>
      <c r="G875" s="424"/>
      <c r="H875" s="424"/>
      <c r="I875" s="424"/>
      <c r="J875" s="424"/>
      <c r="K875" s="424"/>
      <c r="L875" s="424"/>
      <c r="M875" s="424"/>
      <c r="N875" s="424"/>
      <c r="O875" s="424"/>
      <c r="P875" s="438" t="s">
        <v>417</v>
      </c>
      <c r="Q875" s="435" t="n">
        <v>17</v>
      </c>
      <c r="R875" s="434" t="s">
        <v>463</v>
      </c>
      <c r="S875" s="424"/>
      <c r="T875" s="434" t="s">
        <v>464</v>
      </c>
      <c r="U875" s="434" t="s">
        <v>465</v>
      </c>
      <c r="V875" s="436" t="n">
        <f aca="false">AY875</f>
        <v>0</v>
      </c>
    </row>
    <row r="876" customFormat="false" ht="13.5" hidden="false" customHeight="false" outlineLevel="0" collapsed="false">
      <c r="A876" s="440" t="n">
        <f aca="false">B874*100000000000</f>
        <v>0</v>
      </c>
      <c r="B876" s="440" t="str">
        <f aca="false">IF(B874&gt;0,VLOOKUP(B874,$Q$7:$T$15,3),"")</f>
        <v/>
      </c>
      <c r="C876" s="440" t="str">
        <f aca="false">IF(C874&gt;0,VLOOKUP(C874,Q859:R957,2),"")</f>
        <v/>
      </c>
      <c r="D876" s="440" t="str">
        <f aca="false">IF(B871+C874&gt;0," Milyar ","")</f>
        <v/>
      </c>
      <c r="E876" s="440" t="e">
        <f aca="false">IF(E874&gt;0,VLOOKUP(E874,$Q$7:$T$15,3),"")</f>
        <v>#N/A</v>
      </c>
      <c r="F876" s="440" t="e">
        <f aca="false">IF(F874&gt;0,VLOOKUP(F874,Q859:R957,2),"")</f>
        <v>#VALUE!</v>
      </c>
      <c r="G876" s="435" t="e">
        <f aca="false">IF(F874+E874&gt;0," Juta","")</f>
        <v>#VALUE!</v>
      </c>
      <c r="H876" s="440" t="str">
        <f aca="false">IF(H874&gt;0,VLOOKUP(H874,$Q$7:$T$15,3),"")</f>
        <v/>
      </c>
      <c r="I876" s="440" t="str">
        <f aca="false">IF(I874=1," Se",IF(I874=0,"",VLOOKUP(I874,Q859:R957,2)))</f>
        <v/>
      </c>
      <c r="J876" s="435" t="str">
        <f aca="false">IF(I874+H874&gt;0," ribu","")</f>
        <v/>
      </c>
      <c r="K876" s="440" t="str">
        <f aca="false">IF(K874&gt;0,VLOOKUP(K874,Q859:S867,3),"")</f>
        <v/>
      </c>
      <c r="L876" s="440" t="str">
        <f aca="false">IF(L874&gt;0,VLOOKUP(L874,Q859:R957,2),"")</f>
        <v> Dua belas</v>
      </c>
      <c r="M876" s="440" t="str">
        <f aca="false">IF(N874&gt;0,VLOOKUP(N873,Q858:U957,5)," Dollar ")</f>
        <v> Dollar </v>
      </c>
      <c r="N876" s="424"/>
      <c r="O876" s="435" t="str">
        <f aca="false">IF(N874&gt;0," ====","")</f>
        <v/>
      </c>
      <c r="P876" s="435" t="str">
        <f aca="false">IF(N874&gt;0,"-","====")</f>
        <v>====</v>
      </c>
      <c r="Q876" s="435" t="n">
        <v>18</v>
      </c>
      <c r="R876" s="434" t="s">
        <v>466</v>
      </c>
      <c r="S876" s="424"/>
      <c r="T876" s="434" t="s">
        <v>467</v>
      </c>
      <c r="U876" s="434" t="s">
        <v>468</v>
      </c>
      <c r="V876" s="436" t="n">
        <f aca="false">AY876</f>
        <v>0</v>
      </c>
    </row>
    <row r="877" customFormat="false" ht="13.5" hidden="false" customHeight="false" outlineLevel="0" collapsed="false">
      <c r="A877" s="440"/>
      <c r="B877" s="435" t="str">
        <f aca="false">B876</f>
        <v/>
      </c>
      <c r="C877" s="424"/>
      <c r="D877" s="424"/>
      <c r="E877" s="424"/>
      <c r="F877" s="424"/>
      <c r="G877" s="424"/>
      <c r="H877" s="424"/>
      <c r="I877" s="424"/>
      <c r="J877" s="424"/>
      <c r="K877" s="424"/>
      <c r="L877" s="424"/>
      <c r="M877" s="424"/>
      <c r="N877" s="424"/>
      <c r="O877" s="424"/>
      <c r="P877" s="438" t="s">
        <v>417</v>
      </c>
      <c r="Q877" s="435" t="n">
        <v>19</v>
      </c>
      <c r="R877" s="434" t="s">
        <v>469</v>
      </c>
      <c r="S877" s="424"/>
      <c r="T877" s="434" t="s">
        <v>470</v>
      </c>
      <c r="U877" s="434" t="s">
        <v>471</v>
      </c>
      <c r="V877" s="436" t="n">
        <f aca="false">AY882</f>
        <v>0</v>
      </c>
    </row>
    <row r="878" customFormat="false" ht="13.5" hidden="false" customHeight="false" outlineLevel="0" collapsed="false">
      <c r="A878" s="440"/>
      <c r="B878" s="435" t="str">
        <f aca="false">C876</f>
        <v/>
      </c>
      <c r="C878" s="424"/>
      <c r="D878" s="424"/>
      <c r="E878" s="424"/>
      <c r="F878" s="424"/>
      <c r="G878" s="424"/>
      <c r="H878" s="424"/>
      <c r="I878" s="424"/>
      <c r="J878" s="424"/>
      <c r="K878" s="424"/>
      <c r="L878" s="424"/>
      <c r="M878" s="424"/>
      <c r="N878" s="424"/>
      <c r="O878" s="424"/>
      <c r="P878" s="438" t="s">
        <v>417</v>
      </c>
      <c r="Q878" s="435" t="n">
        <v>20</v>
      </c>
      <c r="R878" s="434" t="s">
        <v>472</v>
      </c>
      <c r="S878" s="424"/>
      <c r="T878" s="434" t="s">
        <v>473</v>
      </c>
      <c r="U878" s="434" t="s">
        <v>474</v>
      </c>
      <c r="V878" s="436" t="n">
        <f aca="false">AY883</f>
        <v>0</v>
      </c>
    </row>
    <row r="879" customFormat="false" ht="13.5" hidden="false" customHeight="false" outlineLevel="0" collapsed="false">
      <c r="A879" s="440"/>
      <c r="B879" s="435" t="str">
        <f aca="false">D876</f>
        <v/>
      </c>
      <c r="C879" s="424"/>
      <c r="D879" s="424"/>
      <c r="E879" s="424"/>
      <c r="F879" s="424"/>
      <c r="G879" s="424"/>
      <c r="H879" s="424"/>
      <c r="I879" s="424"/>
      <c r="J879" s="424"/>
      <c r="K879" s="424"/>
      <c r="L879" s="424"/>
      <c r="M879" s="424"/>
      <c r="N879" s="424"/>
      <c r="O879" s="424"/>
      <c r="P879" s="438" t="s">
        <v>417</v>
      </c>
      <c r="Q879" s="435" t="n">
        <v>21</v>
      </c>
      <c r="R879" s="434" t="s">
        <v>475</v>
      </c>
      <c r="S879" s="424"/>
      <c r="T879" s="434" t="s">
        <v>476</v>
      </c>
      <c r="U879" s="434" t="s">
        <v>477</v>
      </c>
      <c r="V879" s="436" t="n">
        <f aca="false">AY884</f>
        <v>0</v>
      </c>
    </row>
    <row r="880" customFormat="false" ht="13.5" hidden="false" customHeight="false" outlineLevel="0" collapsed="false">
      <c r="A880" s="440"/>
      <c r="B880" s="435" t="e">
        <f aca="false">E876</f>
        <v>#N/A</v>
      </c>
      <c r="C880" s="424"/>
      <c r="D880" s="424"/>
      <c r="E880" s="424"/>
      <c r="F880" s="424"/>
      <c r="G880" s="424"/>
      <c r="H880" s="424"/>
      <c r="I880" s="424"/>
      <c r="J880" s="424"/>
      <c r="K880" s="424"/>
      <c r="L880" s="424"/>
      <c r="M880" s="424"/>
      <c r="N880" s="424"/>
      <c r="O880" s="424"/>
      <c r="P880" s="424"/>
      <c r="Q880" s="435" t="n">
        <v>22</v>
      </c>
      <c r="R880" s="434" t="s">
        <v>478</v>
      </c>
      <c r="S880" s="424"/>
      <c r="T880" s="434" t="s">
        <v>479</v>
      </c>
      <c r="U880" s="434" t="s">
        <v>480</v>
      </c>
      <c r="V880" s="436" t="n">
        <f aca="false">AY885</f>
        <v>0</v>
      </c>
    </row>
    <row r="881" customFormat="false" ht="13.5" hidden="false" customHeight="false" outlineLevel="0" collapsed="false">
      <c r="A881" s="440"/>
      <c r="B881" s="435" t="e">
        <f aca="false">F876</f>
        <v>#VALUE!</v>
      </c>
      <c r="C881" s="424"/>
      <c r="D881" s="424"/>
      <c r="E881" s="424"/>
      <c r="F881" s="424"/>
      <c r="G881" s="424"/>
      <c r="H881" s="424"/>
      <c r="I881" s="424"/>
      <c r="J881" s="424"/>
      <c r="K881" s="424"/>
      <c r="L881" s="424"/>
      <c r="M881" s="424"/>
      <c r="N881" s="424"/>
      <c r="O881" s="424"/>
      <c r="P881" s="438" t="s">
        <v>417</v>
      </c>
      <c r="Q881" s="435" t="n">
        <v>23</v>
      </c>
      <c r="R881" s="434" t="s">
        <v>481</v>
      </c>
      <c r="S881" s="424"/>
      <c r="T881" s="434" t="s">
        <v>482</v>
      </c>
      <c r="U881" s="434" t="s">
        <v>483</v>
      </c>
      <c r="V881" s="436" t="n">
        <f aca="false">AY886</f>
        <v>0</v>
      </c>
    </row>
    <row r="882" customFormat="false" ht="13.5" hidden="false" customHeight="false" outlineLevel="0" collapsed="false">
      <c r="A882" s="424"/>
      <c r="B882" s="424"/>
      <c r="C882" s="424"/>
      <c r="D882" s="424"/>
      <c r="E882" s="424"/>
      <c r="F882" s="424"/>
      <c r="G882" s="424"/>
      <c r="H882" s="424"/>
      <c r="I882" s="424"/>
      <c r="J882" s="424"/>
      <c r="K882" s="424"/>
      <c r="L882" s="424"/>
      <c r="M882" s="424"/>
      <c r="N882" s="424"/>
      <c r="O882" s="424"/>
      <c r="P882" s="438" t="s">
        <v>417</v>
      </c>
      <c r="Q882" s="435" t="n">
        <v>24</v>
      </c>
      <c r="R882" s="434" t="s">
        <v>484</v>
      </c>
      <c r="S882" s="424"/>
      <c r="T882" s="434" t="s">
        <v>485</v>
      </c>
      <c r="U882" s="434" t="s">
        <v>486</v>
      </c>
      <c r="V882" s="436" t="n">
        <f aca="false">AY887</f>
        <v>0</v>
      </c>
    </row>
    <row r="883" customFormat="false" ht="13.5" hidden="false" customHeight="false" outlineLevel="0" collapsed="false">
      <c r="A883" s="424"/>
      <c r="B883" s="424"/>
      <c r="C883" s="424"/>
      <c r="D883" s="424"/>
      <c r="E883" s="424"/>
      <c r="F883" s="424"/>
      <c r="G883" s="424"/>
      <c r="H883" s="424"/>
      <c r="I883" s="424"/>
      <c r="J883" s="424"/>
      <c r="K883" s="424"/>
      <c r="L883" s="424"/>
      <c r="M883" s="424"/>
      <c r="N883" s="424"/>
      <c r="O883" s="424"/>
      <c r="P883" s="438" t="s">
        <v>417</v>
      </c>
      <c r="Q883" s="435" t="n">
        <v>25</v>
      </c>
      <c r="R883" s="434" t="s">
        <v>487</v>
      </c>
      <c r="S883" s="424"/>
      <c r="T883" s="434" t="s">
        <v>488</v>
      </c>
      <c r="U883" s="434" t="s">
        <v>489</v>
      </c>
      <c r="V883" s="436" t="n">
        <f aca="false">AY888</f>
        <v>0</v>
      </c>
    </row>
    <row r="884" customFormat="false" ht="13.5" hidden="false" customHeight="false" outlineLevel="0" collapsed="false">
      <c r="A884" s="424"/>
      <c r="B884" s="424"/>
      <c r="C884" s="424"/>
      <c r="D884" s="424"/>
      <c r="E884" s="424"/>
      <c r="F884" s="424"/>
      <c r="G884" s="424"/>
      <c r="H884" s="424"/>
      <c r="I884" s="424"/>
      <c r="J884" s="424"/>
      <c r="K884" s="424"/>
      <c r="L884" s="424"/>
      <c r="M884" s="424"/>
      <c r="N884" s="424"/>
      <c r="O884" s="424"/>
      <c r="P884" s="438" t="s">
        <v>417</v>
      </c>
      <c r="Q884" s="435" t="n">
        <v>26</v>
      </c>
      <c r="R884" s="434" t="s">
        <v>490</v>
      </c>
      <c r="S884" s="424"/>
      <c r="T884" s="434" t="s">
        <v>491</v>
      </c>
      <c r="U884" s="434" t="s">
        <v>492</v>
      </c>
      <c r="V884" s="436" t="n">
        <f aca="false">AY889</f>
        <v>0</v>
      </c>
    </row>
    <row r="885" customFormat="false" ht="13.5" hidden="false" customHeight="false" outlineLevel="0" collapsed="false">
      <c r="A885" s="424"/>
      <c r="B885" s="424"/>
      <c r="C885" s="424"/>
      <c r="D885" s="424"/>
      <c r="E885" s="424"/>
      <c r="F885" s="424"/>
      <c r="G885" s="424"/>
      <c r="H885" s="424"/>
      <c r="I885" s="424"/>
      <c r="J885" s="424"/>
      <c r="K885" s="424"/>
      <c r="L885" s="424"/>
      <c r="M885" s="424"/>
      <c r="N885" s="424"/>
      <c r="O885" s="424"/>
      <c r="P885" s="424"/>
      <c r="Q885" s="435" t="n">
        <v>27</v>
      </c>
      <c r="R885" s="434" t="s">
        <v>493</v>
      </c>
      <c r="S885" s="424"/>
      <c r="T885" s="434" t="s">
        <v>494</v>
      </c>
      <c r="U885" s="434" t="s">
        <v>495</v>
      </c>
      <c r="V885" s="436" t="n">
        <f aca="false">AY890</f>
        <v>0</v>
      </c>
    </row>
    <row r="886" customFormat="false" ht="13.5" hidden="false" customHeight="false" outlineLevel="0" collapsed="false">
      <c r="A886" s="424"/>
      <c r="B886" s="424"/>
      <c r="C886" s="424"/>
      <c r="D886" s="424"/>
      <c r="E886" s="424"/>
      <c r="F886" s="424"/>
      <c r="G886" s="424"/>
      <c r="H886" s="424"/>
      <c r="I886" s="424"/>
      <c r="J886" s="424"/>
      <c r="K886" s="424"/>
      <c r="L886" s="424"/>
      <c r="M886" s="424"/>
      <c r="N886" s="424"/>
      <c r="O886" s="424"/>
      <c r="P886" s="424"/>
      <c r="Q886" s="435" t="n">
        <v>28</v>
      </c>
      <c r="R886" s="434" t="s">
        <v>496</v>
      </c>
      <c r="S886" s="424"/>
      <c r="T886" s="434" t="s">
        <v>497</v>
      </c>
      <c r="U886" s="434" t="s">
        <v>498</v>
      </c>
      <c r="V886" s="436" t="n">
        <f aca="false">AY891</f>
        <v>0</v>
      </c>
    </row>
    <row r="887" customFormat="false" ht="13.5" hidden="false" customHeight="false" outlineLevel="0" collapsed="false">
      <c r="A887" s="424"/>
      <c r="B887" s="424"/>
      <c r="C887" s="424"/>
      <c r="D887" s="424"/>
      <c r="E887" s="424"/>
      <c r="F887" s="424"/>
      <c r="G887" s="424"/>
      <c r="H887" s="424"/>
      <c r="I887" s="424"/>
      <c r="J887" s="424"/>
      <c r="K887" s="424"/>
      <c r="L887" s="424"/>
      <c r="M887" s="424"/>
      <c r="N887" s="424"/>
      <c r="O887" s="424"/>
      <c r="P887" s="424"/>
      <c r="Q887" s="435" t="n">
        <v>29</v>
      </c>
      <c r="R887" s="434" t="s">
        <v>499</v>
      </c>
      <c r="S887" s="424"/>
      <c r="T887" s="434" t="s">
        <v>500</v>
      </c>
      <c r="U887" s="434" t="s">
        <v>501</v>
      </c>
      <c r="V887" s="436" t="n">
        <f aca="false">AY892</f>
        <v>0</v>
      </c>
    </row>
    <row r="888" customFormat="false" ht="13.5" hidden="false" customHeight="false" outlineLevel="0" collapsed="false">
      <c r="A888" s="424"/>
      <c r="B888" s="424"/>
      <c r="C888" s="424"/>
      <c r="D888" s="424"/>
      <c r="E888" s="424"/>
      <c r="F888" s="424"/>
      <c r="G888" s="424"/>
      <c r="H888" s="424"/>
      <c r="I888" s="424"/>
      <c r="J888" s="424"/>
      <c r="K888" s="424"/>
      <c r="L888" s="424"/>
      <c r="M888" s="424"/>
      <c r="N888" s="424"/>
      <c r="O888" s="424"/>
      <c r="P888" s="424"/>
      <c r="Q888" s="435" t="n">
        <v>30</v>
      </c>
      <c r="R888" s="434" t="s">
        <v>502</v>
      </c>
      <c r="S888" s="424"/>
      <c r="T888" s="434" t="s">
        <v>503</v>
      </c>
      <c r="U888" s="434" t="s">
        <v>504</v>
      </c>
      <c r="V888" s="436" t="n">
        <f aca="false">AY893</f>
        <v>0</v>
      </c>
    </row>
    <row r="889" customFormat="false" ht="13.5" hidden="false" customHeight="false" outlineLevel="0" collapsed="false">
      <c r="A889" s="424"/>
      <c r="B889" s="424"/>
      <c r="C889" s="424"/>
      <c r="D889" s="424"/>
      <c r="E889" s="424"/>
      <c r="F889" s="424"/>
      <c r="G889" s="424"/>
      <c r="H889" s="424"/>
      <c r="I889" s="424"/>
      <c r="J889" s="424"/>
      <c r="K889" s="424"/>
      <c r="L889" s="424"/>
      <c r="M889" s="424"/>
      <c r="N889" s="424"/>
      <c r="O889" s="424"/>
      <c r="P889" s="424"/>
      <c r="Q889" s="435" t="n">
        <v>31</v>
      </c>
      <c r="R889" s="434" t="s">
        <v>505</v>
      </c>
      <c r="S889" s="424"/>
      <c r="T889" s="434" t="s">
        <v>506</v>
      </c>
      <c r="U889" s="434" t="s">
        <v>507</v>
      </c>
      <c r="V889" s="436" t="n">
        <f aca="false">AY894</f>
        <v>0</v>
      </c>
    </row>
    <row r="890" customFormat="false" ht="13.5" hidden="false" customHeight="false" outlineLevel="0" collapsed="false">
      <c r="A890" s="424"/>
      <c r="B890" s="424"/>
      <c r="C890" s="424"/>
      <c r="D890" s="424"/>
      <c r="E890" s="424"/>
      <c r="F890" s="424"/>
      <c r="G890" s="424"/>
      <c r="H890" s="424"/>
      <c r="I890" s="424"/>
      <c r="J890" s="424"/>
      <c r="K890" s="424"/>
      <c r="L890" s="424"/>
      <c r="M890" s="424"/>
      <c r="N890" s="424"/>
      <c r="O890" s="424"/>
      <c r="P890" s="424"/>
      <c r="Q890" s="435" t="n">
        <v>32</v>
      </c>
      <c r="R890" s="434" t="s">
        <v>508</v>
      </c>
      <c r="S890" s="424"/>
      <c r="T890" s="434" t="s">
        <v>509</v>
      </c>
      <c r="U890" s="434" t="s">
        <v>510</v>
      </c>
      <c r="V890" s="436" t="n">
        <f aca="false">AY895</f>
        <v>0</v>
      </c>
    </row>
    <row r="891" customFormat="false" ht="13.5" hidden="false" customHeight="false" outlineLevel="0" collapsed="false">
      <c r="A891" s="440"/>
      <c r="B891" s="435" t="e">
        <f aca="false">G876</f>
        <v>#VALUE!</v>
      </c>
      <c r="C891" s="424"/>
      <c r="D891" s="424"/>
      <c r="E891" s="424"/>
      <c r="F891" s="424"/>
      <c r="G891" s="424"/>
      <c r="H891" s="424"/>
      <c r="I891" s="424"/>
      <c r="J891" s="424"/>
      <c r="K891" s="424"/>
      <c r="L891" s="424"/>
      <c r="M891" s="424"/>
      <c r="N891" s="424"/>
      <c r="O891" s="424"/>
      <c r="P891" s="424"/>
      <c r="Q891" s="435" t="n">
        <v>33</v>
      </c>
      <c r="R891" s="434" t="s">
        <v>511</v>
      </c>
      <c r="S891" s="424"/>
      <c r="T891" s="434" t="s">
        <v>512</v>
      </c>
      <c r="U891" s="434" t="s">
        <v>513</v>
      </c>
      <c r="V891" s="436" t="n">
        <f aca="false">AY896</f>
        <v>0</v>
      </c>
    </row>
    <row r="892" customFormat="false" ht="13.5" hidden="false" customHeight="false" outlineLevel="0" collapsed="false">
      <c r="A892" s="440"/>
      <c r="B892" s="435" t="str">
        <f aca="false">H876</f>
        <v/>
      </c>
      <c r="C892" s="424"/>
      <c r="D892" s="424"/>
      <c r="E892" s="424"/>
      <c r="F892" s="424"/>
      <c r="G892" s="424"/>
      <c r="H892" s="424"/>
      <c r="I892" s="424"/>
      <c r="J892" s="424"/>
      <c r="K892" s="424"/>
      <c r="L892" s="424"/>
      <c r="M892" s="424"/>
      <c r="N892" s="424"/>
      <c r="O892" s="424"/>
      <c r="P892" s="424"/>
      <c r="Q892" s="435" t="n">
        <v>34</v>
      </c>
      <c r="R892" s="434" t="s">
        <v>514</v>
      </c>
      <c r="S892" s="424"/>
      <c r="T892" s="434" t="s">
        <v>515</v>
      </c>
      <c r="U892" s="434" t="s">
        <v>516</v>
      </c>
      <c r="V892" s="436" t="n">
        <f aca="false">AY897</f>
        <v>0</v>
      </c>
    </row>
    <row r="893" customFormat="false" ht="13.5" hidden="false" customHeight="false" outlineLevel="0" collapsed="false">
      <c r="A893" s="440"/>
      <c r="B893" s="435" t="str">
        <f aca="false">I876</f>
        <v/>
      </c>
      <c r="C893" s="424"/>
      <c r="D893" s="424"/>
      <c r="E893" s="424"/>
      <c r="F893" s="424"/>
      <c r="G893" s="424"/>
      <c r="H893" s="424"/>
      <c r="I893" s="424"/>
      <c r="J893" s="424"/>
      <c r="K893" s="424"/>
      <c r="L893" s="424"/>
      <c r="M893" s="424"/>
      <c r="N893" s="424"/>
      <c r="O893" s="424"/>
      <c r="P893" s="424"/>
      <c r="Q893" s="435" t="n">
        <v>35</v>
      </c>
      <c r="R893" s="434" t="s">
        <v>517</v>
      </c>
      <c r="S893" s="424"/>
      <c r="T893" s="434" t="s">
        <v>518</v>
      </c>
      <c r="U893" s="434" t="s">
        <v>519</v>
      </c>
      <c r="V893" s="436" t="n">
        <f aca="false">AY898</f>
        <v>0</v>
      </c>
    </row>
    <row r="894" customFormat="false" ht="13.5" hidden="false" customHeight="false" outlineLevel="0" collapsed="false">
      <c r="A894" s="440"/>
      <c r="B894" s="435" t="str">
        <f aca="false">J876</f>
        <v/>
      </c>
      <c r="C894" s="424"/>
      <c r="D894" s="424"/>
      <c r="E894" s="424"/>
      <c r="F894" s="424"/>
      <c r="G894" s="424"/>
      <c r="H894" s="424"/>
      <c r="I894" s="424"/>
      <c r="J894" s="424"/>
      <c r="K894" s="424"/>
      <c r="L894" s="424"/>
      <c r="M894" s="424"/>
      <c r="N894" s="424"/>
      <c r="O894" s="424"/>
      <c r="P894" s="424"/>
      <c r="Q894" s="435" t="n">
        <v>36</v>
      </c>
      <c r="R894" s="434" t="s">
        <v>520</v>
      </c>
      <c r="S894" s="424"/>
      <c r="T894" s="434" t="s">
        <v>521</v>
      </c>
      <c r="U894" s="434" t="s">
        <v>522</v>
      </c>
      <c r="V894" s="436" t="n">
        <f aca="false">AY899</f>
        <v>0</v>
      </c>
    </row>
    <row r="895" customFormat="false" ht="13.5" hidden="false" customHeight="false" outlineLevel="0" collapsed="false">
      <c r="A895" s="440"/>
      <c r="B895" s="440" t="str">
        <f aca="false">K876</f>
        <v/>
      </c>
      <c r="C895" s="424"/>
      <c r="D895" s="424"/>
      <c r="E895" s="424"/>
      <c r="F895" s="424"/>
      <c r="G895" s="424"/>
      <c r="H895" s="424"/>
      <c r="I895" s="424"/>
      <c r="J895" s="424"/>
      <c r="K895" s="424"/>
      <c r="L895" s="424"/>
      <c r="M895" s="424"/>
      <c r="N895" s="424"/>
      <c r="O895" s="424"/>
      <c r="P895" s="424"/>
      <c r="Q895" s="435" t="n">
        <v>37</v>
      </c>
      <c r="R895" s="434" t="s">
        <v>523</v>
      </c>
      <c r="S895" s="424"/>
      <c r="T895" s="434" t="s">
        <v>524</v>
      </c>
      <c r="U895" s="434" t="s">
        <v>525</v>
      </c>
      <c r="V895" s="436" t="n">
        <f aca="false">AY900</f>
        <v>0</v>
      </c>
    </row>
    <row r="896" customFormat="false" ht="13.5" hidden="false" customHeight="false" outlineLevel="0" collapsed="false">
      <c r="A896" s="440"/>
      <c r="B896" s="435" t="str">
        <f aca="false">L876</f>
        <v> Dua belas</v>
      </c>
      <c r="C896" s="424"/>
      <c r="D896" s="424"/>
      <c r="E896" s="424"/>
      <c r="F896" s="424"/>
      <c r="G896" s="424"/>
      <c r="H896" s="424"/>
      <c r="I896" s="424"/>
      <c r="J896" s="424"/>
      <c r="K896" s="424"/>
      <c r="L896" s="424"/>
      <c r="M896" s="424"/>
      <c r="N896" s="424"/>
      <c r="O896" s="424"/>
      <c r="P896" s="424"/>
      <c r="Q896" s="435" t="n">
        <v>38</v>
      </c>
      <c r="R896" s="434" t="s">
        <v>526</v>
      </c>
      <c r="S896" s="424"/>
      <c r="T896" s="434" t="s">
        <v>527</v>
      </c>
      <c r="U896" s="434" t="s">
        <v>528</v>
      </c>
      <c r="V896" s="436" t="n">
        <f aca="false">AY901</f>
        <v>0</v>
      </c>
    </row>
    <row r="897" customFormat="false" ht="13.5" hidden="false" customHeight="false" outlineLevel="0" collapsed="false">
      <c r="A897" s="440"/>
      <c r="B897" s="435" t="str">
        <f aca="false">M876</f>
        <v> Dollar </v>
      </c>
      <c r="C897" s="424"/>
      <c r="D897" s="424"/>
      <c r="E897" s="424"/>
      <c r="F897" s="424"/>
      <c r="G897" s="424"/>
      <c r="H897" s="424"/>
      <c r="I897" s="424"/>
      <c r="J897" s="424"/>
      <c r="K897" s="424"/>
      <c r="L897" s="424"/>
      <c r="M897" s="424"/>
      <c r="N897" s="424"/>
      <c r="O897" s="424"/>
      <c r="P897" s="424"/>
      <c r="Q897" s="435" t="n">
        <v>39</v>
      </c>
      <c r="R897" s="434" t="s">
        <v>529</v>
      </c>
      <c r="S897" s="424"/>
      <c r="T897" s="434" t="s">
        <v>530</v>
      </c>
      <c r="U897" s="434" t="s">
        <v>531</v>
      </c>
      <c r="V897" s="436" t="n">
        <f aca="false">AY902</f>
        <v>0</v>
      </c>
    </row>
    <row r="898" customFormat="false" ht="13.5" hidden="false" customHeight="false" outlineLevel="0" collapsed="false">
      <c r="A898" s="436" t="e">
        <f aca="false">+#REF!</f>
        <v>#REF!</v>
      </c>
      <c r="B898" s="435" t="str">
        <f aca="false">O876</f>
        <v/>
      </c>
      <c r="C898" s="424"/>
      <c r="D898" s="424"/>
      <c r="E898" s="424"/>
      <c r="F898" s="424"/>
      <c r="G898" s="424"/>
      <c r="H898" s="424"/>
      <c r="I898" s="424"/>
      <c r="J898" s="424"/>
      <c r="K898" s="424"/>
      <c r="L898" s="424"/>
      <c r="M898" s="424"/>
      <c r="N898" s="424"/>
      <c r="O898" s="424"/>
      <c r="P898" s="424"/>
      <c r="Q898" s="435" t="n">
        <v>40</v>
      </c>
      <c r="R898" s="434" t="s">
        <v>532</v>
      </c>
      <c r="S898" s="424"/>
      <c r="T898" s="434" t="s">
        <v>533</v>
      </c>
      <c r="U898" s="434" t="s">
        <v>534</v>
      </c>
      <c r="V898" s="436" t="n">
        <f aca="false">AY903</f>
        <v>0</v>
      </c>
    </row>
    <row r="899" customFormat="false" ht="13.5" hidden="false" customHeight="false" outlineLevel="0" collapsed="false">
      <c r="A899" s="440"/>
      <c r="B899" s="435" t="str">
        <f aca="false">IF(N874&gt;0,"-","====")</f>
        <v>====</v>
      </c>
      <c r="C899" s="424"/>
      <c r="D899" s="424"/>
      <c r="E899" s="424"/>
      <c r="F899" s="424"/>
      <c r="G899" s="424"/>
      <c r="H899" s="424"/>
      <c r="I899" s="424"/>
      <c r="J899" s="424"/>
      <c r="K899" s="424"/>
      <c r="L899" s="424"/>
      <c r="M899" s="424"/>
      <c r="N899" s="424"/>
      <c r="O899" s="424"/>
      <c r="P899" s="424"/>
      <c r="Q899" s="435" t="n">
        <v>41</v>
      </c>
      <c r="R899" s="434" t="s">
        <v>535</v>
      </c>
      <c r="S899" s="424"/>
      <c r="T899" s="434" t="s">
        <v>536</v>
      </c>
      <c r="U899" s="434" t="s">
        <v>537</v>
      </c>
      <c r="V899" s="436" t="n">
        <f aca="false">AY904</f>
        <v>0</v>
      </c>
    </row>
    <row r="900" customFormat="false" ht="13.5" hidden="false" customHeight="false" outlineLevel="0" collapsed="false">
      <c r="A900" s="435" t="e">
        <f aca="false">B876&amp;C876&amp;D876&amp;E876&amp;F876&amp;G876&amp;H876&amp;I876&amp;J876&amp;K876&amp;L876&amp;M876&amp;O876</f>
        <v>#N/A</v>
      </c>
      <c r="B900" s="424"/>
      <c r="C900" s="424"/>
      <c r="D900" s="424"/>
      <c r="E900" s="424"/>
      <c r="F900" s="424"/>
      <c r="G900" s="424"/>
      <c r="H900" s="424"/>
      <c r="I900" s="424"/>
      <c r="J900" s="424"/>
      <c r="K900" s="424"/>
      <c r="L900" s="424"/>
      <c r="M900" s="424"/>
      <c r="N900" s="424"/>
      <c r="O900" s="424"/>
      <c r="P900" s="424"/>
      <c r="Q900" s="435" t="n">
        <v>42</v>
      </c>
      <c r="R900" s="434" t="s">
        <v>538</v>
      </c>
      <c r="S900" s="424"/>
      <c r="T900" s="434" t="s">
        <v>539</v>
      </c>
      <c r="U900" s="434" t="s">
        <v>540</v>
      </c>
      <c r="V900" s="436" t="n">
        <f aca="false">AY905</f>
        <v>0</v>
      </c>
    </row>
    <row r="901" customFormat="false" ht="13.5" hidden="false" customHeight="false" outlineLevel="0" collapsed="false">
      <c r="A901" s="440" t="str">
        <f aca="false">I876&amp;J876&amp;K876&amp;L876&amp;M876&amp;O876</f>
        <v> Dua belas Dollar </v>
      </c>
      <c r="B901" s="424"/>
      <c r="C901" s="424"/>
      <c r="D901" s="424"/>
      <c r="E901" s="424"/>
      <c r="F901" s="424"/>
      <c r="G901" s="424"/>
      <c r="H901" s="424"/>
      <c r="I901" s="424"/>
      <c r="J901" s="424"/>
      <c r="K901" s="424"/>
      <c r="L901" s="424"/>
      <c r="M901" s="424"/>
      <c r="N901" s="424"/>
      <c r="O901" s="424"/>
      <c r="P901" s="424"/>
      <c r="Q901" s="435" t="n">
        <v>43</v>
      </c>
      <c r="R901" s="434" t="s">
        <v>541</v>
      </c>
      <c r="S901" s="424"/>
      <c r="T901" s="434" t="s">
        <v>542</v>
      </c>
      <c r="U901" s="434" t="s">
        <v>543</v>
      </c>
      <c r="V901" s="436" t="n">
        <f aca="false">AY906</f>
        <v>0</v>
      </c>
    </row>
    <row r="902" customFormat="false" ht="13.5" hidden="false" customHeight="false" outlineLevel="0" collapsed="false">
      <c r="A902" s="440"/>
      <c r="B902" s="424"/>
      <c r="C902" s="424"/>
      <c r="D902" s="424"/>
      <c r="E902" s="424"/>
      <c r="F902" s="424"/>
      <c r="G902" s="424"/>
      <c r="H902" s="424"/>
      <c r="I902" s="424"/>
      <c r="J902" s="424"/>
      <c r="K902" s="424"/>
      <c r="L902" s="424"/>
      <c r="M902" s="424"/>
      <c r="N902" s="424"/>
      <c r="O902" s="424"/>
      <c r="P902" s="424"/>
      <c r="Q902" s="435" t="n">
        <v>44</v>
      </c>
      <c r="R902" s="434" t="s">
        <v>544</v>
      </c>
      <c r="S902" s="424"/>
      <c r="T902" s="434" t="s">
        <v>545</v>
      </c>
      <c r="U902" s="434" t="s">
        <v>546</v>
      </c>
      <c r="V902" s="436" t="n">
        <f aca="false">AY907</f>
        <v>0</v>
      </c>
    </row>
    <row r="903" customFormat="false" ht="13.5" hidden="false" customHeight="false" outlineLevel="0" collapsed="false">
      <c r="A903" s="440"/>
      <c r="B903" s="424"/>
      <c r="C903" s="424"/>
      <c r="D903" s="424"/>
      <c r="E903" s="424"/>
      <c r="F903" s="424"/>
      <c r="G903" s="424"/>
      <c r="H903" s="424"/>
      <c r="I903" s="424"/>
      <c r="J903" s="424"/>
      <c r="K903" s="424"/>
      <c r="L903" s="424"/>
      <c r="M903" s="424"/>
      <c r="N903" s="424"/>
      <c r="O903" s="424"/>
      <c r="P903" s="424"/>
      <c r="Q903" s="435" t="n">
        <v>45</v>
      </c>
      <c r="R903" s="434" t="s">
        <v>547</v>
      </c>
      <c r="S903" s="424"/>
      <c r="T903" s="434" t="s">
        <v>548</v>
      </c>
      <c r="U903" s="434" t="s">
        <v>549</v>
      </c>
      <c r="V903" s="436" t="n">
        <f aca="false">AY908</f>
        <v>0</v>
      </c>
    </row>
    <row r="904" customFormat="false" ht="13.5" hidden="false" customHeight="false" outlineLevel="0" collapsed="false">
      <c r="A904" s="440"/>
      <c r="B904" s="424"/>
      <c r="C904" s="424"/>
      <c r="D904" s="424"/>
      <c r="E904" s="424"/>
      <c r="F904" s="424"/>
      <c r="G904" s="424"/>
      <c r="H904" s="424"/>
      <c r="I904" s="424"/>
      <c r="J904" s="424"/>
      <c r="K904" s="424"/>
      <c r="L904" s="424"/>
      <c r="M904" s="424"/>
      <c r="N904" s="424"/>
      <c r="O904" s="424"/>
      <c r="P904" s="424"/>
      <c r="Q904" s="435" t="n">
        <v>46</v>
      </c>
      <c r="R904" s="434" t="s">
        <v>550</v>
      </c>
      <c r="S904" s="424"/>
      <c r="T904" s="434" t="s">
        <v>551</v>
      </c>
      <c r="U904" s="434" t="s">
        <v>552</v>
      </c>
      <c r="V904" s="436" t="n">
        <f aca="false">AY909</f>
        <v>0</v>
      </c>
    </row>
    <row r="905" customFormat="false" ht="13.5" hidden="false" customHeight="false" outlineLevel="0" collapsed="false">
      <c r="A905" s="440"/>
      <c r="B905" s="424"/>
      <c r="C905" s="424"/>
      <c r="D905" s="424"/>
      <c r="E905" s="424"/>
      <c r="F905" s="424"/>
      <c r="G905" s="424"/>
      <c r="H905" s="424"/>
      <c r="I905" s="424"/>
      <c r="J905" s="424"/>
      <c r="K905" s="424"/>
      <c r="L905" s="424"/>
      <c r="M905" s="424"/>
      <c r="N905" s="424"/>
      <c r="O905" s="424"/>
      <c r="P905" s="424"/>
      <c r="Q905" s="435" t="n">
        <v>47</v>
      </c>
      <c r="R905" s="434" t="s">
        <v>553</v>
      </c>
      <c r="S905" s="424"/>
      <c r="T905" s="434" t="s">
        <v>554</v>
      </c>
      <c r="U905" s="434" t="s">
        <v>555</v>
      </c>
      <c r="V905" s="436" t="n">
        <f aca="false">AY910</f>
        <v>0</v>
      </c>
    </row>
    <row r="906" customFormat="false" ht="13.5" hidden="false" customHeight="false" outlineLevel="0" collapsed="false">
      <c r="A906" s="424"/>
      <c r="B906" s="424"/>
      <c r="C906" s="424"/>
      <c r="D906" s="424"/>
      <c r="E906" s="424"/>
      <c r="F906" s="424"/>
      <c r="G906" s="424"/>
      <c r="H906" s="424"/>
      <c r="I906" s="424"/>
      <c r="J906" s="424"/>
      <c r="K906" s="424"/>
      <c r="L906" s="424"/>
      <c r="M906" s="424"/>
      <c r="N906" s="424"/>
      <c r="O906" s="424"/>
      <c r="P906" s="424"/>
      <c r="Q906" s="435" t="n">
        <v>48</v>
      </c>
      <c r="R906" s="434" t="s">
        <v>556</v>
      </c>
      <c r="S906" s="424"/>
      <c r="T906" s="434" t="s">
        <v>557</v>
      </c>
      <c r="U906" s="434" t="s">
        <v>558</v>
      </c>
      <c r="V906" s="436" t="n">
        <f aca="false">AY911</f>
        <v>0</v>
      </c>
    </row>
    <row r="907" customFormat="false" ht="13.5" hidden="false" customHeight="false" outlineLevel="0" collapsed="false">
      <c r="A907" s="424"/>
      <c r="B907" s="424"/>
      <c r="C907" s="424"/>
      <c r="D907" s="424"/>
      <c r="E907" s="424"/>
      <c r="F907" s="424"/>
      <c r="G907" s="424"/>
      <c r="H907" s="424"/>
      <c r="I907" s="424"/>
      <c r="J907" s="424"/>
      <c r="K907" s="424"/>
      <c r="L907" s="424"/>
      <c r="M907" s="424"/>
      <c r="N907" s="424"/>
      <c r="O907" s="424"/>
      <c r="P907" s="424"/>
      <c r="Q907" s="435" t="n">
        <v>49</v>
      </c>
      <c r="R907" s="434" t="s">
        <v>559</v>
      </c>
      <c r="S907" s="424"/>
      <c r="T907" s="434" t="s">
        <v>560</v>
      </c>
      <c r="U907" s="434" t="s">
        <v>561</v>
      </c>
      <c r="V907" s="436" t="n">
        <f aca="false">AY912</f>
        <v>0</v>
      </c>
    </row>
    <row r="908" customFormat="false" ht="13.5" hidden="false" customHeight="false" outlineLevel="0" collapsed="false">
      <c r="A908" s="424"/>
      <c r="B908" s="424"/>
      <c r="C908" s="424"/>
      <c r="D908" s="424"/>
      <c r="E908" s="424"/>
      <c r="F908" s="424"/>
      <c r="G908" s="424"/>
      <c r="H908" s="424"/>
      <c r="I908" s="424"/>
      <c r="J908" s="424"/>
      <c r="K908" s="424"/>
      <c r="L908" s="424"/>
      <c r="M908" s="424"/>
      <c r="N908" s="424"/>
      <c r="O908" s="424"/>
      <c r="P908" s="424"/>
      <c r="Q908" s="435" t="n">
        <v>50</v>
      </c>
      <c r="R908" s="434" t="s">
        <v>562</v>
      </c>
      <c r="S908" s="424"/>
      <c r="T908" s="434" t="s">
        <v>563</v>
      </c>
      <c r="U908" s="434" t="s">
        <v>564</v>
      </c>
      <c r="V908" s="436" t="n">
        <f aca="false">AY913</f>
        <v>0</v>
      </c>
    </row>
    <row r="909" customFormat="false" ht="13.5" hidden="false" customHeight="false" outlineLevel="0" collapsed="false">
      <c r="A909" s="424"/>
      <c r="B909" s="424"/>
      <c r="C909" s="424"/>
      <c r="D909" s="424"/>
      <c r="E909" s="424"/>
      <c r="F909" s="424"/>
      <c r="G909" s="424"/>
      <c r="H909" s="424"/>
      <c r="I909" s="424"/>
      <c r="J909" s="424"/>
      <c r="K909" s="424"/>
      <c r="L909" s="424"/>
      <c r="M909" s="424"/>
      <c r="N909" s="424"/>
      <c r="O909" s="424"/>
      <c r="P909" s="424"/>
      <c r="Q909" s="435" t="n">
        <v>51</v>
      </c>
      <c r="R909" s="434" t="s">
        <v>565</v>
      </c>
      <c r="S909" s="424"/>
      <c r="T909" s="434" t="s">
        <v>566</v>
      </c>
      <c r="U909" s="434" t="s">
        <v>567</v>
      </c>
      <c r="V909" s="436" t="n">
        <f aca="false">AY914</f>
        <v>0</v>
      </c>
    </row>
    <row r="910" customFormat="false" ht="13.5" hidden="false" customHeight="false" outlineLevel="0" collapsed="false">
      <c r="A910" s="424"/>
      <c r="B910" s="424"/>
      <c r="C910" s="424"/>
      <c r="D910" s="424"/>
      <c r="E910" s="424"/>
      <c r="F910" s="424"/>
      <c r="G910" s="424"/>
      <c r="H910" s="424"/>
      <c r="I910" s="424"/>
      <c r="J910" s="424"/>
      <c r="K910" s="424"/>
      <c r="L910" s="424"/>
      <c r="M910" s="424"/>
      <c r="N910" s="424"/>
      <c r="O910" s="424"/>
      <c r="P910" s="424"/>
      <c r="Q910" s="435" t="n">
        <v>52</v>
      </c>
      <c r="R910" s="434" t="s">
        <v>568</v>
      </c>
      <c r="S910" s="424"/>
      <c r="T910" s="434" t="s">
        <v>569</v>
      </c>
      <c r="U910" s="434" t="s">
        <v>570</v>
      </c>
      <c r="V910" s="436" t="n">
        <f aca="false">AY915</f>
        <v>0</v>
      </c>
    </row>
    <row r="911" customFormat="false" ht="13.5" hidden="false" customHeight="false" outlineLevel="0" collapsed="false">
      <c r="A911" s="424"/>
      <c r="B911" s="424"/>
      <c r="C911" s="424"/>
      <c r="D911" s="424"/>
      <c r="E911" s="424"/>
      <c r="F911" s="424"/>
      <c r="G911" s="424"/>
      <c r="H911" s="424"/>
      <c r="I911" s="424"/>
      <c r="J911" s="424"/>
      <c r="K911" s="424"/>
      <c r="L911" s="424"/>
      <c r="M911" s="424"/>
      <c r="N911" s="424"/>
      <c r="O911" s="424"/>
      <c r="P911" s="424"/>
      <c r="Q911" s="435" t="n">
        <v>53</v>
      </c>
      <c r="R911" s="434" t="s">
        <v>571</v>
      </c>
      <c r="S911" s="424"/>
      <c r="T911" s="434" t="s">
        <v>572</v>
      </c>
      <c r="U911" s="434" t="s">
        <v>573</v>
      </c>
      <c r="V911" s="436" t="n">
        <f aca="false">AY916</f>
        <v>0</v>
      </c>
    </row>
    <row r="912" customFormat="false" ht="13.5" hidden="false" customHeight="false" outlineLevel="0" collapsed="false">
      <c r="A912" s="424"/>
      <c r="B912" s="424"/>
      <c r="C912" s="424"/>
      <c r="D912" s="424"/>
      <c r="E912" s="424"/>
      <c r="F912" s="424"/>
      <c r="G912" s="424"/>
      <c r="H912" s="424"/>
      <c r="I912" s="424"/>
      <c r="J912" s="424"/>
      <c r="K912" s="424"/>
      <c r="L912" s="424"/>
      <c r="M912" s="424"/>
      <c r="N912" s="424"/>
      <c r="O912" s="424"/>
      <c r="P912" s="424"/>
      <c r="Q912" s="435" t="n">
        <v>54</v>
      </c>
      <c r="R912" s="434" t="s">
        <v>574</v>
      </c>
      <c r="S912" s="424"/>
      <c r="T912" s="434" t="s">
        <v>575</v>
      </c>
      <c r="U912" s="434" t="s">
        <v>576</v>
      </c>
      <c r="V912" s="436" t="n">
        <f aca="false">AY917</f>
        <v>0</v>
      </c>
    </row>
    <row r="913" customFormat="false" ht="13.5" hidden="false" customHeight="false" outlineLevel="0" collapsed="false">
      <c r="A913" s="424"/>
      <c r="B913" s="424"/>
      <c r="C913" s="424"/>
      <c r="D913" s="424"/>
      <c r="E913" s="424"/>
      <c r="F913" s="424"/>
      <c r="G913" s="424"/>
      <c r="H913" s="424"/>
      <c r="I913" s="424"/>
      <c r="J913" s="424"/>
      <c r="K913" s="424"/>
      <c r="L913" s="424"/>
      <c r="M913" s="424"/>
      <c r="N913" s="424"/>
      <c r="O913" s="424"/>
      <c r="P913" s="424"/>
      <c r="Q913" s="435" t="n">
        <v>55</v>
      </c>
      <c r="R913" s="434" t="s">
        <v>577</v>
      </c>
      <c r="S913" s="424"/>
      <c r="T913" s="434" t="s">
        <v>578</v>
      </c>
      <c r="U913" s="434" t="s">
        <v>579</v>
      </c>
      <c r="V913" s="436" t="n">
        <f aca="false">AY918</f>
        <v>0</v>
      </c>
    </row>
    <row r="914" customFormat="false" ht="13.5" hidden="false" customHeight="false" outlineLevel="0" collapsed="false">
      <c r="A914" s="424"/>
      <c r="B914" s="424"/>
      <c r="C914" s="424"/>
      <c r="D914" s="424"/>
      <c r="E914" s="424"/>
      <c r="F914" s="424"/>
      <c r="G914" s="424"/>
      <c r="H914" s="424"/>
      <c r="I914" s="424"/>
      <c r="J914" s="424"/>
      <c r="K914" s="424"/>
      <c r="L914" s="424"/>
      <c r="M914" s="424"/>
      <c r="N914" s="424"/>
      <c r="O914" s="424"/>
      <c r="P914" s="424"/>
      <c r="Q914" s="435" t="n">
        <v>56</v>
      </c>
      <c r="R914" s="434" t="s">
        <v>580</v>
      </c>
      <c r="S914" s="424"/>
      <c r="T914" s="434" t="s">
        <v>581</v>
      </c>
      <c r="U914" s="434" t="s">
        <v>582</v>
      </c>
      <c r="V914" s="436" t="n">
        <f aca="false">AY919</f>
        <v>0</v>
      </c>
    </row>
    <row r="915" customFormat="false" ht="13.5" hidden="false" customHeight="false" outlineLevel="0" collapsed="false">
      <c r="A915" s="424"/>
      <c r="B915" s="424"/>
      <c r="C915" s="424"/>
      <c r="D915" s="424"/>
      <c r="E915" s="424"/>
      <c r="F915" s="424"/>
      <c r="G915" s="424"/>
      <c r="H915" s="424"/>
      <c r="I915" s="424"/>
      <c r="J915" s="424"/>
      <c r="K915" s="424"/>
      <c r="L915" s="424"/>
      <c r="M915" s="424"/>
      <c r="N915" s="424"/>
      <c r="O915" s="424"/>
      <c r="P915" s="424"/>
      <c r="Q915" s="435" t="n">
        <v>57</v>
      </c>
      <c r="R915" s="434" t="s">
        <v>583</v>
      </c>
      <c r="S915" s="424"/>
      <c r="T915" s="434" t="s">
        <v>584</v>
      </c>
      <c r="U915" s="434" t="s">
        <v>585</v>
      </c>
      <c r="V915" s="436" t="n">
        <f aca="false">AY920</f>
        <v>0</v>
      </c>
    </row>
    <row r="916" customFormat="false" ht="13.5" hidden="false" customHeight="false" outlineLevel="0" collapsed="false">
      <c r="A916" s="424"/>
      <c r="B916" s="424"/>
      <c r="C916" s="424"/>
      <c r="D916" s="424"/>
      <c r="E916" s="424"/>
      <c r="F916" s="424"/>
      <c r="G916" s="424"/>
      <c r="H916" s="424"/>
      <c r="I916" s="424"/>
      <c r="J916" s="424"/>
      <c r="K916" s="424"/>
      <c r="L916" s="424"/>
      <c r="M916" s="424"/>
      <c r="N916" s="424"/>
      <c r="O916" s="424"/>
      <c r="P916" s="424"/>
      <c r="Q916" s="435" t="n">
        <v>58</v>
      </c>
      <c r="R916" s="434" t="s">
        <v>586</v>
      </c>
      <c r="S916" s="424"/>
      <c r="T916" s="434" t="s">
        <v>587</v>
      </c>
      <c r="U916" s="434" t="s">
        <v>588</v>
      </c>
      <c r="V916" s="436" t="n">
        <f aca="false">AY921</f>
        <v>0</v>
      </c>
    </row>
    <row r="917" customFormat="false" ht="13.5" hidden="false" customHeight="false" outlineLevel="0" collapsed="false">
      <c r="A917" s="424"/>
      <c r="B917" s="424"/>
      <c r="C917" s="424"/>
      <c r="D917" s="424"/>
      <c r="E917" s="424"/>
      <c r="F917" s="424"/>
      <c r="G917" s="424"/>
      <c r="H917" s="424"/>
      <c r="I917" s="424"/>
      <c r="J917" s="424"/>
      <c r="K917" s="424"/>
      <c r="L917" s="424"/>
      <c r="M917" s="424"/>
      <c r="N917" s="424"/>
      <c r="O917" s="424"/>
      <c r="P917" s="424"/>
      <c r="Q917" s="435" t="n">
        <v>59</v>
      </c>
      <c r="R917" s="434" t="s">
        <v>589</v>
      </c>
      <c r="S917" s="424"/>
      <c r="T917" s="434" t="s">
        <v>590</v>
      </c>
      <c r="U917" s="434" t="s">
        <v>591</v>
      </c>
      <c r="V917" s="436" t="n">
        <f aca="false">AY922</f>
        <v>0</v>
      </c>
    </row>
    <row r="918" customFormat="false" ht="13.5" hidden="false" customHeight="false" outlineLevel="0" collapsed="false">
      <c r="A918" s="424"/>
      <c r="B918" s="424"/>
      <c r="C918" s="424"/>
      <c r="D918" s="424"/>
      <c r="E918" s="424"/>
      <c r="F918" s="424"/>
      <c r="G918" s="424"/>
      <c r="H918" s="424"/>
      <c r="I918" s="424"/>
      <c r="J918" s="424"/>
      <c r="K918" s="424"/>
      <c r="L918" s="424"/>
      <c r="M918" s="424"/>
      <c r="N918" s="424"/>
      <c r="O918" s="424"/>
      <c r="P918" s="424"/>
      <c r="Q918" s="435" t="n">
        <v>60</v>
      </c>
      <c r="R918" s="434" t="s">
        <v>592</v>
      </c>
      <c r="S918" s="424"/>
      <c r="T918" s="434" t="s">
        <v>593</v>
      </c>
      <c r="U918" s="434" t="s">
        <v>594</v>
      </c>
      <c r="V918" s="436" t="n">
        <f aca="false">AY923</f>
        <v>0</v>
      </c>
    </row>
    <row r="919" customFormat="false" ht="13.5" hidden="false" customHeight="false" outlineLevel="0" collapsed="false">
      <c r="A919" s="424"/>
      <c r="B919" s="424"/>
      <c r="C919" s="424"/>
      <c r="D919" s="424"/>
      <c r="E919" s="424"/>
      <c r="F919" s="424"/>
      <c r="G919" s="424"/>
      <c r="H919" s="424"/>
      <c r="I919" s="424"/>
      <c r="J919" s="424"/>
      <c r="K919" s="424"/>
      <c r="L919" s="424"/>
      <c r="M919" s="424"/>
      <c r="N919" s="424"/>
      <c r="O919" s="424"/>
      <c r="P919" s="424"/>
      <c r="Q919" s="435" t="n">
        <v>61</v>
      </c>
      <c r="R919" s="434" t="s">
        <v>595</v>
      </c>
      <c r="S919" s="424"/>
      <c r="T919" s="434" t="s">
        <v>596</v>
      </c>
      <c r="U919" s="434" t="s">
        <v>597</v>
      </c>
      <c r="V919" s="436" t="n">
        <f aca="false">AY924</f>
        <v>0</v>
      </c>
    </row>
    <row r="920" customFormat="false" ht="13.5" hidden="false" customHeight="false" outlineLevel="0" collapsed="false">
      <c r="A920" s="424"/>
      <c r="B920" s="424"/>
      <c r="C920" s="424"/>
      <c r="D920" s="424"/>
      <c r="E920" s="424"/>
      <c r="F920" s="424"/>
      <c r="G920" s="424"/>
      <c r="H920" s="424"/>
      <c r="I920" s="424"/>
      <c r="J920" s="424"/>
      <c r="K920" s="424"/>
      <c r="L920" s="424"/>
      <c r="M920" s="424"/>
      <c r="N920" s="424"/>
      <c r="O920" s="424"/>
      <c r="P920" s="424"/>
      <c r="Q920" s="435" t="n">
        <v>62</v>
      </c>
      <c r="R920" s="434" t="s">
        <v>598</v>
      </c>
      <c r="S920" s="424"/>
      <c r="T920" s="434" t="s">
        <v>599</v>
      </c>
      <c r="U920" s="434" t="s">
        <v>600</v>
      </c>
      <c r="V920" s="436" t="n">
        <f aca="false">AY925</f>
        <v>0</v>
      </c>
    </row>
    <row r="921" customFormat="false" ht="13.5" hidden="false" customHeight="false" outlineLevel="0" collapsed="false">
      <c r="A921" s="424"/>
      <c r="B921" s="424"/>
      <c r="C921" s="424"/>
      <c r="D921" s="424"/>
      <c r="E921" s="424"/>
      <c r="F921" s="424"/>
      <c r="G921" s="424"/>
      <c r="H921" s="424"/>
      <c r="I921" s="424"/>
      <c r="J921" s="424"/>
      <c r="K921" s="424"/>
      <c r="L921" s="424"/>
      <c r="M921" s="424"/>
      <c r="N921" s="424"/>
      <c r="O921" s="424"/>
      <c r="P921" s="424"/>
      <c r="Q921" s="435" t="n">
        <v>63</v>
      </c>
      <c r="R921" s="434" t="s">
        <v>601</v>
      </c>
      <c r="S921" s="424"/>
      <c r="T921" s="434" t="s">
        <v>602</v>
      </c>
      <c r="U921" s="434" t="s">
        <v>603</v>
      </c>
      <c r="V921" s="436" t="n">
        <f aca="false">AY926</f>
        <v>0</v>
      </c>
    </row>
    <row r="922" customFormat="false" ht="13.5" hidden="false" customHeight="false" outlineLevel="0" collapsed="false">
      <c r="A922" s="424"/>
      <c r="B922" s="424"/>
      <c r="C922" s="424"/>
      <c r="D922" s="424"/>
      <c r="E922" s="424"/>
      <c r="F922" s="424"/>
      <c r="G922" s="424"/>
      <c r="H922" s="424"/>
      <c r="I922" s="424"/>
      <c r="J922" s="424"/>
      <c r="K922" s="424"/>
      <c r="L922" s="424"/>
      <c r="M922" s="424"/>
      <c r="N922" s="424"/>
      <c r="O922" s="424"/>
      <c r="P922" s="424"/>
      <c r="Q922" s="435" t="n">
        <v>64</v>
      </c>
      <c r="R922" s="434" t="s">
        <v>604</v>
      </c>
      <c r="S922" s="424"/>
      <c r="T922" s="434" t="s">
        <v>605</v>
      </c>
      <c r="U922" s="434" t="s">
        <v>606</v>
      </c>
      <c r="V922" s="436" t="n">
        <f aca="false">AY927</f>
        <v>0</v>
      </c>
    </row>
    <row r="923" customFormat="false" ht="13.5" hidden="false" customHeight="false" outlineLevel="0" collapsed="false">
      <c r="A923" s="424"/>
      <c r="B923" s="424"/>
      <c r="C923" s="424"/>
      <c r="D923" s="424"/>
      <c r="E923" s="424"/>
      <c r="F923" s="424"/>
      <c r="G923" s="424"/>
      <c r="H923" s="424"/>
      <c r="I923" s="424"/>
      <c r="J923" s="424"/>
      <c r="K923" s="424"/>
      <c r="L923" s="424"/>
      <c r="M923" s="424"/>
      <c r="N923" s="424"/>
      <c r="O923" s="424"/>
      <c r="P923" s="424"/>
      <c r="Q923" s="435" t="n">
        <v>65</v>
      </c>
      <c r="R923" s="434" t="s">
        <v>607</v>
      </c>
      <c r="S923" s="424"/>
      <c r="T923" s="434" t="s">
        <v>608</v>
      </c>
      <c r="U923" s="434" t="s">
        <v>609</v>
      </c>
      <c r="V923" s="436" t="n">
        <f aca="false">AY928</f>
        <v>0</v>
      </c>
    </row>
    <row r="924" customFormat="false" ht="13.5" hidden="false" customHeight="false" outlineLevel="0" collapsed="false">
      <c r="A924" s="424"/>
      <c r="B924" s="424"/>
      <c r="C924" s="424"/>
      <c r="D924" s="424"/>
      <c r="E924" s="424"/>
      <c r="F924" s="424"/>
      <c r="G924" s="424"/>
      <c r="H924" s="424"/>
      <c r="I924" s="424"/>
      <c r="J924" s="424"/>
      <c r="K924" s="424"/>
      <c r="L924" s="424"/>
      <c r="M924" s="424"/>
      <c r="N924" s="424"/>
      <c r="O924" s="424"/>
      <c r="P924" s="424"/>
      <c r="Q924" s="435" t="n">
        <v>66</v>
      </c>
      <c r="R924" s="434" t="s">
        <v>610</v>
      </c>
      <c r="S924" s="424"/>
      <c r="T924" s="434" t="s">
        <v>611</v>
      </c>
      <c r="U924" s="434" t="s">
        <v>612</v>
      </c>
      <c r="V924" s="436" t="n">
        <f aca="false">AY929</f>
        <v>0</v>
      </c>
    </row>
    <row r="925" customFormat="false" ht="13.5" hidden="false" customHeight="false" outlineLevel="0" collapsed="false">
      <c r="A925" s="424"/>
      <c r="B925" s="424"/>
      <c r="C925" s="424"/>
      <c r="D925" s="424"/>
      <c r="E925" s="424"/>
      <c r="F925" s="424"/>
      <c r="G925" s="424"/>
      <c r="H925" s="424"/>
      <c r="I925" s="424"/>
      <c r="J925" s="424"/>
      <c r="K925" s="424"/>
      <c r="L925" s="424"/>
      <c r="M925" s="424"/>
      <c r="N925" s="424"/>
      <c r="O925" s="424"/>
      <c r="P925" s="424"/>
      <c r="Q925" s="435" t="n">
        <v>67</v>
      </c>
      <c r="R925" s="434" t="s">
        <v>613</v>
      </c>
      <c r="S925" s="424"/>
      <c r="T925" s="434" t="s">
        <v>614</v>
      </c>
      <c r="U925" s="434" t="s">
        <v>615</v>
      </c>
      <c r="V925" s="436" t="n">
        <f aca="false">AY930</f>
        <v>0</v>
      </c>
    </row>
    <row r="926" customFormat="false" ht="13.5" hidden="false" customHeight="false" outlineLevel="0" collapsed="false">
      <c r="A926" s="424"/>
      <c r="B926" s="424"/>
      <c r="C926" s="424"/>
      <c r="D926" s="424"/>
      <c r="E926" s="424"/>
      <c r="F926" s="424"/>
      <c r="G926" s="424"/>
      <c r="H926" s="424"/>
      <c r="I926" s="424"/>
      <c r="J926" s="424"/>
      <c r="K926" s="424"/>
      <c r="L926" s="424"/>
      <c r="M926" s="424"/>
      <c r="N926" s="424"/>
      <c r="O926" s="424"/>
      <c r="P926" s="424"/>
      <c r="Q926" s="435" t="n">
        <v>68</v>
      </c>
      <c r="R926" s="434" t="s">
        <v>616</v>
      </c>
      <c r="S926" s="424"/>
      <c r="T926" s="434" t="s">
        <v>617</v>
      </c>
      <c r="U926" s="434" t="s">
        <v>618</v>
      </c>
      <c r="V926" s="436" t="n">
        <f aca="false">AY931</f>
        <v>0</v>
      </c>
    </row>
    <row r="927" customFormat="false" ht="13.5" hidden="false" customHeight="false" outlineLevel="0" collapsed="false">
      <c r="A927" s="424"/>
      <c r="B927" s="424"/>
      <c r="C927" s="424"/>
      <c r="D927" s="424"/>
      <c r="E927" s="424"/>
      <c r="F927" s="424"/>
      <c r="G927" s="424"/>
      <c r="H927" s="424"/>
      <c r="I927" s="424"/>
      <c r="J927" s="424"/>
      <c r="K927" s="424"/>
      <c r="L927" s="424"/>
      <c r="M927" s="424"/>
      <c r="N927" s="424"/>
      <c r="O927" s="424"/>
      <c r="P927" s="424"/>
      <c r="Q927" s="435" t="n">
        <v>69</v>
      </c>
      <c r="R927" s="434" t="s">
        <v>619</v>
      </c>
      <c r="S927" s="424"/>
      <c r="T927" s="434" t="s">
        <v>620</v>
      </c>
      <c r="U927" s="434" t="s">
        <v>621</v>
      </c>
      <c r="V927" s="436" t="n">
        <f aca="false">AY932</f>
        <v>0</v>
      </c>
    </row>
    <row r="928" customFormat="false" ht="13.5" hidden="false" customHeight="false" outlineLevel="0" collapsed="false">
      <c r="A928" s="424"/>
      <c r="B928" s="424"/>
      <c r="C928" s="424"/>
      <c r="D928" s="424"/>
      <c r="E928" s="424"/>
      <c r="F928" s="424"/>
      <c r="G928" s="424"/>
      <c r="H928" s="424"/>
      <c r="I928" s="424"/>
      <c r="J928" s="424"/>
      <c r="K928" s="424"/>
      <c r="L928" s="424"/>
      <c r="M928" s="424"/>
      <c r="N928" s="424"/>
      <c r="O928" s="424"/>
      <c r="P928" s="424"/>
      <c r="Q928" s="435" t="n">
        <v>70</v>
      </c>
      <c r="R928" s="434" t="s">
        <v>622</v>
      </c>
      <c r="S928" s="424"/>
      <c r="T928" s="434" t="s">
        <v>623</v>
      </c>
      <c r="U928" s="434" t="s">
        <v>624</v>
      </c>
      <c r="V928" s="436" t="n">
        <f aca="false">AY933</f>
        <v>0</v>
      </c>
    </row>
    <row r="929" customFormat="false" ht="13.5" hidden="false" customHeight="false" outlineLevel="0" collapsed="false">
      <c r="A929" s="424"/>
      <c r="B929" s="424"/>
      <c r="C929" s="424"/>
      <c r="D929" s="424"/>
      <c r="E929" s="424"/>
      <c r="F929" s="424"/>
      <c r="G929" s="424"/>
      <c r="H929" s="424"/>
      <c r="I929" s="424"/>
      <c r="J929" s="424"/>
      <c r="K929" s="424"/>
      <c r="L929" s="424"/>
      <c r="M929" s="424"/>
      <c r="N929" s="424"/>
      <c r="O929" s="424"/>
      <c r="P929" s="424"/>
      <c r="Q929" s="435" t="n">
        <v>71</v>
      </c>
      <c r="R929" s="434" t="s">
        <v>625</v>
      </c>
      <c r="S929" s="424"/>
      <c r="T929" s="434" t="s">
        <v>626</v>
      </c>
      <c r="U929" s="434" t="s">
        <v>627</v>
      </c>
      <c r="V929" s="436" t="n">
        <f aca="false">AY934</f>
        <v>0</v>
      </c>
    </row>
    <row r="930" customFormat="false" ht="13.5" hidden="false" customHeight="false" outlineLevel="0" collapsed="false">
      <c r="A930" s="424"/>
      <c r="B930" s="424"/>
      <c r="C930" s="424"/>
      <c r="D930" s="424"/>
      <c r="E930" s="424"/>
      <c r="F930" s="424"/>
      <c r="G930" s="424"/>
      <c r="H930" s="424"/>
      <c r="I930" s="424"/>
      <c r="J930" s="424"/>
      <c r="K930" s="424"/>
      <c r="L930" s="424"/>
      <c r="M930" s="424"/>
      <c r="N930" s="424"/>
      <c r="O930" s="424"/>
      <c r="P930" s="424"/>
      <c r="Q930" s="435" t="n">
        <v>72</v>
      </c>
      <c r="R930" s="434" t="s">
        <v>628</v>
      </c>
      <c r="S930" s="424"/>
      <c r="T930" s="434" t="s">
        <v>629</v>
      </c>
      <c r="U930" s="434" t="s">
        <v>630</v>
      </c>
      <c r="V930" s="436" t="n">
        <f aca="false">AY935</f>
        <v>0</v>
      </c>
    </row>
    <row r="931" customFormat="false" ht="13.5" hidden="false" customHeight="false" outlineLevel="0" collapsed="false">
      <c r="A931" s="424"/>
      <c r="B931" s="424"/>
      <c r="C931" s="424"/>
      <c r="D931" s="424"/>
      <c r="E931" s="424"/>
      <c r="F931" s="424"/>
      <c r="G931" s="424"/>
      <c r="H931" s="424"/>
      <c r="I931" s="424"/>
      <c r="J931" s="424"/>
      <c r="K931" s="424"/>
      <c r="L931" s="424"/>
      <c r="M931" s="424"/>
      <c r="N931" s="424"/>
      <c r="O931" s="424"/>
      <c r="P931" s="424"/>
      <c r="Q931" s="435" t="n">
        <v>73</v>
      </c>
      <c r="R931" s="434" t="s">
        <v>631</v>
      </c>
      <c r="S931" s="424"/>
      <c r="T931" s="434" t="s">
        <v>632</v>
      </c>
      <c r="U931" s="434" t="s">
        <v>633</v>
      </c>
      <c r="V931" s="436" t="n">
        <f aca="false">AY936</f>
        <v>0</v>
      </c>
    </row>
    <row r="932" customFormat="false" ht="13.5" hidden="false" customHeight="false" outlineLevel="0" collapsed="false">
      <c r="A932" s="424"/>
      <c r="B932" s="424"/>
      <c r="C932" s="424"/>
      <c r="D932" s="424"/>
      <c r="E932" s="424"/>
      <c r="F932" s="424"/>
      <c r="G932" s="424"/>
      <c r="H932" s="424"/>
      <c r="I932" s="424"/>
      <c r="J932" s="424"/>
      <c r="K932" s="424"/>
      <c r="L932" s="424"/>
      <c r="M932" s="424"/>
      <c r="N932" s="424"/>
      <c r="O932" s="424"/>
      <c r="P932" s="424"/>
      <c r="Q932" s="435" t="n">
        <v>74</v>
      </c>
      <c r="R932" s="434" t="s">
        <v>634</v>
      </c>
      <c r="S932" s="424"/>
      <c r="T932" s="434" t="s">
        <v>635</v>
      </c>
      <c r="U932" s="434" t="s">
        <v>636</v>
      </c>
      <c r="V932" s="436" t="n">
        <f aca="false">AY937</f>
        <v>0</v>
      </c>
    </row>
    <row r="933" customFormat="false" ht="13.5" hidden="false" customHeight="false" outlineLevel="0" collapsed="false">
      <c r="A933" s="424"/>
      <c r="B933" s="424"/>
      <c r="C933" s="424"/>
      <c r="D933" s="424"/>
      <c r="E933" s="424"/>
      <c r="F933" s="424"/>
      <c r="G933" s="424"/>
      <c r="H933" s="424"/>
      <c r="I933" s="424"/>
      <c r="J933" s="424"/>
      <c r="K933" s="424"/>
      <c r="L933" s="424"/>
      <c r="M933" s="424"/>
      <c r="N933" s="424"/>
      <c r="O933" s="424"/>
      <c r="P933" s="424"/>
      <c r="Q933" s="435" t="n">
        <v>75</v>
      </c>
      <c r="R933" s="434" t="s">
        <v>637</v>
      </c>
      <c r="S933" s="424"/>
      <c r="T933" s="434" t="s">
        <v>638</v>
      </c>
      <c r="U933" s="434" t="s">
        <v>639</v>
      </c>
      <c r="V933" s="436" t="n">
        <f aca="false">AY938</f>
        <v>0</v>
      </c>
    </row>
    <row r="934" customFormat="false" ht="13.5" hidden="false" customHeight="false" outlineLevel="0" collapsed="false">
      <c r="A934" s="424"/>
      <c r="B934" s="424"/>
      <c r="C934" s="424"/>
      <c r="D934" s="424"/>
      <c r="E934" s="424"/>
      <c r="F934" s="424"/>
      <c r="G934" s="424"/>
      <c r="H934" s="424"/>
      <c r="I934" s="424"/>
      <c r="J934" s="424"/>
      <c r="K934" s="424"/>
      <c r="L934" s="424"/>
      <c r="M934" s="424"/>
      <c r="N934" s="424"/>
      <c r="O934" s="424"/>
      <c r="P934" s="424"/>
      <c r="Q934" s="435" t="n">
        <v>76</v>
      </c>
      <c r="R934" s="434" t="s">
        <v>640</v>
      </c>
      <c r="S934" s="424"/>
      <c r="T934" s="434" t="s">
        <v>641</v>
      </c>
      <c r="U934" s="434" t="s">
        <v>642</v>
      </c>
      <c r="V934" s="436" t="n">
        <f aca="false">AY939</f>
        <v>0</v>
      </c>
    </row>
    <row r="935" customFormat="false" ht="13.5" hidden="false" customHeight="false" outlineLevel="0" collapsed="false">
      <c r="A935" s="424"/>
      <c r="B935" s="424"/>
      <c r="C935" s="424"/>
      <c r="D935" s="424"/>
      <c r="E935" s="424"/>
      <c r="F935" s="424"/>
      <c r="G935" s="424"/>
      <c r="H935" s="424"/>
      <c r="I935" s="424"/>
      <c r="J935" s="424"/>
      <c r="K935" s="424"/>
      <c r="L935" s="424"/>
      <c r="M935" s="424"/>
      <c r="N935" s="424"/>
      <c r="O935" s="424"/>
      <c r="P935" s="424"/>
      <c r="Q935" s="435" t="n">
        <v>77</v>
      </c>
      <c r="R935" s="434" t="s">
        <v>643</v>
      </c>
      <c r="S935" s="424"/>
      <c r="T935" s="434" t="s">
        <v>644</v>
      </c>
      <c r="U935" s="434" t="s">
        <v>645</v>
      </c>
      <c r="V935" s="436" t="n">
        <f aca="false">AY940</f>
        <v>0</v>
      </c>
    </row>
    <row r="936" customFormat="false" ht="13.5" hidden="false" customHeight="false" outlineLevel="0" collapsed="false">
      <c r="A936" s="424"/>
      <c r="B936" s="424"/>
      <c r="C936" s="424"/>
      <c r="D936" s="424"/>
      <c r="E936" s="424"/>
      <c r="F936" s="424"/>
      <c r="G936" s="424"/>
      <c r="H936" s="424"/>
      <c r="I936" s="424"/>
      <c r="J936" s="424"/>
      <c r="K936" s="424"/>
      <c r="L936" s="424"/>
      <c r="M936" s="424"/>
      <c r="N936" s="424"/>
      <c r="O936" s="424"/>
      <c r="P936" s="424"/>
      <c r="Q936" s="435" t="n">
        <v>78</v>
      </c>
      <c r="R936" s="434" t="s">
        <v>646</v>
      </c>
      <c r="S936" s="424"/>
      <c r="T936" s="434" t="s">
        <v>647</v>
      </c>
      <c r="U936" s="434" t="s">
        <v>648</v>
      </c>
      <c r="V936" s="436" t="n">
        <f aca="false">AY941</f>
        <v>0</v>
      </c>
    </row>
    <row r="937" customFormat="false" ht="13.5" hidden="false" customHeight="false" outlineLevel="0" collapsed="false">
      <c r="A937" s="424"/>
      <c r="B937" s="424"/>
      <c r="C937" s="424"/>
      <c r="D937" s="424"/>
      <c r="E937" s="424"/>
      <c r="F937" s="424"/>
      <c r="G937" s="424"/>
      <c r="H937" s="424"/>
      <c r="I937" s="424"/>
      <c r="J937" s="424"/>
      <c r="K937" s="424"/>
      <c r="L937" s="424"/>
      <c r="M937" s="424"/>
      <c r="N937" s="424"/>
      <c r="O937" s="424"/>
      <c r="P937" s="424"/>
      <c r="Q937" s="435" t="n">
        <v>79</v>
      </c>
      <c r="R937" s="434" t="s">
        <v>649</v>
      </c>
      <c r="S937" s="424"/>
      <c r="T937" s="434" t="s">
        <v>650</v>
      </c>
      <c r="U937" s="434" t="s">
        <v>651</v>
      </c>
      <c r="V937" s="436" t="n">
        <f aca="false">AY942</f>
        <v>0</v>
      </c>
    </row>
    <row r="938" customFormat="false" ht="13.5" hidden="false" customHeight="false" outlineLevel="0" collapsed="false">
      <c r="A938" s="424"/>
      <c r="B938" s="424"/>
      <c r="C938" s="424"/>
      <c r="D938" s="424"/>
      <c r="E938" s="424"/>
      <c r="F938" s="424"/>
      <c r="G938" s="424"/>
      <c r="H938" s="424"/>
      <c r="I938" s="424"/>
      <c r="J938" s="424"/>
      <c r="K938" s="424"/>
      <c r="L938" s="424"/>
      <c r="M938" s="424"/>
      <c r="N938" s="424"/>
      <c r="O938" s="424"/>
      <c r="P938" s="424"/>
      <c r="Q938" s="435" t="n">
        <v>80</v>
      </c>
      <c r="R938" s="434" t="s">
        <v>652</v>
      </c>
      <c r="S938" s="424"/>
      <c r="T938" s="434" t="s">
        <v>653</v>
      </c>
      <c r="U938" s="434" t="s">
        <v>654</v>
      </c>
      <c r="V938" s="436" t="n">
        <f aca="false">AY943</f>
        <v>0</v>
      </c>
    </row>
    <row r="939" customFormat="false" ht="13.5" hidden="false" customHeight="false" outlineLevel="0" collapsed="false">
      <c r="A939" s="424"/>
      <c r="B939" s="424"/>
      <c r="C939" s="424"/>
      <c r="D939" s="424"/>
      <c r="E939" s="424"/>
      <c r="F939" s="424"/>
      <c r="G939" s="424"/>
      <c r="H939" s="424"/>
      <c r="I939" s="424"/>
      <c r="J939" s="424"/>
      <c r="K939" s="424"/>
      <c r="L939" s="424"/>
      <c r="M939" s="424"/>
      <c r="N939" s="424"/>
      <c r="O939" s="424"/>
      <c r="P939" s="424"/>
      <c r="Q939" s="435" t="n">
        <v>81</v>
      </c>
      <c r="R939" s="434" t="s">
        <v>655</v>
      </c>
      <c r="S939" s="424"/>
      <c r="T939" s="434" t="s">
        <v>656</v>
      </c>
      <c r="U939" s="434" t="s">
        <v>657</v>
      </c>
      <c r="V939" s="436" t="n">
        <f aca="false">AY944</f>
        <v>0</v>
      </c>
    </row>
    <row r="940" customFormat="false" ht="13.5" hidden="false" customHeight="false" outlineLevel="0" collapsed="false">
      <c r="A940" s="424"/>
      <c r="B940" s="424"/>
      <c r="C940" s="424"/>
      <c r="D940" s="424"/>
      <c r="E940" s="424"/>
      <c r="F940" s="424"/>
      <c r="G940" s="424"/>
      <c r="H940" s="424"/>
      <c r="I940" s="424"/>
      <c r="J940" s="424"/>
      <c r="K940" s="424"/>
      <c r="L940" s="424"/>
      <c r="M940" s="424"/>
      <c r="N940" s="424"/>
      <c r="O940" s="424"/>
      <c r="P940" s="424"/>
      <c r="Q940" s="435" t="n">
        <v>82</v>
      </c>
      <c r="R940" s="434" t="s">
        <v>658</v>
      </c>
      <c r="S940" s="424"/>
      <c r="T940" s="434" t="s">
        <v>659</v>
      </c>
      <c r="U940" s="434" t="s">
        <v>660</v>
      </c>
      <c r="V940" s="436" t="n">
        <f aca="false">AY945</f>
        <v>0</v>
      </c>
    </row>
    <row r="941" customFormat="false" ht="13.5" hidden="false" customHeight="false" outlineLevel="0" collapsed="false">
      <c r="A941" s="424"/>
      <c r="B941" s="424"/>
      <c r="C941" s="424"/>
      <c r="D941" s="424"/>
      <c r="E941" s="424"/>
      <c r="F941" s="424"/>
      <c r="G941" s="424"/>
      <c r="H941" s="424"/>
      <c r="I941" s="424"/>
      <c r="J941" s="424"/>
      <c r="K941" s="424"/>
      <c r="L941" s="424"/>
      <c r="M941" s="424"/>
      <c r="N941" s="424"/>
      <c r="O941" s="424"/>
      <c r="P941" s="424"/>
      <c r="Q941" s="435" t="n">
        <v>83</v>
      </c>
      <c r="R941" s="434" t="s">
        <v>661</v>
      </c>
      <c r="S941" s="424"/>
      <c r="T941" s="434" t="s">
        <v>662</v>
      </c>
      <c r="U941" s="434" t="s">
        <v>663</v>
      </c>
      <c r="V941" s="436" t="n">
        <f aca="false">AY946</f>
        <v>0</v>
      </c>
    </row>
    <row r="942" customFormat="false" ht="13.5" hidden="false" customHeight="false" outlineLevel="0" collapsed="false">
      <c r="A942" s="424"/>
      <c r="B942" s="424"/>
      <c r="C942" s="424"/>
      <c r="D942" s="424"/>
      <c r="E942" s="424"/>
      <c r="F942" s="424"/>
      <c r="G942" s="424"/>
      <c r="H942" s="424"/>
      <c r="I942" s="424"/>
      <c r="J942" s="424"/>
      <c r="K942" s="424"/>
      <c r="L942" s="424"/>
      <c r="M942" s="424"/>
      <c r="N942" s="424"/>
      <c r="O942" s="424"/>
      <c r="P942" s="424"/>
      <c r="Q942" s="435" t="n">
        <v>84</v>
      </c>
      <c r="R942" s="434" t="s">
        <v>664</v>
      </c>
      <c r="S942" s="424"/>
      <c r="T942" s="434" t="s">
        <v>665</v>
      </c>
      <c r="U942" s="434" t="s">
        <v>666</v>
      </c>
      <c r="V942" s="436" t="n">
        <f aca="false">AY947</f>
        <v>0</v>
      </c>
    </row>
    <row r="943" customFormat="false" ht="13.5" hidden="false" customHeight="false" outlineLevel="0" collapsed="false">
      <c r="A943" s="424"/>
      <c r="B943" s="424"/>
      <c r="C943" s="424"/>
      <c r="D943" s="424"/>
      <c r="E943" s="424"/>
      <c r="F943" s="424"/>
      <c r="G943" s="424"/>
      <c r="H943" s="424"/>
      <c r="I943" s="424"/>
      <c r="J943" s="424"/>
      <c r="K943" s="424"/>
      <c r="L943" s="424"/>
      <c r="M943" s="424"/>
      <c r="N943" s="424"/>
      <c r="O943" s="424"/>
      <c r="P943" s="424"/>
      <c r="Q943" s="435" t="n">
        <v>85</v>
      </c>
      <c r="R943" s="434" t="s">
        <v>667</v>
      </c>
      <c r="S943" s="424"/>
      <c r="T943" s="434" t="s">
        <v>668</v>
      </c>
      <c r="U943" s="434" t="s">
        <v>669</v>
      </c>
      <c r="V943" s="436" t="n">
        <f aca="false">AY948</f>
        <v>0</v>
      </c>
    </row>
    <row r="944" customFormat="false" ht="13.5" hidden="false" customHeight="false" outlineLevel="0" collapsed="false">
      <c r="A944" s="424"/>
      <c r="B944" s="424"/>
      <c r="C944" s="424"/>
      <c r="D944" s="424"/>
      <c r="E944" s="424"/>
      <c r="F944" s="424"/>
      <c r="G944" s="424"/>
      <c r="H944" s="424"/>
      <c r="I944" s="424"/>
      <c r="J944" s="424"/>
      <c r="K944" s="424"/>
      <c r="L944" s="424"/>
      <c r="M944" s="424"/>
      <c r="N944" s="424"/>
      <c r="O944" s="424"/>
      <c r="P944" s="424"/>
      <c r="Q944" s="435" t="n">
        <v>86</v>
      </c>
      <c r="R944" s="434" t="s">
        <v>670</v>
      </c>
      <c r="S944" s="424"/>
      <c r="T944" s="434" t="s">
        <v>671</v>
      </c>
      <c r="U944" s="434" t="s">
        <v>672</v>
      </c>
      <c r="V944" s="436" t="n">
        <f aca="false">AY949</f>
        <v>0</v>
      </c>
    </row>
    <row r="945" customFormat="false" ht="13.5" hidden="false" customHeight="false" outlineLevel="0" collapsed="false">
      <c r="A945" s="424"/>
      <c r="B945" s="424"/>
      <c r="C945" s="424"/>
      <c r="D945" s="424"/>
      <c r="E945" s="424"/>
      <c r="F945" s="424"/>
      <c r="G945" s="424"/>
      <c r="H945" s="424"/>
      <c r="I945" s="424"/>
      <c r="J945" s="424"/>
      <c r="K945" s="424"/>
      <c r="L945" s="424"/>
      <c r="M945" s="424"/>
      <c r="N945" s="424"/>
      <c r="O945" s="424"/>
      <c r="P945" s="424"/>
      <c r="Q945" s="435" t="n">
        <v>87</v>
      </c>
      <c r="R945" s="434" t="s">
        <v>673</v>
      </c>
      <c r="S945" s="424"/>
      <c r="T945" s="434" t="s">
        <v>674</v>
      </c>
      <c r="U945" s="434" t="s">
        <v>675</v>
      </c>
      <c r="V945" s="436" t="n">
        <f aca="false">AY950</f>
        <v>0</v>
      </c>
    </row>
    <row r="946" customFormat="false" ht="13.5" hidden="false" customHeight="false" outlineLevel="0" collapsed="false">
      <c r="A946" s="424"/>
      <c r="B946" s="424"/>
      <c r="C946" s="424"/>
      <c r="D946" s="424"/>
      <c r="E946" s="424"/>
      <c r="F946" s="424"/>
      <c r="G946" s="424"/>
      <c r="H946" s="424"/>
      <c r="I946" s="424"/>
      <c r="J946" s="424"/>
      <c r="K946" s="424"/>
      <c r="L946" s="424"/>
      <c r="M946" s="424"/>
      <c r="N946" s="424"/>
      <c r="O946" s="424"/>
      <c r="P946" s="424"/>
      <c r="Q946" s="435" t="n">
        <v>88</v>
      </c>
      <c r="R946" s="434" t="s">
        <v>676</v>
      </c>
      <c r="S946" s="424"/>
      <c r="T946" s="434" t="s">
        <v>677</v>
      </c>
      <c r="U946" s="434" t="s">
        <v>678</v>
      </c>
      <c r="V946" s="436" t="n">
        <f aca="false">AY951</f>
        <v>0</v>
      </c>
    </row>
    <row r="947" customFormat="false" ht="13.5" hidden="false" customHeight="false" outlineLevel="0" collapsed="false">
      <c r="A947" s="424"/>
      <c r="B947" s="424"/>
      <c r="C947" s="424"/>
      <c r="D947" s="424"/>
      <c r="E947" s="424"/>
      <c r="F947" s="424"/>
      <c r="G947" s="424"/>
      <c r="H947" s="424"/>
      <c r="I947" s="424"/>
      <c r="J947" s="424"/>
      <c r="K947" s="424"/>
      <c r="L947" s="424"/>
      <c r="M947" s="424"/>
      <c r="N947" s="424"/>
      <c r="O947" s="424"/>
      <c r="P947" s="424"/>
      <c r="Q947" s="435" t="n">
        <v>89</v>
      </c>
      <c r="R947" s="434" t="s">
        <v>679</v>
      </c>
      <c r="S947" s="424"/>
      <c r="T947" s="434" t="s">
        <v>680</v>
      </c>
      <c r="U947" s="434" t="s">
        <v>681</v>
      </c>
      <c r="V947" s="436" t="n">
        <f aca="false">AY952</f>
        <v>0</v>
      </c>
    </row>
    <row r="948" customFormat="false" ht="13.5" hidden="false" customHeight="false" outlineLevel="0" collapsed="false">
      <c r="A948" s="424"/>
      <c r="B948" s="424"/>
      <c r="C948" s="424"/>
      <c r="D948" s="424"/>
      <c r="E948" s="424"/>
      <c r="F948" s="424"/>
      <c r="G948" s="424"/>
      <c r="H948" s="424"/>
      <c r="I948" s="424"/>
      <c r="J948" s="424"/>
      <c r="K948" s="424"/>
      <c r="L948" s="424"/>
      <c r="M948" s="424"/>
      <c r="N948" s="424"/>
      <c r="O948" s="424"/>
      <c r="P948" s="424"/>
      <c r="Q948" s="435" t="n">
        <v>90</v>
      </c>
      <c r="R948" s="434" t="s">
        <v>682</v>
      </c>
      <c r="S948" s="424"/>
      <c r="T948" s="434" t="s">
        <v>683</v>
      </c>
      <c r="U948" s="434" t="s">
        <v>684</v>
      </c>
      <c r="V948" s="436" t="n">
        <f aca="false">AY953</f>
        <v>0</v>
      </c>
    </row>
    <row r="949" customFormat="false" ht="13.5" hidden="false" customHeight="false" outlineLevel="0" collapsed="false">
      <c r="A949" s="424"/>
      <c r="B949" s="424"/>
      <c r="C949" s="424"/>
      <c r="D949" s="424"/>
      <c r="E949" s="424"/>
      <c r="F949" s="424"/>
      <c r="G949" s="424"/>
      <c r="H949" s="424"/>
      <c r="I949" s="424"/>
      <c r="J949" s="424"/>
      <c r="K949" s="424"/>
      <c r="L949" s="424"/>
      <c r="M949" s="424"/>
      <c r="N949" s="424"/>
      <c r="O949" s="424"/>
      <c r="P949" s="424"/>
      <c r="Q949" s="435" t="n">
        <v>91</v>
      </c>
      <c r="R949" s="434" t="s">
        <v>685</v>
      </c>
      <c r="S949" s="424"/>
      <c r="T949" s="434" t="s">
        <v>686</v>
      </c>
      <c r="U949" s="434" t="s">
        <v>687</v>
      </c>
      <c r="V949" s="436" t="n">
        <f aca="false">AY954</f>
        <v>0</v>
      </c>
    </row>
    <row r="950" customFormat="false" ht="13.5" hidden="false" customHeight="false" outlineLevel="0" collapsed="false">
      <c r="A950" s="424"/>
      <c r="B950" s="424"/>
      <c r="C950" s="424"/>
      <c r="D950" s="424"/>
      <c r="E950" s="424"/>
      <c r="F950" s="424"/>
      <c r="G950" s="424"/>
      <c r="H950" s="424"/>
      <c r="I950" s="424"/>
      <c r="J950" s="424"/>
      <c r="K950" s="424"/>
      <c r="L950" s="424"/>
      <c r="M950" s="424"/>
      <c r="N950" s="424"/>
      <c r="O950" s="424"/>
      <c r="P950" s="424"/>
      <c r="Q950" s="435" t="n">
        <v>92</v>
      </c>
      <c r="R950" s="434" t="s">
        <v>688</v>
      </c>
      <c r="S950" s="424"/>
      <c r="T950" s="434" t="s">
        <v>689</v>
      </c>
      <c r="U950" s="434" t="s">
        <v>690</v>
      </c>
      <c r="V950" s="436" t="n">
        <f aca="false">AY955</f>
        <v>0</v>
      </c>
    </row>
    <row r="951" customFormat="false" ht="13.5" hidden="false" customHeight="false" outlineLevel="0" collapsed="false">
      <c r="A951" s="424"/>
      <c r="B951" s="424"/>
      <c r="C951" s="424"/>
      <c r="D951" s="424"/>
      <c r="E951" s="424"/>
      <c r="F951" s="424"/>
      <c r="G951" s="424"/>
      <c r="H951" s="424"/>
      <c r="I951" s="424"/>
      <c r="J951" s="424"/>
      <c r="K951" s="424"/>
      <c r="L951" s="424"/>
      <c r="M951" s="424"/>
      <c r="N951" s="424"/>
      <c r="O951" s="424"/>
      <c r="P951" s="424"/>
      <c r="Q951" s="435" t="n">
        <v>93</v>
      </c>
      <c r="R951" s="434" t="s">
        <v>691</v>
      </c>
      <c r="S951" s="424"/>
      <c r="T951" s="434" t="s">
        <v>692</v>
      </c>
      <c r="U951" s="434" t="s">
        <v>693</v>
      </c>
      <c r="V951" s="436" t="n">
        <f aca="false">AY956</f>
        <v>0</v>
      </c>
    </row>
    <row r="952" customFormat="false" ht="13.5" hidden="false" customHeight="false" outlineLevel="0" collapsed="false">
      <c r="A952" s="424"/>
      <c r="B952" s="424"/>
      <c r="C952" s="424"/>
      <c r="D952" s="424"/>
      <c r="E952" s="424"/>
      <c r="F952" s="424"/>
      <c r="G952" s="424"/>
      <c r="H952" s="424"/>
      <c r="I952" s="424"/>
      <c r="J952" s="424"/>
      <c r="K952" s="424"/>
      <c r="L952" s="424"/>
      <c r="M952" s="424"/>
      <c r="N952" s="424"/>
      <c r="O952" s="424"/>
      <c r="P952" s="424"/>
      <c r="Q952" s="435" t="n">
        <v>94</v>
      </c>
      <c r="R952" s="434" t="s">
        <v>694</v>
      </c>
      <c r="S952" s="424"/>
      <c r="T952" s="434" t="s">
        <v>695</v>
      </c>
      <c r="U952" s="434" t="s">
        <v>696</v>
      </c>
      <c r="V952" s="436" t="n">
        <f aca="false">AY957</f>
        <v>0</v>
      </c>
    </row>
    <row r="953" customFormat="false" ht="13.5" hidden="false" customHeight="false" outlineLevel="0" collapsed="false">
      <c r="A953" s="424"/>
      <c r="B953" s="424"/>
      <c r="C953" s="424"/>
      <c r="D953" s="424"/>
      <c r="E953" s="424"/>
      <c r="F953" s="424"/>
      <c r="G953" s="424"/>
      <c r="H953" s="424"/>
      <c r="I953" s="424"/>
      <c r="J953" s="424"/>
      <c r="K953" s="424"/>
      <c r="L953" s="424"/>
      <c r="M953" s="424"/>
      <c r="N953" s="424"/>
      <c r="O953" s="424"/>
      <c r="P953" s="424"/>
      <c r="Q953" s="435" t="n">
        <v>95</v>
      </c>
      <c r="R953" s="434" t="s">
        <v>697</v>
      </c>
      <c r="S953" s="424"/>
      <c r="T953" s="434" t="s">
        <v>698</v>
      </c>
      <c r="U953" s="434" t="s">
        <v>699</v>
      </c>
      <c r="V953" s="436" t="n">
        <f aca="false">AY958</f>
        <v>0</v>
      </c>
    </row>
    <row r="954" customFormat="false" ht="13.5" hidden="false" customHeight="false" outlineLevel="0" collapsed="false">
      <c r="A954" s="424"/>
      <c r="B954" s="424"/>
      <c r="C954" s="424"/>
      <c r="D954" s="424"/>
      <c r="E954" s="424"/>
      <c r="F954" s="424"/>
      <c r="G954" s="424"/>
      <c r="H954" s="424"/>
      <c r="I954" s="424"/>
      <c r="J954" s="424"/>
      <c r="K954" s="424"/>
      <c r="L954" s="424"/>
      <c r="M954" s="424"/>
      <c r="N954" s="424"/>
      <c r="O954" s="424"/>
      <c r="P954" s="424"/>
      <c r="Q954" s="435" t="n">
        <v>96</v>
      </c>
      <c r="R954" s="434" t="s">
        <v>700</v>
      </c>
      <c r="S954" s="424"/>
      <c r="T954" s="434" t="s">
        <v>701</v>
      </c>
      <c r="U954" s="434" t="s">
        <v>702</v>
      </c>
      <c r="V954" s="436" t="n">
        <f aca="false">AY959</f>
        <v>0</v>
      </c>
    </row>
    <row r="955" customFormat="false" ht="13.5" hidden="false" customHeight="false" outlineLevel="0" collapsed="false">
      <c r="A955" s="424"/>
      <c r="B955" s="424"/>
      <c r="C955" s="424"/>
      <c r="D955" s="424"/>
      <c r="E955" s="424"/>
      <c r="F955" s="424"/>
      <c r="G955" s="424"/>
      <c r="H955" s="424"/>
      <c r="I955" s="424"/>
      <c r="J955" s="424"/>
      <c r="K955" s="424"/>
      <c r="L955" s="424"/>
      <c r="M955" s="424"/>
      <c r="N955" s="424"/>
      <c r="O955" s="424"/>
      <c r="P955" s="424"/>
      <c r="Q955" s="435" t="n">
        <v>97</v>
      </c>
      <c r="R955" s="434" t="s">
        <v>703</v>
      </c>
      <c r="S955" s="424"/>
      <c r="T955" s="434" t="s">
        <v>704</v>
      </c>
      <c r="U955" s="434" t="s">
        <v>705</v>
      </c>
      <c r="V955" s="436" t="n">
        <f aca="false">AY960</f>
        <v>0</v>
      </c>
    </row>
    <row r="956" customFormat="false" ht="13.5" hidden="false" customHeight="false" outlineLevel="0" collapsed="false">
      <c r="A956" s="424"/>
      <c r="B956" s="424"/>
      <c r="C956" s="424"/>
      <c r="D956" s="424"/>
      <c r="E956" s="424"/>
      <c r="F956" s="424"/>
      <c r="G956" s="424"/>
      <c r="H956" s="424"/>
      <c r="I956" s="424"/>
      <c r="J956" s="424"/>
      <c r="K956" s="424"/>
      <c r="L956" s="424"/>
      <c r="M956" s="424"/>
      <c r="N956" s="424"/>
      <c r="O956" s="424"/>
      <c r="P956" s="424"/>
      <c r="Q956" s="435" t="n">
        <v>98</v>
      </c>
      <c r="R956" s="434" t="s">
        <v>706</v>
      </c>
      <c r="S956" s="424"/>
      <c r="T956" s="434" t="s">
        <v>707</v>
      </c>
      <c r="U956" s="434" t="s">
        <v>708</v>
      </c>
      <c r="V956" s="436" t="n">
        <f aca="false">AY961</f>
        <v>0</v>
      </c>
    </row>
    <row r="957" customFormat="false" ht="13.5" hidden="false" customHeight="false" outlineLevel="0" collapsed="false">
      <c r="A957" s="424"/>
      <c r="B957" s="424"/>
      <c r="C957" s="424"/>
      <c r="D957" s="424"/>
      <c r="E957" s="424"/>
      <c r="F957" s="424"/>
      <c r="G957" s="424"/>
      <c r="H957" s="424"/>
      <c r="I957" s="424"/>
      <c r="J957" s="424"/>
      <c r="K957" s="424"/>
      <c r="L957" s="424"/>
      <c r="M957" s="424"/>
      <c r="N957" s="424"/>
      <c r="O957" s="424"/>
      <c r="P957" s="424"/>
      <c r="Q957" s="435" t="n">
        <v>99</v>
      </c>
      <c r="R957" s="434" t="s">
        <v>709</v>
      </c>
      <c r="S957" s="424"/>
      <c r="T957" s="434" t="s">
        <v>710</v>
      </c>
      <c r="U957" s="434" t="s">
        <v>711</v>
      </c>
      <c r="V957" s="436" t="n">
        <f aca="false">AY962</f>
        <v>0</v>
      </c>
    </row>
    <row r="958" customFormat="false" ht="13.5" hidden="false" customHeight="false" outlineLevel="0" collapsed="false">
      <c r="A958" s="424"/>
      <c r="B958" s="424"/>
      <c r="C958" s="424"/>
      <c r="D958" s="424"/>
      <c r="E958" s="424"/>
      <c r="F958" s="424"/>
      <c r="G958" s="424"/>
      <c r="H958" s="424"/>
      <c r="I958" s="424"/>
      <c r="J958" s="424"/>
      <c r="K958" s="424"/>
      <c r="L958" s="424"/>
      <c r="M958" s="424"/>
      <c r="N958" s="424"/>
      <c r="O958" s="424"/>
      <c r="P958" s="424"/>
      <c r="Q958" s="424"/>
      <c r="R958" s="424"/>
      <c r="S958" s="424"/>
      <c r="T958" s="424"/>
      <c r="U958" s="424"/>
      <c r="V958" s="436" t="n">
        <f aca="false">AY963</f>
        <v>0</v>
      </c>
    </row>
    <row r="959" customFormat="false" ht="13.5" hidden="false" customHeight="false" outlineLevel="0" collapsed="false">
      <c r="A959" s="424"/>
      <c r="B959" s="424"/>
      <c r="C959" s="424"/>
      <c r="D959" s="424"/>
      <c r="E959" s="424"/>
      <c r="F959" s="424"/>
      <c r="G959" s="424"/>
      <c r="H959" s="424"/>
      <c r="I959" s="424"/>
      <c r="J959" s="424"/>
      <c r="K959" s="424"/>
      <c r="L959" s="424"/>
      <c r="M959" s="424"/>
      <c r="N959" s="424"/>
      <c r="O959" s="424"/>
      <c r="P959" s="424"/>
      <c r="Q959" s="424"/>
      <c r="R959" s="424"/>
      <c r="S959" s="424"/>
      <c r="T959" s="424"/>
      <c r="U959" s="424"/>
      <c r="V959" s="436" t="n">
        <f aca="false">AY964</f>
        <v>0</v>
      </c>
    </row>
    <row r="960" customFormat="false" ht="13.5" hidden="false" customHeight="false" outlineLevel="0" collapsed="false">
      <c r="A960" s="424"/>
      <c r="B960" s="424"/>
      <c r="C960" s="424"/>
      <c r="D960" s="424"/>
      <c r="E960" s="424"/>
      <c r="F960" s="424"/>
      <c r="G960" s="424"/>
      <c r="H960" s="424"/>
      <c r="I960" s="424"/>
      <c r="J960" s="424"/>
      <c r="K960" s="424"/>
      <c r="L960" s="424"/>
      <c r="M960" s="424"/>
      <c r="N960" s="424"/>
      <c r="O960" s="424"/>
      <c r="P960" s="424"/>
      <c r="Q960" s="424"/>
      <c r="R960" s="424"/>
      <c r="S960" s="424"/>
      <c r="T960" s="424"/>
      <c r="U960" s="424"/>
      <c r="V960" s="436" t="n">
        <f aca="false">AY965</f>
        <v>0</v>
      </c>
    </row>
    <row r="961" customFormat="false" ht="13.5" hidden="false" customHeight="false" outlineLevel="0" collapsed="false">
      <c r="A961" s="424"/>
      <c r="B961" s="424"/>
      <c r="C961" s="424"/>
      <c r="D961" s="424"/>
      <c r="E961" s="424"/>
      <c r="F961" s="424"/>
      <c r="G961" s="424"/>
      <c r="H961" s="424"/>
      <c r="I961" s="424"/>
      <c r="J961" s="424"/>
      <c r="K961" s="424"/>
      <c r="L961" s="424"/>
      <c r="M961" s="424"/>
      <c r="N961" s="424"/>
      <c r="O961" s="424"/>
      <c r="P961" s="424"/>
      <c r="Q961" s="424"/>
      <c r="R961" s="424"/>
      <c r="S961" s="424"/>
      <c r="T961" s="424"/>
      <c r="U961" s="424"/>
      <c r="V961" s="436" t="n">
        <f aca="false">AY966</f>
        <v>0</v>
      </c>
    </row>
    <row r="962" customFormat="false" ht="13.5" hidden="false" customHeight="false" outlineLevel="0" collapsed="false">
      <c r="A962" s="424"/>
      <c r="B962" s="424"/>
      <c r="C962" s="424"/>
      <c r="D962" s="424"/>
      <c r="E962" s="424"/>
      <c r="F962" s="424"/>
      <c r="G962" s="424"/>
      <c r="H962" s="424"/>
      <c r="I962" s="424"/>
      <c r="J962" s="424"/>
      <c r="K962" s="424"/>
      <c r="L962" s="424"/>
      <c r="M962" s="424"/>
      <c r="N962" s="424"/>
      <c r="O962" s="424"/>
      <c r="P962" s="424"/>
      <c r="Q962" s="424"/>
      <c r="R962" s="424"/>
      <c r="S962" s="424"/>
      <c r="T962" s="424"/>
      <c r="U962" s="424"/>
      <c r="V962" s="436" t="n">
        <f aca="false">AY967</f>
        <v>0</v>
      </c>
    </row>
    <row r="963" customFormat="false" ht="13.5" hidden="false" customHeight="false" outlineLevel="0" collapsed="false">
      <c r="A963" s="424"/>
      <c r="B963" s="424"/>
      <c r="C963" s="424"/>
      <c r="D963" s="424"/>
      <c r="E963" s="424"/>
      <c r="F963" s="424"/>
      <c r="G963" s="424"/>
      <c r="H963" s="424"/>
      <c r="I963" s="424"/>
      <c r="J963" s="424"/>
      <c r="K963" s="424"/>
      <c r="L963" s="424"/>
      <c r="M963" s="424"/>
      <c r="N963" s="424"/>
      <c r="O963" s="424"/>
      <c r="P963" s="424"/>
      <c r="Q963" s="424"/>
      <c r="R963" s="424"/>
      <c r="S963" s="424"/>
      <c r="T963" s="424"/>
      <c r="U963" s="424"/>
      <c r="V963" s="436" t="n">
        <f aca="false">AY968</f>
        <v>0</v>
      </c>
    </row>
    <row r="964" customFormat="false" ht="13.5" hidden="false" customHeight="false" outlineLevel="0" collapsed="false">
      <c r="A964" s="424"/>
      <c r="B964" s="424"/>
      <c r="C964" s="424"/>
      <c r="D964" s="424"/>
      <c r="E964" s="424"/>
      <c r="F964" s="424"/>
      <c r="G964" s="424"/>
      <c r="H964" s="424"/>
      <c r="I964" s="424"/>
      <c r="J964" s="424"/>
      <c r="K964" s="424"/>
      <c r="L964" s="424"/>
      <c r="M964" s="424"/>
      <c r="N964" s="424"/>
      <c r="O964" s="424"/>
      <c r="P964" s="424"/>
      <c r="Q964" s="424"/>
      <c r="R964" s="424"/>
      <c r="S964" s="424"/>
      <c r="T964" s="424"/>
      <c r="U964" s="424"/>
      <c r="V964" s="436" t="n">
        <f aca="false">AY969</f>
        <v>0</v>
      </c>
    </row>
    <row r="965" customFormat="false" ht="13.5" hidden="false" customHeight="false" outlineLevel="0" collapsed="false">
      <c r="A965" s="424"/>
      <c r="B965" s="424"/>
      <c r="C965" s="424"/>
      <c r="D965" s="424"/>
      <c r="E965" s="424"/>
      <c r="F965" s="424"/>
      <c r="G965" s="424"/>
      <c r="H965" s="424"/>
      <c r="I965" s="424"/>
      <c r="J965" s="424"/>
      <c r="K965" s="424"/>
      <c r="L965" s="424"/>
      <c r="M965" s="424"/>
      <c r="N965" s="424"/>
      <c r="O965" s="424"/>
      <c r="P965" s="424"/>
      <c r="Q965" s="424"/>
      <c r="R965" s="424"/>
      <c r="S965" s="424"/>
      <c r="T965" s="424"/>
      <c r="U965" s="424"/>
      <c r="V965" s="436" t="n">
        <f aca="false">AY970</f>
        <v>0</v>
      </c>
    </row>
    <row r="966" customFormat="false" ht="13.5" hidden="false" customHeight="false" outlineLevel="0" collapsed="false">
      <c r="A966" s="424"/>
      <c r="B966" s="424"/>
      <c r="C966" s="424"/>
      <c r="D966" s="424"/>
      <c r="E966" s="424"/>
      <c r="F966" s="424"/>
      <c r="G966" s="424"/>
      <c r="H966" s="424"/>
      <c r="I966" s="424"/>
      <c r="J966" s="424"/>
      <c r="K966" s="424"/>
      <c r="L966" s="424"/>
      <c r="M966" s="424"/>
      <c r="N966" s="424"/>
      <c r="O966" s="424"/>
      <c r="P966" s="424"/>
      <c r="Q966" s="424"/>
      <c r="R966" s="424"/>
      <c r="S966" s="424"/>
      <c r="T966" s="424"/>
      <c r="U966" s="424"/>
      <c r="V966" s="436" t="n">
        <f aca="false">AY971</f>
        <v>0</v>
      </c>
    </row>
    <row r="967" customFormat="false" ht="13.5" hidden="false" customHeight="false" outlineLevel="0" collapsed="false">
      <c r="A967" s="424"/>
      <c r="B967" s="424"/>
      <c r="C967" s="424"/>
      <c r="D967" s="424"/>
      <c r="E967" s="424"/>
      <c r="F967" s="424"/>
      <c r="G967" s="424"/>
      <c r="H967" s="424"/>
      <c r="I967" s="424"/>
      <c r="J967" s="424"/>
      <c r="K967" s="424"/>
      <c r="L967" s="424"/>
      <c r="M967" s="424"/>
      <c r="N967" s="424"/>
      <c r="O967" s="424"/>
      <c r="P967" s="424"/>
      <c r="Q967" s="424"/>
      <c r="R967" s="424"/>
      <c r="S967" s="424"/>
      <c r="T967" s="424"/>
      <c r="U967" s="424"/>
      <c r="V967" s="436" t="n">
        <f aca="false">AY972</f>
        <v>0</v>
      </c>
    </row>
    <row r="968" customFormat="false" ht="13.5" hidden="false" customHeight="false" outlineLevel="0" collapsed="false">
      <c r="A968" s="424"/>
      <c r="B968" s="424"/>
      <c r="C968" s="424"/>
      <c r="D968" s="424"/>
      <c r="E968" s="424"/>
      <c r="F968" s="424"/>
      <c r="G968" s="424"/>
      <c r="H968" s="424"/>
      <c r="I968" s="424"/>
      <c r="J968" s="424"/>
      <c r="K968" s="424"/>
      <c r="L968" s="424"/>
      <c r="M968" s="424"/>
      <c r="N968" s="424"/>
      <c r="O968" s="424"/>
      <c r="P968" s="424"/>
      <c r="Q968" s="424"/>
      <c r="R968" s="424"/>
      <c r="S968" s="424"/>
      <c r="T968" s="424"/>
      <c r="U968" s="424"/>
      <c r="V968" s="436" t="n">
        <f aca="false">AY973</f>
        <v>0</v>
      </c>
    </row>
    <row r="969" customFormat="false" ht="13.5" hidden="false" customHeight="false" outlineLevel="0" collapsed="false">
      <c r="A969" s="424"/>
      <c r="B969" s="424"/>
      <c r="C969" s="424"/>
      <c r="D969" s="424"/>
      <c r="E969" s="424"/>
      <c r="F969" s="424"/>
      <c r="G969" s="424"/>
      <c r="H969" s="424"/>
      <c r="I969" s="424"/>
      <c r="J969" s="424"/>
      <c r="K969" s="424"/>
      <c r="L969" s="424"/>
      <c r="M969" s="424"/>
      <c r="N969" s="424"/>
      <c r="O969" s="424"/>
      <c r="P969" s="424"/>
      <c r="Q969" s="424"/>
      <c r="R969" s="424"/>
      <c r="S969" s="424"/>
      <c r="T969" s="424"/>
      <c r="U969" s="424"/>
      <c r="V969" s="436" t="n">
        <f aca="false">AY974</f>
        <v>0</v>
      </c>
    </row>
    <row r="970" customFormat="false" ht="13.5" hidden="false" customHeight="false" outlineLevel="0" collapsed="false">
      <c r="A970" s="424"/>
      <c r="B970" s="424"/>
      <c r="C970" s="424"/>
      <c r="D970" s="424"/>
      <c r="E970" s="424"/>
      <c r="F970" s="424"/>
      <c r="G970" s="424"/>
      <c r="H970" s="424"/>
      <c r="I970" s="424"/>
      <c r="J970" s="424"/>
      <c r="K970" s="424"/>
      <c r="L970" s="424"/>
      <c r="M970" s="424"/>
      <c r="N970" s="424"/>
      <c r="O970" s="424"/>
      <c r="P970" s="424"/>
      <c r="Q970" s="424"/>
      <c r="R970" s="424"/>
      <c r="S970" s="424"/>
      <c r="T970" s="424"/>
      <c r="U970" s="424"/>
      <c r="V970" s="436" t="n">
        <f aca="false">AY975</f>
        <v>0</v>
      </c>
    </row>
    <row r="971" customFormat="false" ht="13.5" hidden="false" customHeight="false" outlineLevel="0" collapsed="false">
      <c r="A971" s="424"/>
      <c r="B971" s="424"/>
      <c r="C971" s="424"/>
      <c r="D971" s="424"/>
      <c r="E971" s="424"/>
      <c r="F971" s="424"/>
      <c r="G971" s="424"/>
      <c r="H971" s="424"/>
      <c r="I971" s="424"/>
      <c r="J971" s="424"/>
      <c r="K971" s="424"/>
      <c r="L971" s="424"/>
      <c r="M971" s="424"/>
      <c r="N971" s="424"/>
      <c r="O971" s="424"/>
      <c r="P971" s="424"/>
      <c r="Q971" s="424"/>
      <c r="R971" s="424"/>
      <c r="S971" s="424"/>
      <c r="T971" s="424"/>
      <c r="U971" s="424"/>
      <c r="V971" s="436" t="n">
        <f aca="false">AY976</f>
        <v>0</v>
      </c>
    </row>
    <row r="972" customFormat="false" ht="13.5" hidden="false" customHeight="false" outlineLevel="0" collapsed="false">
      <c r="A972" s="424"/>
      <c r="B972" s="424"/>
      <c r="C972" s="424"/>
      <c r="D972" s="424"/>
      <c r="E972" s="424"/>
      <c r="F972" s="424"/>
      <c r="G972" s="424"/>
      <c r="H972" s="424"/>
      <c r="I972" s="424"/>
      <c r="J972" s="424"/>
      <c r="K972" s="424"/>
      <c r="L972" s="424"/>
      <c r="M972" s="424"/>
      <c r="N972" s="424"/>
      <c r="O972" s="424"/>
      <c r="P972" s="424"/>
      <c r="Q972" s="424"/>
      <c r="R972" s="424"/>
      <c r="S972" s="424"/>
      <c r="T972" s="424"/>
      <c r="U972" s="424"/>
      <c r="V972" s="436" t="n">
        <f aca="false">AY977</f>
        <v>0</v>
      </c>
    </row>
    <row r="973" customFormat="false" ht="13.5" hidden="false" customHeight="false" outlineLevel="0" collapsed="false">
      <c r="A973" s="424"/>
      <c r="B973" s="424"/>
      <c r="C973" s="424"/>
      <c r="D973" s="424"/>
      <c r="E973" s="424"/>
      <c r="F973" s="424"/>
      <c r="G973" s="424"/>
      <c r="H973" s="424"/>
      <c r="I973" s="424"/>
      <c r="J973" s="424"/>
      <c r="K973" s="424"/>
      <c r="L973" s="424"/>
      <c r="M973" s="424"/>
      <c r="N973" s="424"/>
      <c r="O973" s="424"/>
      <c r="P973" s="424"/>
      <c r="Q973" s="424"/>
      <c r="R973" s="424"/>
      <c r="S973" s="424"/>
      <c r="T973" s="424"/>
      <c r="U973" s="424"/>
      <c r="V973" s="436" t="n">
        <f aca="false">AY978</f>
        <v>0</v>
      </c>
    </row>
    <row r="974" customFormat="false" ht="13.5" hidden="false" customHeight="false" outlineLevel="0" collapsed="false">
      <c r="A974" s="424"/>
      <c r="B974" s="424"/>
      <c r="C974" s="424"/>
      <c r="D974" s="424"/>
      <c r="E974" s="424"/>
      <c r="F974" s="424"/>
      <c r="G974" s="424"/>
      <c r="H974" s="424"/>
      <c r="I974" s="424"/>
      <c r="J974" s="424"/>
      <c r="K974" s="424"/>
      <c r="L974" s="424"/>
      <c r="M974" s="424"/>
      <c r="N974" s="424"/>
      <c r="O974" s="424"/>
      <c r="P974" s="424"/>
      <c r="Q974" s="424"/>
      <c r="R974" s="424"/>
      <c r="S974" s="424"/>
      <c r="T974" s="424"/>
      <c r="U974" s="424"/>
      <c r="V974" s="436" t="n">
        <f aca="false">AY979</f>
        <v>0</v>
      </c>
    </row>
    <row r="975" customFormat="false" ht="13.5" hidden="false" customHeight="false" outlineLevel="0" collapsed="false">
      <c r="A975" s="424"/>
      <c r="B975" s="424"/>
      <c r="C975" s="424"/>
      <c r="D975" s="424"/>
      <c r="E975" s="424"/>
      <c r="F975" s="424"/>
      <c r="G975" s="424"/>
      <c r="H975" s="424"/>
      <c r="I975" s="424"/>
      <c r="J975" s="424"/>
      <c r="K975" s="424"/>
      <c r="L975" s="424"/>
      <c r="M975" s="424"/>
      <c r="N975" s="424"/>
      <c r="O975" s="424"/>
      <c r="P975" s="424"/>
      <c r="Q975" s="424"/>
      <c r="R975" s="424"/>
      <c r="S975" s="424"/>
      <c r="T975" s="424"/>
      <c r="U975" s="424"/>
      <c r="V975" s="436" t="n">
        <f aca="false">AY980</f>
        <v>0</v>
      </c>
    </row>
    <row r="977" customFormat="false" ht="13.5" hidden="false" customHeight="false" outlineLevel="0" collapsed="false">
      <c r="A977" s="424"/>
      <c r="B977" s="424"/>
      <c r="C977" s="424"/>
      <c r="D977" s="424"/>
      <c r="E977" s="424"/>
      <c r="F977" s="424"/>
      <c r="G977" s="424"/>
      <c r="H977" s="424"/>
      <c r="I977" s="424"/>
      <c r="J977" s="424"/>
      <c r="K977" s="424"/>
      <c r="L977" s="424"/>
      <c r="M977" s="424"/>
      <c r="N977" s="424"/>
      <c r="O977" s="424"/>
      <c r="P977" s="424"/>
      <c r="Q977" s="424"/>
      <c r="R977" s="424"/>
      <c r="S977" s="424"/>
      <c r="T977" s="424"/>
      <c r="U977" s="424"/>
      <c r="V977" s="424"/>
    </row>
    <row r="978" customFormat="false" ht="13.5" hidden="false" customHeight="false" outlineLevel="0" collapsed="false">
      <c r="A978" s="424"/>
      <c r="B978" s="424"/>
      <c r="C978" s="424"/>
      <c r="D978" s="424"/>
      <c r="E978" s="424"/>
      <c r="F978" s="424"/>
      <c r="G978" s="424"/>
      <c r="H978" s="424"/>
      <c r="I978" s="424"/>
      <c r="J978" s="424"/>
      <c r="K978" s="424"/>
      <c r="L978" s="424"/>
      <c r="M978" s="424"/>
      <c r="N978" s="424"/>
      <c r="O978" s="424"/>
      <c r="P978" s="424"/>
      <c r="Q978" s="424"/>
      <c r="R978" s="424"/>
      <c r="S978" s="424"/>
      <c r="T978" s="424"/>
      <c r="U978" s="424"/>
      <c r="V978" s="424"/>
    </row>
    <row r="979" customFormat="false" ht="13.5" hidden="false" customHeight="false" outlineLevel="0" collapsed="false">
      <c r="A979" s="424"/>
      <c r="B979" s="424"/>
      <c r="C979" s="424"/>
      <c r="D979" s="424"/>
      <c r="E979" s="424"/>
      <c r="F979" s="424"/>
      <c r="G979" s="424"/>
      <c r="H979" s="424"/>
      <c r="I979" s="424"/>
      <c r="J979" s="424"/>
      <c r="K979" s="424"/>
      <c r="L979" s="424"/>
      <c r="M979" s="424"/>
      <c r="N979" s="424"/>
      <c r="O979" s="424"/>
      <c r="P979" s="424"/>
      <c r="Q979" s="424"/>
      <c r="R979" s="434" t="s">
        <v>400</v>
      </c>
      <c r="S979" s="424"/>
      <c r="T979" s="424"/>
      <c r="U979" s="424"/>
      <c r="V979" s="435" t="n">
        <f aca="false">SUM(V981:V1013)</f>
        <v>0</v>
      </c>
    </row>
    <row r="980" customFormat="false" ht="13.5" hidden="false" customHeight="false" outlineLevel="0" collapsed="false">
      <c r="A980" s="424"/>
      <c r="B980" s="424"/>
      <c r="C980" s="424"/>
      <c r="D980" s="424"/>
      <c r="E980" s="424"/>
      <c r="F980" s="424"/>
      <c r="G980" s="424"/>
      <c r="H980" s="424"/>
      <c r="I980" s="424"/>
      <c r="J980" s="424"/>
      <c r="K980" s="424"/>
      <c r="L980" s="424"/>
      <c r="M980" s="424"/>
      <c r="N980" s="424"/>
      <c r="O980" s="424"/>
      <c r="P980" s="424"/>
      <c r="Q980" s="435" t="n">
        <v>0</v>
      </c>
      <c r="R980" s="424"/>
      <c r="S980" s="435" t="n">
        <v>0</v>
      </c>
      <c r="T980" s="424"/>
      <c r="U980" s="424"/>
      <c r="V980" s="436" t="n">
        <f aca="false">AY980</f>
        <v>0</v>
      </c>
    </row>
    <row r="981" customFormat="false" ht="13.5" hidden="false" customHeight="false" outlineLevel="0" collapsed="false">
      <c r="A981" s="424"/>
      <c r="B981" s="424"/>
      <c r="C981" s="424"/>
      <c r="D981" s="424"/>
      <c r="E981" s="424"/>
      <c r="F981" s="424"/>
      <c r="G981" s="424"/>
      <c r="H981" s="424"/>
      <c r="I981" s="424"/>
      <c r="J981" s="424"/>
      <c r="K981" s="424"/>
      <c r="L981" s="424"/>
      <c r="M981" s="424"/>
      <c r="N981" s="424"/>
      <c r="O981" s="424"/>
      <c r="P981" s="424"/>
      <c r="Q981" s="435" t="n">
        <v>1</v>
      </c>
      <c r="R981" s="434" t="s">
        <v>401</v>
      </c>
      <c r="S981" s="434" t="s">
        <v>402</v>
      </c>
      <c r="T981" s="434" t="s">
        <v>403</v>
      </c>
      <c r="U981" s="434" t="s">
        <v>404</v>
      </c>
      <c r="V981" s="436" t="n">
        <f aca="false">AY981</f>
        <v>0</v>
      </c>
    </row>
    <row r="982" customFormat="false" ht="13.5" hidden="false" customHeight="false" outlineLevel="0" collapsed="false">
      <c r="A982" s="424"/>
      <c r="B982" s="424"/>
      <c r="C982" s="424"/>
      <c r="D982" s="424"/>
      <c r="E982" s="424"/>
      <c r="F982" s="424"/>
      <c r="G982" s="424"/>
      <c r="H982" s="424"/>
      <c r="I982" s="424"/>
      <c r="J982" s="424"/>
      <c r="K982" s="424"/>
      <c r="L982" s="424"/>
      <c r="M982" s="424"/>
      <c r="N982" s="424"/>
      <c r="O982" s="424"/>
      <c r="P982" s="424"/>
      <c r="Q982" s="435" t="n">
        <v>2</v>
      </c>
      <c r="R982" s="434" t="s">
        <v>405</v>
      </c>
      <c r="S982" s="434" t="s">
        <v>406</v>
      </c>
      <c r="T982" s="434" t="s">
        <v>407</v>
      </c>
      <c r="U982" s="434" t="s">
        <v>408</v>
      </c>
      <c r="V982" s="436" t="n">
        <f aca="false">AY982</f>
        <v>0</v>
      </c>
    </row>
    <row r="983" customFormat="false" ht="13.5" hidden="false" customHeight="false" outlineLevel="0" collapsed="false">
      <c r="A983" s="424"/>
      <c r="B983" s="424"/>
      <c r="C983" s="424"/>
      <c r="D983" s="424"/>
      <c r="E983" s="424"/>
      <c r="F983" s="424"/>
      <c r="G983" s="424"/>
      <c r="H983" s="424"/>
      <c r="I983" s="424"/>
      <c r="J983" s="424"/>
      <c r="K983" s="424"/>
      <c r="L983" s="424"/>
      <c r="M983" s="424"/>
      <c r="N983" s="424"/>
      <c r="O983" s="424"/>
      <c r="P983" s="424"/>
      <c r="Q983" s="435" t="n">
        <v>3</v>
      </c>
      <c r="R983" s="434" t="s">
        <v>409</v>
      </c>
      <c r="S983" s="434" t="s">
        <v>410</v>
      </c>
      <c r="T983" s="434" t="s">
        <v>411</v>
      </c>
      <c r="U983" s="434" t="s">
        <v>412</v>
      </c>
      <c r="V983" s="436" t="n">
        <f aca="false">AY983</f>
        <v>0</v>
      </c>
    </row>
    <row r="984" customFormat="false" ht="13.5" hidden="false" customHeight="false" outlineLevel="0" collapsed="false">
      <c r="A984" s="424"/>
      <c r="B984" s="424"/>
      <c r="C984" s="424"/>
      <c r="D984" s="424"/>
      <c r="E984" s="424"/>
      <c r="F984" s="424"/>
      <c r="G984" s="424"/>
      <c r="H984" s="424"/>
      <c r="I984" s="424"/>
      <c r="J984" s="424"/>
      <c r="K984" s="424"/>
      <c r="L984" s="424"/>
      <c r="M984" s="424"/>
      <c r="N984" s="424"/>
      <c r="O984" s="424"/>
      <c r="P984" s="424"/>
      <c r="Q984" s="435" t="n">
        <v>4</v>
      </c>
      <c r="R984" s="434" t="s">
        <v>413</v>
      </c>
      <c r="S984" s="434" t="s">
        <v>414</v>
      </c>
      <c r="T984" s="434" t="s">
        <v>415</v>
      </c>
      <c r="U984" s="434" t="s">
        <v>416</v>
      </c>
      <c r="V984" s="436" t="n">
        <f aca="false">AY984</f>
        <v>0</v>
      </c>
    </row>
    <row r="985" customFormat="false" ht="13.5" hidden="false" customHeight="false" outlineLevel="0" collapsed="false">
      <c r="A985" s="424"/>
      <c r="B985" s="424"/>
      <c r="C985" s="424"/>
      <c r="D985" s="424"/>
      <c r="E985" s="424"/>
      <c r="F985" s="424"/>
      <c r="G985" s="424"/>
      <c r="H985" s="424"/>
      <c r="I985" s="424"/>
      <c r="J985" s="424"/>
      <c r="K985" s="424"/>
      <c r="L985" s="424"/>
      <c r="M985" s="424"/>
      <c r="N985" s="424"/>
      <c r="O985" s="424"/>
      <c r="P985" s="438" t="s">
        <v>417</v>
      </c>
      <c r="Q985" s="435" t="n">
        <v>5</v>
      </c>
      <c r="R985" s="434" t="s">
        <v>418</v>
      </c>
      <c r="S985" s="434" t="s">
        <v>419</v>
      </c>
      <c r="T985" s="434" t="s">
        <v>420</v>
      </c>
      <c r="U985" s="434" t="s">
        <v>421</v>
      </c>
      <c r="V985" s="436" t="n">
        <f aca="false">AY985</f>
        <v>0</v>
      </c>
    </row>
    <row r="986" customFormat="false" ht="13.5" hidden="false" customHeight="false" outlineLevel="0" collapsed="false">
      <c r="A986" s="424"/>
      <c r="B986" s="424"/>
      <c r="C986" s="424"/>
      <c r="D986" s="424"/>
      <c r="E986" s="424"/>
      <c r="F986" s="424"/>
      <c r="G986" s="424"/>
      <c r="H986" s="424"/>
      <c r="I986" s="424"/>
      <c r="J986" s="424"/>
      <c r="K986" s="424"/>
      <c r="L986" s="424"/>
      <c r="M986" s="424"/>
      <c r="N986" s="424"/>
      <c r="O986" s="424"/>
      <c r="P986" s="438" t="s">
        <v>417</v>
      </c>
      <c r="Q986" s="435" t="n">
        <v>6</v>
      </c>
      <c r="R986" s="434" t="s">
        <v>422</v>
      </c>
      <c r="S986" s="434" t="s">
        <v>423</v>
      </c>
      <c r="T986" s="434" t="s">
        <v>424</v>
      </c>
      <c r="U986" s="434" t="s">
        <v>425</v>
      </c>
      <c r="V986" s="436" t="n">
        <f aca="false">AY986</f>
        <v>0</v>
      </c>
    </row>
    <row r="987" customFormat="false" ht="13.5" hidden="false" customHeight="false" outlineLevel="0" collapsed="false">
      <c r="A987" s="424"/>
      <c r="B987" s="424"/>
      <c r="C987" s="424"/>
      <c r="D987" s="424"/>
      <c r="E987" s="424"/>
      <c r="F987" s="424"/>
      <c r="G987" s="424"/>
      <c r="H987" s="424"/>
      <c r="I987" s="424"/>
      <c r="J987" s="424"/>
      <c r="K987" s="424"/>
      <c r="L987" s="424"/>
      <c r="M987" s="424"/>
      <c r="N987" s="424"/>
      <c r="O987" s="424"/>
      <c r="P987" s="438" t="s">
        <v>417</v>
      </c>
      <c r="Q987" s="435" t="n">
        <v>7</v>
      </c>
      <c r="R987" s="434" t="s">
        <v>426</v>
      </c>
      <c r="S987" s="434" t="s">
        <v>427</v>
      </c>
      <c r="T987" s="434" t="s">
        <v>428</v>
      </c>
      <c r="U987" s="434" t="s">
        <v>429</v>
      </c>
      <c r="V987" s="436" t="n">
        <f aca="false">AY987</f>
        <v>0</v>
      </c>
    </row>
    <row r="988" customFormat="false" ht="13.5" hidden="false" customHeight="false" outlineLevel="0" collapsed="false">
      <c r="A988" s="424"/>
      <c r="B988" s="424"/>
      <c r="C988" s="424"/>
      <c r="D988" s="424"/>
      <c r="E988" s="424"/>
      <c r="F988" s="424"/>
      <c r="G988" s="424"/>
      <c r="H988" s="424"/>
      <c r="I988" s="424"/>
      <c r="J988" s="424"/>
      <c r="K988" s="424"/>
      <c r="L988" s="424"/>
      <c r="M988" s="424"/>
      <c r="N988" s="424"/>
      <c r="O988" s="424"/>
      <c r="P988" s="438" t="s">
        <v>417</v>
      </c>
      <c r="Q988" s="435" t="n">
        <v>8</v>
      </c>
      <c r="R988" s="434" t="s">
        <v>430</v>
      </c>
      <c r="S988" s="434" t="s">
        <v>431</v>
      </c>
      <c r="T988" s="434" t="s">
        <v>432</v>
      </c>
      <c r="U988" s="434" t="s">
        <v>433</v>
      </c>
      <c r="V988" s="436" t="n">
        <f aca="false">AY988</f>
        <v>0</v>
      </c>
    </row>
    <row r="989" customFormat="false" ht="13.5" hidden="false" customHeight="false" outlineLevel="0" collapsed="false">
      <c r="A989" s="424"/>
      <c r="B989" s="424"/>
      <c r="C989" s="424"/>
      <c r="D989" s="424"/>
      <c r="E989" s="424"/>
      <c r="F989" s="424"/>
      <c r="G989" s="424"/>
      <c r="H989" s="424"/>
      <c r="I989" s="424"/>
      <c r="J989" s="424"/>
      <c r="K989" s="424"/>
      <c r="L989" s="424"/>
      <c r="M989" s="424"/>
      <c r="N989" s="424"/>
      <c r="O989" s="424"/>
      <c r="P989" s="438" t="s">
        <v>417</v>
      </c>
      <c r="Q989" s="435" t="n">
        <v>9</v>
      </c>
      <c r="R989" s="434" t="s">
        <v>434</v>
      </c>
      <c r="S989" s="434" t="s">
        <v>435</v>
      </c>
      <c r="T989" s="434" t="s">
        <v>436</v>
      </c>
      <c r="U989" s="434" t="s">
        <v>437</v>
      </c>
      <c r="V989" s="436" t="n">
        <f aca="false">AY989</f>
        <v>0</v>
      </c>
    </row>
    <row r="990" customFormat="false" ht="13.5" hidden="false" customHeight="false" outlineLevel="0" collapsed="false">
      <c r="A990" s="424"/>
      <c r="B990" s="424"/>
      <c r="C990" s="424"/>
      <c r="D990" s="424"/>
      <c r="E990" s="424"/>
      <c r="F990" s="424"/>
      <c r="G990" s="424"/>
      <c r="H990" s="424"/>
      <c r="I990" s="424"/>
      <c r="J990" s="424"/>
      <c r="K990" s="424"/>
      <c r="L990" s="424"/>
      <c r="M990" s="424"/>
      <c r="N990" s="424"/>
      <c r="O990" s="424"/>
      <c r="P990" s="438" t="s">
        <v>417</v>
      </c>
      <c r="Q990" s="435" t="n">
        <v>10</v>
      </c>
      <c r="R990" s="434" t="s">
        <v>438</v>
      </c>
      <c r="S990" s="424"/>
      <c r="T990" s="434" t="s">
        <v>439</v>
      </c>
      <c r="U990" s="434" t="s">
        <v>440</v>
      </c>
      <c r="V990" s="436" t="n">
        <f aca="false">AY990</f>
        <v>0</v>
      </c>
    </row>
    <row r="991" customFormat="false" ht="13.5" hidden="false" customHeight="false" outlineLevel="0" collapsed="false">
      <c r="A991" s="424"/>
      <c r="B991" s="424"/>
      <c r="C991" s="424"/>
      <c r="D991" s="424"/>
      <c r="E991" s="424"/>
      <c r="F991" s="435" t="n">
        <f aca="false">TRUNC(+A993/1000000)</f>
        <v>0</v>
      </c>
      <c r="G991" s="424"/>
      <c r="H991" s="424"/>
      <c r="I991" s="424"/>
      <c r="J991" s="424"/>
      <c r="K991" s="424"/>
      <c r="L991" s="424"/>
      <c r="M991" s="424"/>
      <c r="N991" s="424"/>
      <c r="O991" s="424"/>
      <c r="P991" s="438" t="s">
        <v>417</v>
      </c>
      <c r="Q991" s="435" t="n">
        <v>11</v>
      </c>
      <c r="R991" s="434" t="s">
        <v>441</v>
      </c>
      <c r="S991" s="424"/>
      <c r="T991" s="434" t="s">
        <v>442</v>
      </c>
      <c r="U991" s="434" t="s">
        <v>443</v>
      </c>
      <c r="V991" s="436" t="n">
        <f aca="false">AY991</f>
        <v>0</v>
      </c>
    </row>
    <row r="992" customFormat="false" ht="13.5" hidden="false" customHeight="false" outlineLevel="0" collapsed="false">
      <c r="A992" s="424"/>
      <c r="B992" s="424"/>
      <c r="C992" s="424"/>
      <c r="D992" s="424"/>
      <c r="E992" s="424"/>
      <c r="F992" s="435" t="e">
        <f aca="false">(+B996*100000+C996*1000+E996*100)</f>
        <v>#VALUE!</v>
      </c>
      <c r="G992" s="424"/>
      <c r="H992" s="424"/>
      <c r="I992" s="424"/>
      <c r="J992" s="424"/>
      <c r="K992" s="424"/>
      <c r="L992" s="434" t="s">
        <v>444</v>
      </c>
      <c r="M992" s="424"/>
      <c r="N992" s="424"/>
      <c r="O992" s="424"/>
      <c r="P992" s="438" t="s">
        <v>417</v>
      </c>
      <c r="Q992" s="435" t="n">
        <v>12</v>
      </c>
      <c r="R992" s="434" t="s">
        <v>445</v>
      </c>
      <c r="S992" s="424"/>
      <c r="T992" s="434" t="s">
        <v>446</v>
      </c>
      <c r="U992" s="434" t="s">
        <v>447</v>
      </c>
      <c r="V992" s="436" t="n">
        <f aca="false">AY992</f>
        <v>0</v>
      </c>
    </row>
    <row r="993" customFormat="false" ht="13.5" hidden="false" customHeight="false" outlineLevel="0" collapsed="false">
      <c r="A993" s="436" t="n">
        <f aca="false">TRUNC(+A994)</f>
        <v>122</v>
      </c>
      <c r="B993" s="424"/>
      <c r="C993" s="424"/>
      <c r="D993" s="424"/>
      <c r="E993" s="440" t="n">
        <f aca="false">TRUNC(+A993/100000000)</f>
        <v>0</v>
      </c>
      <c r="F993" s="424"/>
      <c r="G993" s="424"/>
      <c r="H993" s="424"/>
      <c r="I993" s="424"/>
      <c r="J993" s="424"/>
      <c r="K993" s="424"/>
      <c r="L993" s="424"/>
      <c r="M993" s="424"/>
      <c r="N993" s="424"/>
      <c r="O993" s="424"/>
      <c r="P993" s="438" t="s">
        <v>417</v>
      </c>
      <c r="Q993" s="435" t="n">
        <v>13</v>
      </c>
      <c r="R993" s="434" t="s">
        <v>448</v>
      </c>
      <c r="S993" s="424"/>
      <c r="T993" s="434" t="s">
        <v>449</v>
      </c>
      <c r="U993" s="434" t="s">
        <v>450</v>
      </c>
      <c r="V993" s="436" t="n">
        <f aca="false">AY993</f>
        <v>0</v>
      </c>
    </row>
    <row r="994" customFormat="false" ht="13.5" hidden="false" customHeight="false" outlineLevel="0" collapsed="false">
      <c r="A994" s="441" t="n">
        <v>122</v>
      </c>
      <c r="B994" s="434" t="s">
        <v>451</v>
      </c>
      <c r="C994" s="434" t="s">
        <v>452</v>
      </c>
      <c r="D994" s="424"/>
      <c r="E994" s="434" t="s">
        <v>452</v>
      </c>
      <c r="F994" s="424"/>
      <c r="G994" s="424"/>
      <c r="H994" s="424"/>
      <c r="I994" s="440" t="n">
        <f aca="false">TRUNC((+A993-(+F991*1000000))/1000)</f>
        <v>0</v>
      </c>
      <c r="J994" s="424"/>
      <c r="K994" s="440" t="n">
        <f aca="false">(TRUNC((+A993-(+F991*1000000))/1))-I994*1000</f>
        <v>122</v>
      </c>
      <c r="L994" s="424"/>
      <c r="M994" s="424"/>
      <c r="N994" s="424"/>
      <c r="O994" s="424"/>
      <c r="P994" s="438" t="s">
        <v>417</v>
      </c>
      <c r="Q994" s="435" t="n">
        <v>14</v>
      </c>
      <c r="R994" s="434" t="s">
        <v>453</v>
      </c>
      <c r="S994" s="424"/>
      <c r="T994" s="434" t="s">
        <v>454</v>
      </c>
      <c r="U994" s="434" t="s">
        <v>455</v>
      </c>
      <c r="V994" s="436" t="n">
        <f aca="false">AY994</f>
        <v>0</v>
      </c>
    </row>
    <row r="995" customFormat="false" ht="13.5" hidden="false" customHeight="false" outlineLevel="0" collapsed="false">
      <c r="A995" s="424"/>
      <c r="B995" s="442" t="s">
        <v>712</v>
      </c>
      <c r="C995" s="442" t="s">
        <v>712</v>
      </c>
      <c r="D995" s="424"/>
      <c r="E995" s="442" t="s">
        <v>712</v>
      </c>
      <c r="F995" s="424"/>
      <c r="G995" s="424"/>
      <c r="H995" s="424"/>
      <c r="I995" s="424"/>
      <c r="J995" s="424"/>
      <c r="K995" s="424"/>
      <c r="L995" s="424"/>
      <c r="M995" s="424"/>
      <c r="N995" s="440" t="n">
        <f aca="false">ROUND(((+A994-A993)*100),1)</f>
        <v>0</v>
      </c>
      <c r="O995" s="424"/>
      <c r="P995" s="438" t="s">
        <v>417</v>
      </c>
      <c r="Q995" s="435" t="n">
        <v>15</v>
      </c>
      <c r="R995" s="434" t="s">
        <v>457</v>
      </c>
      <c r="S995" s="424"/>
      <c r="T995" s="434" t="s">
        <v>458</v>
      </c>
      <c r="U995" s="434" t="s">
        <v>459</v>
      </c>
      <c r="V995" s="436" t="n">
        <f aca="false">AY995</f>
        <v>0</v>
      </c>
    </row>
    <row r="996" customFormat="false" ht="13.5" hidden="false" customHeight="false" outlineLevel="0" collapsed="false">
      <c r="A996" s="424"/>
      <c r="B996" s="440" t="n">
        <f aca="false">TRUNC(+A994/100000000000)</f>
        <v>0</v>
      </c>
      <c r="C996" s="440" t="n">
        <f aca="false">(TRUNC(+A993/1000000000))-B996*100</f>
        <v>0</v>
      </c>
      <c r="D996" s="424"/>
      <c r="E996" s="435" t="str">
        <f aca="false">IF(E993&gt;0,TRUNC(+E993-B996*1000-C996*10),"")</f>
        <v/>
      </c>
      <c r="F996" s="435" t="e">
        <f aca="false">F991-F992</f>
        <v>#VALUE!</v>
      </c>
      <c r="G996" s="435" t="e">
        <f aca="false">G998</f>
        <v>#VALUE!</v>
      </c>
      <c r="H996" s="440" t="n">
        <f aca="false">TRUNC((+A993-(+F991*1000000))/100000)</f>
        <v>0</v>
      </c>
      <c r="I996" s="440" t="n">
        <f aca="false">I994-H996*100</f>
        <v>0</v>
      </c>
      <c r="J996" s="424"/>
      <c r="K996" s="440" t="n">
        <f aca="false">TRUNC(+K994/100)</f>
        <v>1</v>
      </c>
      <c r="L996" s="440" t="n">
        <f aca="false">K994-K996*100</f>
        <v>22</v>
      </c>
      <c r="M996" s="440" t="str">
        <f aca="false">IF(N996&gt;0," &amp; Sen ","")</f>
        <v/>
      </c>
      <c r="N996" s="435" t="n">
        <f aca="false">N995</f>
        <v>0</v>
      </c>
      <c r="O996" s="424"/>
      <c r="P996" s="438" t="s">
        <v>417</v>
      </c>
      <c r="Q996" s="435" t="n">
        <v>16</v>
      </c>
      <c r="R996" s="434" t="s">
        <v>460</v>
      </c>
      <c r="S996" s="424"/>
      <c r="T996" s="434" t="s">
        <v>461</v>
      </c>
      <c r="U996" s="434" t="s">
        <v>462</v>
      </c>
      <c r="V996" s="436" t="n">
        <f aca="false">AY996</f>
        <v>0</v>
      </c>
    </row>
    <row r="997" customFormat="false" ht="13.5" hidden="false" customHeight="false" outlineLevel="0" collapsed="false">
      <c r="A997" s="424"/>
      <c r="B997" s="424"/>
      <c r="C997" s="424"/>
      <c r="D997" s="424"/>
      <c r="E997" s="424"/>
      <c r="F997" s="424"/>
      <c r="G997" s="424"/>
      <c r="H997" s="424"/>
      <c r="I997" s="424"/>
      <c r="J997" s="424"/>
      <c r="K997" s="424"/>
      <c r="L997" s="424"/>
      <c r="M997" s="424"/>
      <c r="N997" s="424"/>
      <c r="O997" s="424"/>
      <c r="P997" s="438" t="s">
        <v>417</v>
      </c>
      <c r="Q997" s="435" t="n">
        <v>17</v>
      </c>
      <c r="R997" s="434" t="s">
        <v>463</v>
      </c>
      <c r="S997" s="424"/>
      <c r="T997" s="434" t="s">
        <v>464</v>
      </c>
      <c r="U997" s="434" t="s">
        <v>465</v>
      </c>
      <c r="V997" s="436" t="n">
        <f aca="false">AY997</f>
        <v>0</v>
      </c>
    </row>
    <row r="998" customFormat="false" ht="13.5" hidden="false" customHeight="false" outlineLevel="0" collapsed="false">
      <c r="A998" s="440" t="n">
        <f aca="false">B996*100000000000</f>
        <v>0</v>
      </c>
      <c r="B998" s="440" t="str">
        <f aca="false">IF(B996&gt;0,VLOOKUP(B996,$Q$7:$T$15,3),"")</f>
        <v/>
      </c>
      <c r="C998" s="440" t="str">
        <f aca="false">IF(C996&gt;0,VLOOKUP(C996,Q981:R1079,2),"")</f>
        <v/>
      </c>
      <c r="D998" s="440" t="str">
        <f aca="false">IF(B993+C996&gt;0,"Milyar","")</f>
        <v/>
      </c>
      <c r="E998" s="440" t="e">
        <f aca="false">IF(E996&gt;0,VLOOKUP(E996,$Q$7:$T$15,3),"")</f>
        <v>#N/A</v>
      </c>
      <c r="F998" s="440" t="e">
        <f aca="false">IF(F996&gt;0,VLOOKUP(F996,Q981:R1079,2),"")</f>
        <v>#VALUE!</v>
      </c>
      <c r="G998" s="435" t="e">
        <f aca="false">IF(F996+E996&gt;0," Juta","")</f>
        <v>#VALUE!</v>
      </c>
      <c r="H998" s="440" t="str">
        <f aca="false">IF(H996&gt;0,VLOOKUP(H996,$Q$7:$T$15,3),"")</f>
        <v/>
      </c>
      <c r="I998" s="440" t="str">
        <f aca="false">IF(I996=1," Se",IF(I996=0,"",VLOOKUP(I996,Q981:R1079,2)))</f>
        <v/>
      </c>
      <c r="J998" s="435" t="str">
        <f aca="false">IF(I996+H996&gt;0," ribu","")</f>
        <v/>
      </c>
      <c r="K998" s="440" t="str">
        <f aca="false">IF(K996&gt;0,VLOOKUP(K996,Q981:S989,3),"")</f>
        <v> Seratus</v>
      </c>
      <c r="L998" s="440" t="str">
        <f aca="false">IF(L996&gt;0,VLOOKUP(L996,Q981:R1079,2),"")</f>
        <v> Dua puluh dua</v>
      </c>
      <c r="M998" s="440" t="str">
        <f aca="false">IF(N996&gt;0,VLOOKUP(N995,Q980:U1079,5)," Rupiah ")</f>
        <v> Rupiah </v>
      </c>
      <c r="N998" s="424"/>
      <c r="O998" s="435" t="str">
        <f aca="false">IF(N996&gt;0," ====","")</f>
        <v/>
      </c>
      <c r="P998" s="435" t="str">
        <f aca="false">IF(N996&gt;0,"-","====")</f>
        <v>====</v>
      </c>
      <c r="Q998" s="435" t="n">
        <v>18</v>
      </c>
      <c r="R998" s="434" t="s">
        <v>466</v>
      </c>
      <c r="S998" s="424"/>
      <c r="T998" s="434" t="s">
        <v>467</v>
      </c>
      <c r="U998" s="434" t="s">
        <v>468</v>
      </c>
      <c r="V998" s="436" t="n">
        <f aca="false">AY998</f>
        <v>0</v>
      </c>
    </row>
    <row r="999" customFormat="false" ht="13.5" hidden="false" customHeight="false" outlineLevel="0" collapsed="false">
      <c r="A999" s="440"/>
      <c r="B999" s="435" t="str">
        <f aca="false">B998</f>
        <v/>
      </c>
      <c r="C999" s="424"/>
      <c r="D999" s="424"/>
      <c r="E999" s="424"/>
      <c r="F999" s="424"/>
      <c r="G999" s="424"/>
      <c r="H999" s="424"/>
      <c r="I999" s="424"/>
      <c r="J999" s="424"/>
      <c r="K999" s="424"/>
      <c r="L999" s="424"/>
      <c r="M999" s="424"/>
      <c r="N999" s="424"/>
      <c r="O999" s="424"/>
      <c r="P999" s="438" t="s">
        <v>417</v>
      </c>
      <c r="Q999" s="435" t="n">
        <v>19</v>
      </c>
      <c r="R999" s="434" t="s">
        <v>469</v>
      </c>
      <c r="S999" s="424"/>
      <c r="T999" s="434" t="s">
        <v>470</v>
      </c>
      <c r="U999" s="434" t="s">
        <v>471</v>
      </c>
      <c r="V999" s="436" t="n">
        <f aca="false">AY1004</f>
        <v>0</v>
      </c>
    </row>
    <row r="1000" customFormat="false" ht="13.5" hidden="false" customHeight="false" outlineLevel="0" collapsed="false">
      <c r="A1000" s="440"/>
      <c r="B1000" s="435" t="str">
        <f aca="false">C998</f>
        <v/>
      </c>
      <c r="C1000" s="424"/>
      <c r="D1000" s="424"/>
      <c r="E1000" s="424"/>
      <c r="F1000" s="424"/>
      <c r="G1000" s="424"/>
      <c r="H1000" s="424"/>
      <c r="I1000" s="424"/>
      <c r="J1000" s="424"/>
      <c r="K1000" s="424"/>
      <c r="L1000" s="424"/>
      <c r="M1000" s="424"/>
      <c r="N1000" s="424"/>
      <c r="O1000" s="424"/>
      <c r="P1000" s="438" t="s">
        <v>417</v>
      </c>
      <c r="Q1000" s="435" t="n">
        <v>20</v>
      </c>
      <c r="R1000" s="434" t="s">
        <v>472</v>
      </c>
      <c r="S1000" s="424"/>
      <c r="T1000" s="434" t="s">
        <v>473</v>
      </c>
      <c r="U1000" s="434" t="s">
        <v>474</v>
      </c>
      <c r="V1000" s="436" t="n">
        <f aca="false">AY1005</f>
        <v>0</v>
      </c>
    </row>
    <row r="1001" customFormat="false" ht="13.5" hidden="false" customHeight="false" outlineLevel="0" collapsed="false">
      <c r="A1001" s="440"/>
      <c r="B1001" s="435" t="str">
        <f aca="false">D998</f>
        <v/>
      </c>
      <c r="C1001" s="424"/>
      <c r="D1001" s="424"/>
      <c r="E1001" s="424"/>
      <c r="F1001" s="424"/>
      <c r="G1001" s="424"/>
      <c r="H1001" s="424"/>
      <c r="I1001" s="424"/>
      <c r="J1001" s="424"/>
      <c r="K1001" s="424"/>
      <c r="L1001" s="424"/>
      <c r="M1001" s="424"/>
      <c r="N1001" s="424"/>
      <c r="O1001" s="424"/>
      <c r="P1001" s="438" t="s">
        <v>417</v>
      </c>
      <c r="Q1001" s="435" t="n">
        <v>21</v>
      </c>
      <c r="R1001" s="434" t="s">
        <v>475</v>
      </c>
      <c r="S1001" s="424"/>
      <c r="T1001" s="434" t="s">
        <v>476</v>
      </c>
      <c r="U1001" s="434" t="s">
        <v>477</v>
      </c>
      <c r="V1001" s="436" t="n">
        <f aca="false">AY1006</f>
        <v>0</v>
      </c>
    </row>
    <row r="1002" customFormat="false" ht="13.5" hidden="false" customHeight="false" outlineLevel="0" collapsed="false">
      <c r="A1002" s="440"/>
      <c r="B1002" s="435" t="e">
        <f aca="false">E998</f>
        <v>#N/A</v>
      </c>
      <c r="C1002" s="424"/>
      <c r="D1002" s="424"/>
      <c r="E1002" s="424"/>
      <c r="F1002" s="424"/>
      <c r="G1002" s="424"/>
      <c r="H1002" s="424"/>
      <c r="I1002" s="424"/>
      <c r="J1002" s="424"/>
      <c r="K1002" s="424"/>
      <c r="L1002" s="424"/>
      <c r="M1002" s="424"/>
      <c r="N1002" s="424"/>
      <c r="O1002" s="424"/>
      <c r="P1002" s="424"/>
      <c r="Q1002" s="435" t="n">
        <v>22</v>
      </c>
      <c r="R1002" s="434" t="s">
        <v>478</v>
      </c>
      <c r="S1002" s="424"/>
      <c r="T1002" s="434" t="s">
        <v>479</v>
      </c>
      <c r="U1002" s="434" t="s">
        <v>480</v>
      </c>
      <c r="V1002" s="436" t="n">
        <f aca="false">AY1007</f>
        <v>0</v>
      </c>
    </row>
    <row r="1003" customFormat="false" ht="13.5" hidden="false" customHeight="false" outlineLevel="0" collapsed="false">
      <c r="A1003" s="440"/>
      <c r="B1003" s="435" t="e">
        <f aca="false">F998</f>
        <v>#VALUE!</v>
      </c>
      <c r="C1003" s="424"/>
      <c r="D1003" s="424"/>
      <c r="E1003" s="424"/>
      <c r="F1003" s="424"/>
      <c r="G1003" s="424"/>
      <c r="H1003" s="424"/>
      <c r="I1003" s="424"/>
      <c r="J1003" s="424"/>
      <c r="K1003" s="424"/>
      <c r="L1003" s="424"/>
      <c r="M1003" s="424"/>
      <c r="N1003" s="424"/>
      <c r="O1003" s="424"/>
      <c r="P1003" s="438" t="s">
        <v>417</v>
      </c>
      <c r="Q1003" s="435" t="n">
        <v>23</v>
      </c>
      <c r="R1003" s="434" t="s">
        <v>481</v>
      </c>
      <c r="S1003" s="424"/>
      <c r="T1003" s="434" t="s">
        <v>482</v>
      </c>
      <c r="U1003" s="434" t="s">
        <v>483</v>
      </c>
      <c r="V1003" s="436" t="n">
        <f aca="false">AY1008</f>
        <v>0</v>
      </c>
    </row>
    <row r="1004" customFormat="false" ht="13.5" hidden="false" customHeight="false" outlineLevel="0" collapsed="false">
      <c r="A1004" s="424"/>
      <c r="B1004" s="424"/>
      <c r="C1004" s="424"/>
      <c r="D1004" s="424"/>
      <c r="E1004" s="424"/>
      <c r="F1004" s="424"/>
      <c r="G1004" s="424"/>
      <c r="H1004" s="424"/>
      <c r="I1004" s="424"/>
      <c r="J1004" s="424"/>
      <c r="K1004" s="424"/>
      <c r="L1004" s="424"/>
      <c r="M1004" s="424"/>
      <c r="N1004" s="424"/>
      <c r="O1004" s="424"/>
      <c r="P1004" s="438" t="s">
        <v>417</v>
      </c>
      <c r="Q1004" s="435" t="n">
        <v>24</v>
      </c>
      <c r="R1004" s="434" t="s">
        <v>484</v>
      </c>
      <c r="S1004" s="424"/>
      <c r="T1004" s="434" t="s">
        <v>485</v>
      </c>
      <c r="U1004" s="434" t="s">
        <v>486</v>
      </c>
      <c r="V1004" s="436" t="n">
        <f aca="false">AY1009</f>
        <v>0</v>
      </c>
    </row>
    <row r="1005" customFormat="false" ht="13.5" hidden="false" customHeight="false" outlineLevel="0" collapsed="false">
      <c r="A1005" s="424"/>
      <c r="B1005" s="424"/>
      <c r="C1005" s="424"/>
      <c r="D1005" s="424"/>
      <c r="E1005" s="424"/>
      <c r="F1005" s="424"/>
      <c r="G1005" s="424"/>
      <c r="H1005" s="424"/>
      <c r="I1005" s="424"/>
      <c r="J1005" s="424"/>
      <c r="K1005" s="424"/>
      <c r="L1005" s="424"/>
      <c r="M1005" s="424"/>
      <c r="N1005" s="424"/>
      <c r="O1005" s="424"/>
      <c r="P1005" s="438" t="s">
        <v>417</v>
      </c>
      <c r="Q1005" s="435" t="n">
        <v>25</v>
      </c>
      <c r="R1005" s="434" t="s">
        <v>487</v>
      </c>
      <c r="S1005" s="424"/>
      <c r="T1005" s="434" t="s">
        <v>488</v>
      </c>
      <c r="U1005" s="434" t="s">
        <v>489</v>
      </c>
      <c r="V1005" s="436" t="n">
        <f aca="false">AY1010</f>
        <v>0</v>
      </c>
    </row>
    <row r="1006" customFormat="false" ht="13.5" hidden="false" customHeight="false" outlineLevel="0" collapsed="false">
      <c r="A1006" s="424"/>
      <c r="B1006" s="424"/>
      <c r="C1006" s="424"/>
      <c r="D1006" s="424"/>
      <c r="E1006" s="424"/>
      <c r="F1006" s="424"/>
      <c r="G1006" s="424"/>
      <c r="H1006" s="424"/>
      <c r="I1006" s="424"/>
      <c r="J1006" s="424"/>
      <c r="K1006" s="424"/>
      <c r="L1006" s="424"/>
      <c r="M1006" s="424"/>
      <c r="N1006" s="424"/>
      <c r="O1006" s="424"/>
      <c r="P1006" s="438" t="s">
        <v>417</v>
      </c>
      <c r="Q1006" s="435" t="n">
        <v>26</v>
      </c>
      <c r="R1006" s="434" t="s">
        <v>490</v>
      </c>
      <c r="S1006" s="424"/>
      <c r="T1006" s="434" t="s">
        <v>491</v>
      </c>
      <c r="U1006" s="434" t="s">
        <v>492</v>
      </c>
      <c r="V1006" s="436" t="n">
        <f aca="false">AY1011</f>
        <v>0</v>
      </c>
    </row>
    <row r="1007" customFormat="false" ht="13.5" hidden="false" customHeight="false" outlineLevel="0" collapsed="false">
      <c r="A1007" s="424"/>
      <c r="B1007" s="424"/>
      <c r="C1007" s="424"/>
      <c r="D1007" s="424"/>
      <c r="E1007" s="424"/>
      <c r="F1007" s="424"/>
      <c r="G1007" s="424"/>
      <c r="H1007" s="424"/>
      <c r="I1007" s="424"/>
      <c r="J1007" s="424"/>
      <c r="K1007" s="424"/>
      <c r="L1007" s="424"/>
      <c r="M1007" s="424"/>
      <c r="N1007" s="424"/>
      <c r="O1007" s="424"/>
      <c r="P1007" s="424"/>
      <c r="Q1007" s="435" t="n">
        <v>27</v>
      </c>
      <c r="R1007" s="434" t="s">
        <v>493</v>
      </c>
      <c r="S1007" s="424"/>
      <c r="T1007" s="434" t="s">
        <v>494</v>
      </c>
      <c r="U1007" s="434" t="s">
        <v>495</v>
      </c>
      <c r="V1007" s="436" t="n">
        <f aca="false">AY1012</f>
        <v>0</v>
      </c>
    </row>
    <row r="1008" customFormat="false" ht="13.5" hidden="false" customHeight="false" outlineLevel="0" collapsed="false">
      <c r="A1008" s="424"/>
      <c r="B1008" s="424"/>
      <c r="C1008" s="424"/>
      <c r="D1008" s="424"/>
      <c r="E1008" s="424"/>
      <c r="F1008" s="424"/>
      <c r="G1008" s="424"/>
      <c r="H1008" s="424"/>
      <c r="I1008" s="424"/>
      <c r="J1008" s="424"/>
      <c r="K1008" s="424"/>
      <c r="L1008" s="424"/>
      <c r="M1008" s="424"/>
      <c r="N1008" s="424"/>
      <c r="O1008" s="424"/>
      <c r="P1008" s="424"/>
      <c r="Q1008" s="435" t="n">
        <v>28</v>
      </c>
      <c r="R1008" s="434" t="s">
        <v>496</v>
      </c>
      <c r="S1008" s="424"/>
      <c r="T1008" s="434" t="s">
        <v>497</v>
      </c>
      <c r="U1008" s="434" t="s">
        <v>498</v>
      </c>
      <c r="V1008" s="436" t="n">
        <f aca="false">AY1013</f>
        <v>0</v>
      </c>
    </row>
    <row r="1009" customFormat="false" ht="13.5" hidden="false" customHeight="false" outlineLevel="0" collapsed="false">
      <c r="A1009" s="424"/>
      <c r="B1009" s="424"/>
      <c r="C1009" s="424"/>
      <c r="D1009" s="424"/>
      <c r="E1009" s="424"/>
      <c r="F1009" s="424"/>
      <c r="G1009" s="424"/>
      <c r="H1009" s="424"/>
      <c r="I1009" s="424"/>
      <c r="J1009" s="424"/>
      <c r="K1009" s="424"/>
      <c r="L1009" s="424"/>
      <c r="M1009" s="424"/>
      <c r="N1009" s="424"/>
      <c r="O1009" s="424"/>
      <c r="P1009" s="424"/>
      <c r="Q1009" s="435" t="n">
        <v>29</v>
      </c>
      <c r="R1009" s="434" t="s">
        <v>499</v>
      </c>
      <c r="S1009" s="424"/>
      <c r="T1009" s="434" t="s">
        <v>500</v>
      </c>
      <c r="U1009" s="434" t="s">
        <v>501</v>
      </c>
      <c r="V1009" s="436" t="n">
        <f aca="false">AY1014</f>
        <v>0</v>
      </c>
    </row>
    <row r="1010" customFormat="false" ht="13.5" hidden="false" customHeight="false" outlineLevel="0" collapsed="false">
      <c r="A1010" s="424"/>
      <c r="B1010" s="424"/>
      <c r="C1010" s="424"/>
      <c r="D1010" s="424"/>
      <c r="E1010" s="424"/>
      <c r="F1010" s="424"/>
      <c r="G1010" s="424"/>
      <c r="H1010" s="424"/>
      <c r="I1010" s="424"/>
      <c r="J1010" s="424"/>
      <c r="K1010" s="424"/>
      <c r="L1010" s="424"/>
      <c r="M1010" s="424"/>
      <c r="N1010" s="424"/>
      <c r="O1010" s="424"/>
      <c r="P1010" s="424"/>
      <c r="Q1010" s="435" t="n">
        <v>30</v>
      </c>
      <c r="R1010" s="434" t="s">
        <v>502</v>
      </c>
      <c r="S1010" s="424"/>
      <c r="T1010" s="434" t="s">
        <v>503</v>
      </c>
      <c r="U1010" s="434" t="s">
        <v>504</v>
      </c>
      <c r="V1010" s="436" t="n">
        <f aca="false">AY1015</f>
        <v>0</v>
      </c>
    </row>
    <row r="1011" customFormat="false" ht="13.5" hidden="false" customHeight="false" outlineLevel="0" collapsed="false">
      <c r="A1011" s="424"/>
      <c r="B1011" s="424"/>
      <c r="C1011" s="424"/>
      <c r="D1011" s="424"/>
      <c r="E1011" s="424"/>
      <c r="F1011" s="424"/>
      <c r="G1011" s="424"/>
      <c r="H1011" s="424"/>
      <c r="I1011" s="424"/>
      <c r="J1011" s="424"/>
      <c r="K1011" s="424"/>
      <c r="L1011" s="424"/>
      <c r="M1011" s="424"/>
      <c r="N1011" s="424"/>
      <c r="O1011" s="424"/>
      <c r="P1011" s="424"/>
      <c r="Q1011" s="435" t="n">
        <v>31</v>
      </c>
      <c r="R1011" s="434" t="s">
        <v>505</v>
      </c>
      <c r="S1011" s="424"/>
      <c r="T1011" s="434" t="s">
        <v>506</v>
      </c>
      <c r="U1011" s="434" t="s">
        <v>507</v>
      </c>
      <c r="V1011" s="436" t="n">
        <f aca="false">AY1016</f>
        <v>0</v>
      </c>
    </row>
    <row r="1012" customFormat="false" ht="13.5" hidden="false" customHeight="false" outlineLevel="0" collapsed="false">
      <c r="A1012" s="424"/>
      <c r="B1012" s="424"/>
      <c r="C1012" s="424"/>
      <c r="D1012" s="424"/>
      <c r="E1012" s="424"/>
      <c r="F1012" s="424"/>
      <c r="G1012" s="424"/>
      <c r="H1012" s="424"/>
      <c r="I1012" s="424"/>
      <c r="J1012" s="424"/>
      <c r="K1012" s="424"/>
      <c r="L1012" s="424"/>
      <c r="M1012" s="424"/>
      <c r="N1012" s="424"/>
      <c r="O1012" s="424"/>
      <c r="P1012" s="424"/>
      <c r="Q1012" s="435" t="n">
        <v>32</v>
      </c>
      <c r="R1012" s="434" t="s">
        <v>508</v>
      </c>
      <c r="S1012" s="424"/>
      <c r="T1012" s="434" t="s">
        <v>509</v>
      </c>
      <c r="U1012" s="434" t="s">
        <v>510</v>
      </c>
      <c r="V1012" s="436" t="n">
        <f aca="false">AY1017</f>
        <v>0</v>
      </c>
    </row>
    <row r="1013" customFormat="false" ht="13.5" hidden="false" customHeight="false" outlineLevel="0" collapsed="false">
      <c r="A1013" s="440"/>
      <c r="B1013" s="435" t="e">
        <f aca="false">G998</f>
        <v>#VALUE!</v>
      </c>
      <c r="C1013" s="424"/>
      <c r="D1013" s="424"/>
      <c r="E1013" s="424"/>
      <c r="F1013" s="424"/>
      <c r="G1013" s="424"/>
      <c r="H1013" s="424"/>
      <c r="I1013" s="424"/>
      <c r="J1013" s="424"/>
      <c r="K1013" s="424"/>
      <c r="L1013" s="424"/>
      <c r="M1013" s="424"/>
      <c r="N1013" s="424"/>
      <c r="O1013" s="424"/>
      <c r="P1013" s="424"/>
      <c r="Q1013" s="435" t="n">
        <v>33</v>
      </c>
      <c r="R1013" s="434" t="s">
        <v>511</v>
      </c>
      <c r="S1013" s="424"/>
      <c r="T1013" s="434" t="s">
        <v>512</v>
      </c>
      <c r="U1013" s="434" t="s">
        <v>513</v>
      </c>
      <c r="V1013" s="436" t="n">
        <f aca="false">AY1018</f>
        <v>0</v>
      </c>
    </row>
    <row r="1014" customFormat="false" ht="13.5" hidden="false" customHeight="false" outlineLevel="0" collapsed="false">
      <c r="A1014" s="440"/>
      <c r="B1014" s="435" t="str">
        <f aca="false">H998</f>
        <v/>
      </c>
      <c r="C1014" s="424"/>
      <c r="D1014" s="424"/>
      <c r="E1014" s="424"/>
      <c r="F1014" s="424"/>
      <c r="G1014" s="424"/>
      <c r="H1014" s="424"/>
      <c r="I1014" s="424"/>
      <c r="J1014" s="424"/>
      <c r="K1014" s="424"/>
      <c r="L1014" s="424"/>
      <c r="M1014" s="424"/>
      <c r="N1014" s="424"/>
      <c r="O1014" s="424"/>
      <c r="P1014" s="424"/>
      <c r="Q1014" s="435" t="n">
        <v>34</v>
      </c>
      <c r="R1014" s="434" t="s">
        <v>514</v>
      </c>
      <c r="S1014" s="424"/>
      <c r="T1014" s="434" t="s">
        <v>515</v>
      </c>
      <c r="U1014" s="434" t="s">
        <v>516</v>
      </c>
      <c r="V1014" s="436" t="n">
        <f aca="false">AY1019</f>
        <v>0</v>
      </c>
    </row>
    <row r="1015" customFormat="false" ht="13.5" hidden="false" customHeight="false" outlineLevel="0" collapsed="false">
      <c r="A1015" s="440"/>
      <c r="B1015" s="435" t="str">
        <f aca="false">I998</f>
        <v/>
      </c>
      <c r="C1015" s="424"/>
      <c r="D1015" s="424"/>
      <c r="E1015" s="424"/>
      <c r="F1015" s="424"/>
      <c r="G1015" s="424"/>
      <c r="H1015" s="424"/>
      <c r="I1015" s="424"/>
      <c r="J1015" s="424"/>
      <c r="K1015" s="424"/>
      <c r="L1015" s="424"/>
      <c r="M1015" s="424"/>
      <c r="N1015" s="424"/>
      <c r="O1015" s="424"/>
      <c r="P1015" s="424"/>
      <c r="Q1015" s="435" t="n">
        <v>35</v>
      </c>
      <c r="R1015" s="434" t="s">
        <v>517</v>
      </c>
      <c r="S1015" s="424"/>
      <c r="T1015" s="434" t="s">
        <v>518</v>
      </c>
      <c r="U1015" s="434" t="s">
        <v>519</v>
      </c>
      <c r="V1015" s="436" t="n">
        <f aca="false">AY1020</f>
        <v>0</v>
      </c>
    </row>
    <row r="1016" customFormat="false" ht="13.5" hidden="false" customHeight="false" outlineLevel="0" collapsed="false">
      <c r="A1016" s="440"/>
      <c r="B1016" s="435" t="str">
        <f aca="false">J998</f>
        <v/>
      </c>
      <c r="C1016" s="424"/>
      <c r="D1016" s="424"/>
      <c r="E1016" s="424"/>
      <c r="F1016" s="424"/>
      <c r="G1016" s="424"/>
      <c r="H1016" s="424"/>
      <c r="I1016" s="424"/>
      <c r="J1016" s="424"/>
      <c r="K1016" s="424"/>
      <c r="L1016" s="424"/>
      <c r="M1016" s="424"/>
      <c r="N1016" s="424"/>
      <c r="O1016" s="424"/>
      <c r="P1016" s="424"/>
      <c r="Q1016" s="435" t="n">
        <v>36</v>
      </c>
      <c r="R1016" s="434" t="s">
        <v>520</v>
      </c>
      <c r="S1016" s="424"/>
      <c r="T1016" s="434" t="s">
        <v>521</v>
      </c>
      <c r="U1016" s="434" t="s">
        <v>522</v>
      </c>
      <c r="V1016" s="436" t="n">
        <f aca="false">AY1021</f>
        <v>0</v>
      </c>
    </row>
    <row r="1017" customFormat="false" ht="13.5" hidden="false" customHeight="false" outlineLevel="0" collapsed="false">
      <c r="A1017" s="440"/>
      <c r="B1017" s="440" t="str">
        <f aca="false">K998</f>
        <v> Seratus</v>
      </c>
      <c r="C1017" s="424"/>
      <c r="D1017" s="424"/>
      <c r="E1017" s="424"/>
      <c r="F1017" s="424"/>
      <c r="G1017" s="424"/>
      <c r="H1017" s="424"/>
      <c r="I1017" s="424"/>
      <c r="J1017" s="424"/>
      <c r="K1017" s="424"/>
      <c r="L1017" s="424"/>
      <c r="M1017" s="424"/>
      <c r="N1017" s="424"/>
      <c r="O1017" s="424"/>
      <c r="P1017" s="424"/>
      <c r="Q1017" s="435" t="n">
        <v>37</v>
      </c>
      <c r="R1017" s="434" t="s">
        <v>523</v>
      </c>
      <c r="S1017" s="424"/>
      <c r="T1017" s="434" t="s">
        <v>524</v>
      </c>
      <c r="U1017" s="434" t="s">
        <v>525</v>
      </c>
      <c r="V1017" s="436" t="n">
        <f aca="false">AY1022</f>
        <v>0</v>
      </c>
    </row>
    <row r="1018" customFormat="false" ht="13.5" hidden="false" customHeight="false" outlineLevel="0" collapsed="false">
      <c r="A1018" s="440"/>
      <c r="B1018" s="435" t="str">
        <f aca="false">L998</f>
        <v> Dua puluh dua</v>
      </c>
      <c r="C1018" s="424"/>
      <c r="D1018" s="424"/>
      <c r="E1018" s="424"/>
      <c r="F1018" s="424"/>
      <c r="G1018" s="424"/>
      <c r="H1018" s="424"/>
      <c r="I1018" s="424"/>
      <c r="J1018" s="424"/>
      <c r="K1018" s="424"/>
      <c r="L1018" s="424"/>
      <c r="M1018" s="424"/>
      <c r="N1018" s="424"/>
      <c r="O1018" s="424"/>
      <c r="P1018" s="424"/>
      <c r="Q1018" s="435" t="n">
        <v>38</v>
      </c>
      <c r="R1018" s="434" t="s">
        <v>526</v>
      </c>
      <c r="S1018" s="424"/>
      <c r="T1018" s="434" t="s">
        <v>527</v>
      </c>
      <c r="U1018" s="434" t="s">
        <v>528</v>
      </c>
      <c r="V1018" s="436" t="n">
        <f aca="false">AY1023</f>
        <v>0</v>
      </c>
    </row>
    <row r="1019" customFormat="false" ht="13.5" hidden="false" customHeight="false" outlineLevel="0" collapsed="false">
      <c r="A1019" s="440"/>
      <c r="B1019" s="435" t="str">
        <f aca="false">M998</f>
        <v> Rupiah </v>
      </c>
      <c r="C1019" s="424"/>
      <c r="D1019" s="424"/>
      <c r="E1019" s="424"/>
      <c r="F1019" s="424"/>
      <c r="G1019" s="424"/>
      <c r="H1019" s="424"/>
      <c r="I1019" s="424"/>
      <c r="J1019" s="424"/>
      <c r="K1019" s="424"/>
      <c r="L1019" s="424"/>
      <c r="M1019" s="424"/>
      <c r="N1019" s="424"/>
      <c r="O1019" s="424"/>
      <c r="P1019" s="424"/>
      <c r="Q1019" s="435" t="n">
        <v>39</v>
      </c>
      <c r="R1019" s="434" t="s">
        <v>529</v>
      </c>
      <c r="S1019" s="424"/>
      <c r="T1019" s="434" t="s">
        <v>530</v>
      </c>
      <c r="U1019" s="434" t="s">
        <v>531</v>
      </c>
      <c r="V1019" s="436" t="n">
        <f aca="false">AY1024</f>
        <v>0</v>
      </c>
    </row>
    <row r="1020" customFormat="false" ht="13.5" hidden="false" customHeight="false" outlineLevel="0" collapsed="false">
      <c r="A1020" s="436" t="e">
        <f aca="false">+#REF!</f>
        <v>#REF!</v>
      </c>
      <c r="B1020" s="435" t="str">
        <f aca="false">O998</f>
        <v/>
      </c>
      <c r="C1020" s="424"/>
      <c r="D1020" s="424"/>
      <c r="E1020" s="424"/>
      <c r="F1020" s="424"/>
      <c r="G1020" s="424"/>
      <c r="H1020" s="424"/>
      <c r="I1020" s="424"/>
      <c r="J1020" s="424"/>
      <c r="K1020" s="424"/>
      <c r="L1020" s="424"/>
      <c r="M1020" s="424"/>
      <c r="N1020" s="424"/>
      <c r="O1020" s="424"/>
      <c r="P1020" s="424"/>
      <c r="Q1020" s="435" t="n">
        <v>40</v>
      </c>
      <c r="R1020" s="434" t="s">
        <v>532</v>
      </c>
      <c r="S1020" s="424"/>
      <c r="T1020" s="434" t="s">
        <v>533</v>
      </c>
      <c r="U1020" s="434" t="s">
        <v>534</v>
      </c>
      <c r="V1020" s="436" t="n">
        <f aca="false">AY1025</f>
        <v>0</v>
      </c>
    </row>
    <row r="1021" customFormat="false" ht="13.5" hidden="false" customHeight="false" outlineLevel="0" collapsed="false">
      <c r="A1021" s="440"/>
      <c r="B1021" s="435" t="str">
        <f aca="false">IF(N996&gt;0,"-","====")</f>
        <v>====</v>
      </c>
      <c r="C1021" s="424"/>
      <c r="D1021" s="424"/>
      <c r="E1021" s="424"/>
      <c r="F1021" s="424"/>
      <c r="G1021" s="424"/>
      <c r="H1021" s="424"/>
      <c r="I1021" s="424"/>
      <c r="J1021" s="424"/>
      <c r="K1021" s="424"/>
      <c r="L1021" s="424"/>
      <c r="M1021" s="424"/>
      <c r="N1021" s="424"/>
      <c r="O1021" s="424"/>
      <c r="P1021" s="424"/>
      <c r="Q1021" s="435" t="n">
        <v>41</v>
      </c>
      <c r="R1021" s="434" t="s">
        <v>535</v>
      </c>
      <c r="S1021" s="424"/>
      <c r="T1021" s="434" t="s">
        <v>536</v>
      </c>
      <c r="U1021" s="434" t="s">
        <v>537</v>
      </c>
      <c r="V1021" s="436" t="n">
        <f aca="false">AY1026</f>
        <v>0</v>
      </c>
    </row>
    <row r="1022" customFormat="false" ht="13.5" hidden="false" customHeight="false" outlineLevel="0" collapsed="false">
      <c r="A1022" s="435" t="e">
        <f aca="false">B998&amp;C998&amp;D998&amp;E998&amp;F998&amp;G998&amp;H998&amp;I998&amp;J998&amp;K998&amp;L998&amp;M998&amp;O998</f>
        <v>#N/A</v>
      </c>
      <c r="B1022" s="424"/>
      <c r="C1022" s="424"/>
      <c r="D1022" s="424"/>
      <c r="E1022" s="424"/>
      <c r="F1022" s="424"/>
      <c r="G1022" s="424"/>
      <c r="H1022" s="424"/>
      <c r="I1022" s="424"/>
      <c r="J1022" s="424"/>
      <c r="K1022" s="424"/>
      <c r="L1022" s="424"/>
      <c r="M1022" s="424"/>
      <c r="N1022" s="424"/>
      <c r="O1022" s="424"/>
      <c r="P1022" s="424"/>
      <c r="Q1022" s="435" t="n">
        <v>42</v>
      </c>
      <c r="R1022" s="434" t="s">
        <v>538</v>
      </c>
      <c r="S1022" s="424"/>
      <c r="T1022" s="434" t="s">
        <v>539</v>
      </c>
      <c r="U1022" s="434" t="s">
        <v>540</v>
      </c>
      <c r="V1022" s="436" t="n">
        <f aca="false">AY1027</f>
        <v>0</v>
      </c>
    </row>
    <row r="1023" customFormat="false" ht="13.5" hidden="false" customHeight="false" outlineLevel="0" collapsed="false">
      <c r="A1023" s="440" t="str">
        <f aca="false">I998&amp;J998&amp;K998&amp;L998&amp;M998&amp;O998</f>
        <v> Seratus Dua puluh dua Rupiah </v>
      </c>
      <c r="B1023" s="424"/>
      <c r="C1023" s="424"/>
      <c r="D1023" s="424"/>
      <c r="E1023" s="424"/>
      <c r="F1023" s="424"/>
      <c r="G1023" s="424"/>
      <c r="H1023" s="424"/>
      <c r="I1023" s="424"/>
      <c r="J1023" s="424"/>
      <c r="K1023" s="424"/>
      <c r="L1023" s="424"/>
      <c r="M1023" s="424"/>
      <c r="N1023" s="424"/>
      <c r="O1023" s="424"/>
      <c r="P1023" s="424"/>
      <c r="Q1023" s="435" t="n">
        <v>43</v>
      </c>
      <c r="R1023" s="434" t="s">
        <v>541</v>
      </c>
      <c r="S1023" s="424"/>
      <c r="T1023" s="434" t="s">
        <v>542</v>
      </c>
      <c r="U1023" s="434" t="s">
        <v>543</v>
      </c>
      <c r="V1023" s="436" t="n">
        <f aca="false">AY1028</f>
        <v>0</v>
      </c>
    </row>
    <row r="1024" customFormat="false" ht="13.5" hidden="false" customHeight="false" outlineLevel="0" collapsed="false">
      <c r="A1024" s="440"/>
      <c r="B1024" s="424"/>
      <c r="C1024" s="424"/>
      <c r="D1024" s="424"/>
      <c r="E1024" s="424"/>
      <c r="F1024" s="424"/>
      <c r="G1024" s="424"/>
      <c r="H1024" s="424"/>
      <c r="I1024" s="424"/>
      <c r="J1024" s="424"/>
      <c r="K1024" s="424"/>
      <c r="L1024" s="424"/>
      <c r="M1024" s="424"/>
      <c r="N1024" s="424"/>
      <c r="O1024" s="424"/>
      <c r="P1024" s="424"/>
      <c r="Q1024" s="435" t="n">
        <v>44</v>
      </c>
      <c r="R1024" s="434" t="s">
        <v>544</v>
      </c>
      <c r="S1024" s="424"/>
      <c r="T1024" s="434" t="s">
        <v>545</v>
      </c>
      <c r="U1024" s="434" t="s">
        <v>546</v>
      </c>
      <c r="V1024" s="436" t="n">
        <f aca="false">AY1029</f>
        <v>0</v>
      </c>
    </row>
    <row r="1025" customFormat="false" ht="13.5" hidden="false" customHeight="false" outlineLevel="0" collapsed="false">
      <c r="A1025" s="440"/>
      <c r="B1025" s="424"/>
      <c r="C1025" s="424"/>
      <c r="D1025" s="424"/>
      <c r="E1025" s="424"/>
      <c r="F1025" s="424"/>
      <c r="G1025" s="424"/>
      <c r="H1025" s="424"/>
      <c r="I1025" s="424"/>
      <c r="J1025" s="424"/>
      <c r="K1025" s="424"/>
      <c r="L1025" s="424"/>
      <c r="M1025" s="424"/>
      <c r="N1025" s="424"/>
      <c r="O1025" s="424"/>
      <c r="P1025" s="424"/>
      <c r="Q1025" s="435" t="n">
        <v>45</v>
      </c>
      <c r="R1025" s="434" t="s">
        <v>547</v>
      </c>
      <c r="S1025" s="424"/>
      <c r="T1025" s="434" t="s">
        <v>548</v>
      </c>
      <c r="U1025" s="434" t="s">
        <v>549</v>
      </c>
      <c r="V1025" s="436" t="n">
        <f aca="false">AY1030</f>
        <v>0</v>
      </c>
    </row>
    <row r="1026" customFormat="false" ht="13.5" hidden="false" customHeight="false" outlineLevel="0" collapsed="false">
      <c r="A1026" s="440"/>
      <c r="B1026" s="424"/>
      <c r="C1026" s="424"/>
      <c r="D1026" s="424"/>
      <c r="E1026" s="424"/>
      <c r="F1026" s="424"/>
      <c r="G1026" s="424"/>
      <c r="H1026" s="424"/>
      <c r="I1026" s="424"/>
      <c r="J1026" s="424"/>
      <c r="K1026" s="424"/>
      <c r="L1026" s="424"/>
      <c r="M1026" s="424"/>
      <c r="N1026" s="424"/>
      <c r="O1026" s="424"/>
      <c r="P1026" s="424"/>
      <c r="Q1026" s="435" t="n">
        <v>46</v>
      </c>
      <c r="R1026" s="434" t="s">
        <v>550</v>
      </c>
      <c r="S1026" s="424"/>
      <c r="T1026" s="434" t="s">
        <v>551</v>
      </c>
      <c r="U1026" s="434" t="s">
        <v>552</v>
      </c>
      <c r="V1026" s="436" t="n">
        <f aca="false">AY1031</f>
        <v>0</v>
      </c>
    </row>
    <row r="1027" customFormat="false" ht="13.5" hidden="false" customHeight="false" outlineLevel="0" collapsed="false">
      <c r="A1027" s="440"/>
      <c r="B1027" s="424"/>
      <c r="C1027" s="424"/>
      <c r="D1027" s="424"/>
      <c r="E1027" s="424"/>
      <c r="F1027" s="424"/>
      <c r="G1027" s="424"/>
      <c r="H1027" s="424"/>
      <c r="I1027" s="424"/>
      <c r="J1027" s="424"/>
      <c r="K1027" s="424"/>
      <c r="L1027" s="424"/>
      <c r="M1027" s="424"/>
      <c r="N1027" s="424"/>
      <c r="O1027" s="424"/>
      <c r="P1027" s="424"/>
      <c r="Q1027" s="435" t="n">
        <v>47</v>
      </c>
      <c r="R1027" s="434" t="s">
        <v>553</v>
      </c>
      <c r="S1027" s="424"/>
      <c r="T1027" s="434" t="s">
        <v>554</v>
      </c>
      <c r="U1027" s="434" t="s">
        <v>555</v>
      </c>
      <c r="V1027" s="436" t="n">
        <f aca="false">AY1032</f>
        <v>0</v>
      </c>
    </row>
    <row r="1028" customFormat="false" ht="13.5" hidden="false" customHeight="false" outlineLevel="0" collapsed="false">
      <c r="A1028" s="424"/>
      <c r="B1028" s="424"/>
      <c r="C1028" s="424"/>
      <c r="D1028" s="424"/>
      <c r="E1028" s="424"/>
      <c r="F1028" s="424"/>
      <c r="G1028" s="424"/>
      <c r="H1028" s="424"/>
      <c r="I1028" s="424"/>
      <c r="J1028" s="424"/>
      <c r="K1028" s="424"/>
      <c r="L1028" s="424"/>
      <c r="M1028" s="424"/>
      <c r="N1028" s="424"/>
      <c r="O1028" s="424"/>
      <c r="P1028" s="424"/>
      <c r="Q1028" s="435" t="n">
        <v>48</v>
      </c>
      <c r="R1028" s="434" t="s">
        <v>556</v>
      </c>
      <c r="S1028" s="424"/>
      <c r="T1028" s="434" t="s">
        <v>557</v>
      </c>
      <c r="U1028" s="434" t="s">
        <v>558</v>
      </c>
      <c r="V1028" s="436" t="n">
        <f aca="false">AY1033</f>
        <v>0</v>
      </c>
    </row>
    <row r="1029" customFormat="false" ht="13.5" hidden="false" customHeight="false" outlineLevel="0" collapsed="false">
      <c r="A1029" s="424"/>
      <c r="B1029" s="424"/>
      <c r="C1029" s="424"/>
      <c r="D1029" s="424"/>
      <c r="E1029" s="424"/>
      <c r="F1029" s="424"/>
      <c r="G1029" s="424"/>
      <c r="H1029" s="424"/>
      <c r="I1029" s="424"/>
      <c r="J1029" s="424"/>
      <c r="K1029" s="424"/>
      <c r="L1029" s="424"/>
      <c r="M1029" s="424"/>
      <c r="N1029" s="424"/>
      <c r="O1029" s="424"/>
      <c r="P1029" s="424"/>
      <c r="Q1029" s="435" t="n">
        <v>49</v>
      </c>
      <c r="R1029" s="434" t="s">
        <v>559</v>
      </c>
      <c r="S1029" s="424"/>
      <c r="T1029" s="434" t="s">
        <v>560</v>
      </c>
      <c r="U1029" s="434" t="s">
        <v>561</v>
      </c>
      <c r="V1029" s="436" t="n">
        <f aca="false">AY1034</f>
        <v>0</v>
      </c>
    </row>
    <row r="1030" customFormat="false" ht="13.5" hidden="false" customHeight="false" outlineLevel="0" collapsed="false">
      <c r="A1030" s="424"/>
      <c r="B1030" s="424"/>
      <c r="C1030" s="424"/>
      <c r="D1030" s="424"/>
      <c r="E1030" s="424"/>
      <c r="F1030" s="424"/>
      <c r="G1030" s="424"/>
      <c r="H1030" s="424"/>
      <c r="I1030" s="424"/>
      <c r="J1030" s="424"/>
      <c r="K1030" s="424"/>
      <c r="L1030" s="424"/>
      <c r="M1030" s="424"/>
      <c r="N1030" s="424"/>
      <c r="O1030" s="424"/>
      <c r="P1030" s="424"/>
      <c r="Q1030" s="435" t="n">
        <v>50</v>
      </c>
      <c r="R1030" s="434" t="s">
        <v>562</v>
      </c>
      <c r="S1030" s="424"/>
      <c r="T1030" s="434" t="s">
        <v>563</v>
      </c>
      <c r="U1030" s="434" t="s">
        <v>564</v>
      </c>
      <c r="V1030" s="436" t="n">
        <f aca="false">AY1035</f>
        <v>0</v>
      </c>
    </row>
    <row r="1031" customFormat="false" ht="13.5" hidden="false" customHeight="false" outlineLevel="0" collapsed="false">
      <c r="A1031" s="424"/>
      <c r="B1031" s="424"/>
      <c r="C1031" s="424"/>
      <c r="D1031" s="424"/>
      <c r="E1031" s="424"/>
      <c r="F1031" s="424"/>
      <c r="G1031" s="424"/>
      <c r="H1031" s="424"/>
      <c r="I1031" s="424"/>
      <c r="J1031" s="424"/>
      <c r="K1031" s="424"/>
      <c r="L1031" s="424"/>
      <c r="M1031" s="424"/>
      <c r="N1031" s="424"/>
      <c r="O1031" s="424"/>
      <c r="P1031" s="424"/>
      <c r="Q1031" s="435" t="n">
        <v>51</v>
      </c>
      <c r="R1031" s="434" t="s">
        <v>565</v>
      </c>
      <c r="S1031" s="424"/>
      <c r="T1031" s="434" t="s">
        <v>566</v>
      </c>
      <c r="U1031" s="434" t="s">
        <v>567</v>
      </c>
      <c r="V1031" s="436" t="n">
        <f aca="false">AY1036</f>
        <v>0</v>
      </c>
    </row>
    <row r="1032" customFormat="false" ht="13.5" hidden="false" customHeight="false" outlineLevel="0" collapsed="false">
      <c r="A1032" s="424"/>
      <c r="B1032" s="424"/>
      <c r="C1032" s="424"/>
      <c r="D1032" s="424"/>
      <c r="E1032" s="424"/>
      <c r="F1032" s="424"/>
      <c r="G1032" s="424"/>
      <c r="H1032" s="424"/>
      <c r="I1032" s="424"/>
      <c r="J1032" s="424"/>
      <c r="K1032" s="424"/>
      <c r="L1032" s="424"/>
      <c r="M1032" s="424"/>
      <c r="N1032" s="424"/>
      <c r="O1032" s="424"/>
      <c r="P1032" s="424"/>
      <c r="Q1032" s="435" t="n">
        <v>52</v>
      </c>
      <c r="R1032" s="434" t="s">
        <v>568</v>
      </c>
      <c r="S1032" s="424"/>
      <c r="T1032" s="434" t="s">
        <v>569</v>
      </c>
      <c r="U1032" s="434" t="s">
        <v>570</v>
      </c>
      <c r="V1032" s="436" t="n">
        <f aca="false">AY1037</f>
        <v>0</v>
      </c>
    </row>
    <row r="1033" customFormat="false" ht="13.5" hidden="false" customHeight="false" outlineLevel="0" collapsed="false">
      <c r="A1033" s="424"/>
      <c r="B1033" s="424"/>
      <c r="C1033" s="424"/>
      <c r="D1033" s="424"/>
      <c r="E1033" s="424"/>
      <c r="F1033" s="424"/>
      <c r="G1033" s="424"/>
      <c r="H1033" s="424"/>
      <c r="I1033" s="424"/>
      <c r="J1033" s="424"/>
      <c r="K1033" s="424"/>
      <c r="L1033" s="424"/>
      <c r="M1033" s="424"/>
      <c r="N1033" s="424"/>
      <c r="O1033" s="424"/>
      <c r="P1033" s="424"/>
      <c r="Q1033" s="435" t="n">
        <v>53</v>
      </c>
      <c r="R1033" s="434" t="s">
        <v>571</v>
      </c>
      <c r="S1033" s="424"/>
      <c r="T1033" s="434" t="s">
        <v>572</v>
      </c>
      <c r="U1033" s="434" t="s">
        <v>573</v>
      </c>
      <c r="V1033" s="436" t="n">
        <f aca="false">AY1038</f>
        <v>0</v>
      </c>
    </row>
    <row r="1034" customFormat="false" ht="13.5" hidden="false" customHeight="false" outlineLevel="0" collapsed="false">
      <c r="A1034" s="424"/>
      <c r="B1034" s="424"/>
      <c r="C1034" s="424"/>
      <c r="D1034" s="424"/>
      <c r="E1034" s="424"/>
      <c r="F1034" s="424"/>
      <c r="G1034" s="424"/>
      <c r="H1034" s="424"/>
      <c r="I1034" s="424"/>
      <c r="J1034" s="424"/>
      <c r="K1034" s="424"/>
      <c r="L1034" s="424"/>
      <c r="M1034" s="424"/>
      <c r="N1034" s="424"/>
      <c r="O1034" s="424"/>
      <c r="P1034" s="424"/>
      <c r="Q1034" s="435" t="n">
        <v>54</v>
      </c>
      <c r="R1034" s="434" t="s">
        <v>574</v>
      </c>
      <c r="S1034" s="424"/>
      <c r="T1034" s="434" t="s">
        <v>575</v>
      </c>
      <c r="U1034" s="434" t="s">
        <v>576</v>
      </c>
      <c r="V1034" s="436" t="n">
        <f aca="false">AY1039</f>
        <v>0</v>
      </c>
    </row>
    <row r="1035" customFormat="false" ht="13.5" hidden="false" customHeight="false" outlineLevel="0" collapsed="false">
      <c r="A1035" s="424"/>
      <c r="B1035" s="424"/>
      <c r="C1035" s="424"/>
      <c r="D1035" s="424"/>
      <c r="E1035" s="424"/>
      <c r="F1035" s="424"/>
      <c r="G1035" s="424"/>
      <c r="H1035" s="424"/>
      <c r="I1035" s="424"/>
      <c r="J1035" s="424"/>
      <c r="K1035" s="424"/>
      <c r="L1035" s="424"/>
      <c r="M1035" s="424"/>
      <c r="N1035" s="424"/>
      <c r="O1035" s="424"/>
      <c r="P1035" s="424"/>
      <c r="Q1035" s="435" t="n">
        <v>55</v>
      </c>
      <c r="R1035" s="434" t="s">
        <v>577</v>
      </c>
      <c r="S1035" s="424"/>
      <c r="T1035" s="434" t="s">
        <v>578</v>
      </c>
      <c r="U1035" s="434" t="s">
        <v>579</v>
      </c>
      <c r="V1035" s="436" t="n">
        <f aca="false">AY1040</f>
        <v>0</v>
      </c>
    </row>
    <row r="1036" customFormat="false" ht="13.5" hidden="false" customHeight="false" outlineLevel="0" collapsed="false">
      <c r="A1036" s="424"/>
      <c r="B1036" s="424"/>
      <c r="C1036" s="424"/>
      <c r="D1036" s="424"/>
      <c r="E1036" s="424"/>
      <c r="F1036" s="424"/>
      <c r="G1036" s="424"/>
      <c r="H1036" s="424"/>
      <c r="I1036" s="424"/>
      <c r="J1036" s="424"/>
      <c r="K1036" s="424"/>
      <c r="L1036" s="424"/>
      <c r="M1036" s="424"/>
      <c r="N1036" s="424"/>
      <c r="O1036" s="424"/>
      <c r="P1036" s="424"/>
      <c r="Q1036" s="435" t="n">
        <v>56</v>
      </c>
      <c r="R1036" s="434" t="s">
        <v>580</v>
      </c>
      <c r="S1036" s="424"/>
      <c r="T1036" s="434" t="s">
        <v>581</v>
      </c>
      <c r="U1036" s="434" t="s">
        <v>582</v>
      </c>
      <c r="V1036" s="436" t="n">
        <f aca="false">AY1041</f>
        <v>0</v>
      </c>
    </row>
    <row r="1037" customFormat="false" ht="13.5" hidden="false" customHeight="false" outlineLevel="0" collapsed="false">
      <c r="A1037" s="424"/>
      <c r="B1037" s="424"/>
      <c r="C1037" s="424"/>
      <c r="D1037" s="424"/>
      <c r="E1037" s="424"/>
      <c r="F1037" s="424"/>
      <c r="G1037" s="424"/>
      <c r="H1037" s="424"/>
      <c r="I1037" s="424"/>
      <c r="J1037" s="424"/>
      <c r="K1037" s="424"/>
      <c r="L1037" s="424"/>
      <c r="M1037" s="424"/>
      <c r="N1037" s="424"/>
      <c r="O1037" s="424"/>
      <c r="P1037" s="424"/>
      <c r="Q1037" s="435" t="n">
        <v>57</v>
      </c>
      <c r="R1037" s="434" t="s">
        <v>583</v>
      </c>
      <c r="S1037" s="424"/>
      <c r="T1037" s="434" t="s">
        <v>584</v>
      </c>
      <c r="U1037" s="434" t="s">
        <v>585</v>
      </c>
      <c r="V1037" s="436" t="n">
        <f aca="false">AY1042</f>
        <v>0</v>
      </c>
    </row>
    <row r="1038" customFormat="false" ht="13.5" hidden="false" customHeight="false" outlineLevel="0" collapsed="false">
      <c r="A1038" s="424"/>
      <c r="B1038" s="424"/>
      <c r="C1038" s="424"/>
      <c r="D1038" s="424"/>
      <c r="E1038" s="424"/>
      <c r="F1038" s="424"/>
      <c r="G1038" s="424"/>
      <c r="H1038" s="424"/>
      <c r="I1038" s="424"/>
      <c r="J1038" s="424"/>
      <c r="K1038" s="424"/>
      <c r="L1038" s="424"/>
      <c r="M1038" s="424"/>
      <c r="N1038" s="424"/>
      <c r="O1038" s="424"/>
      <c r="P1038" s="424"/>
      <c r="Q1038" s="435" t="n">
        <v>58</v>
      </c>
      <c r="R1038" s="434" t="s">
        <v>586</v>
      </c>
      <c r="S1038" s="424"/>
      <c r="T1038" s="434" t="s">
        <v>587</v>
      </c>
      <c r="U1038" s="434" t="s">
        <v>588</v>
      </c>
      <c r="V1038" s="436" t="n">
        <f aca="false">AY1043</f>
        <v>0</v>
      </c>
    </row>
    <row r="1039" customFormat="false" ht="13.5" hidden="false" customHeight="false" outlineLevel="0" collapsed="false">
      <c r="A1039" s="424"/>
      <c r="B1039" s="424"/>
      <c r="C1039" s="424"/>
      <c r="D1039" s="424"/>
      <c r="E1039" s="424"/>
      <c r="F1039" s="424"/>
      <c r="G1039" s="424"/>
      <c r="H1039" s="424"/>
      <c r="I1039" s="424"/>
      <c r="J1039" s="424"/>
      <c r="K1039" s="424"/>
      <c r="L1039" s="424"/>
      <c r="M1039" s="424"/>
      <c r="N1039" s="424"/>
      <c r="O1039" s="424"/>
      <c r="P1039" s="424"/>
      <c r="Q1039" s="435" t="n">
        <v>59</v>
      </c>
      <c r="R1039" s="434" t="s">
        <v>589</v>
      </c>
      <c r="S1039" s="424"/>
      <c r="T1039" s="434" t="s">
        <v>590</v>
      </c>
      <c r="U1039" s="434" t="s">
        <v>591</v>
      </c>
      <c r="V1039" s="436" t="n">
        <f aca="false">AY1044</f>
        <v>0</v>
      </c>
    </row>
    <row r="1040" customFormat="false" ht="13.5" hidden="false" customHeight="false" outlineLevel="0" collapsed="false">
      <c r="A1040" s="424"/>
      <c r="B1040" s="424"/>
      <c r="C1040" s="424"/>
      <c r="D1040" s="424"/>
      <c r="E1040" s="424"/>
      <c r="F1040" s="424"/>
      <c r="G1040" s="424"/>
      <c r="H1040" s="424"/>
      <c r="I1040" s="424"/>
      <c r="J1040" s="424"/>
      <c r="K1040" s="424"/>
      <c r="L1040" s="424"/>
      <c r="M1040" s="424"/>
      <c r="N1040" s="424"/>
      <c r="O1040" s="424"/>
      <c r="P1040" s="424"/>
      <c r="Q1040" s="435" t="n">
        <v>60</v>
      </c>
      <c r="R1040" s="434" t="s">
        <v>592</v>
      </c>
      <c r="S1040" s="424"/>
      <c r="T1040" s="434" t="s">
        <v>593</v>
      </c>
      <c r="U1040" s="434" t="s">
        <v>594</v>
      </c>
      <c r="V1040" s="436" t="n">
        <f aca="false">AY1045</f>
        <v>0</v>
      </c>
    </row>
    <row r="1041" customFormat="false" ht="13.5" hidden="false" customHeight="false" outlineLevel="0" collapsed="false">
      <c r="A1041" s="424"/>
      <c r="B1041" s="424"/>
      <c r="C1041" s="424"/>
      <c r="D1041" s="424"/>
      <c r="E1041" s="424"/>
      <c r="F1041" s="424"/>
      <c r="G1041" s="424"/>
      <c r="H1041" s="424"/>
      <c r="I1041" s="424"/>
      <c r="J1041" s="424"/>
      <c r="K1041" s="424"/>
      <c r="L1041" s="424"/>
      <c r="M1041" s="424"/>
      <c r="N1041" s="424"/>
      <c r="O1041" s="424"/>
      <c r="P1041" s="424"/>
      <c r="Q1041" s="435" t="n">
        <v>61</v>
      </c>
      <c r="R1041" s="434" t="s">
        <v>595</v>
      </c>
      <c r="S1041" s="424"/>
      <c r="T1041" s="434" t="s">
        <v>596</v>
      </c>
      <c r="U1041" s="434" t="s">
        <v>597</v>
      </c>
      <c r="V1041" s="436" t="n">
        <f aca="false">AY1046</f>
        <v>0</v>
      </c>
    </row>
    <row r="1042" customFormat="false" ht="13.5" hidden="false" customHeight="false" outlineLevel="0" collapsed="false">
      <c r="A1042" s="424"/>
      <c r="B1042" s="424"/>
      <c r="C1042" s="424"/>
      <c r="D1042" s="424"/>
      <c r="E1042" s="424"/>
      <c r="F1042" s="424"/>
      <c r="G1042" s="424"/>
      <c r="H1042" s="424"/>
      <c r="I1042" s="424"/>
      <c r="J1042" s="424"/>
      <c r="K1042" s="424"/>
      <c r="L1042" s="424"/>
      <c r="M1042" s="424"/>
      <c r="N1042" s="424"/>
      <c r="O1042" s="424"/>
      <c r="P1042" s="424"/>
      <c r="Q1042" s="435" t="n">
        <v>62</v>
      </c>
      <c r="R1042" s="434" t="s">
        <v>598</v>
      </c>
      <c r="S1042" s="424"/>
      <c r="T1042" s="434" t="s">
        <v>599</v>
      </c>
      <c r="U1042" s="434" t="s">
        <v>600</v>
      </c>
      <c r="V1042" s="436" t="n">
        <f aca="false">AY1047</f>
        <v>0</v>
      </c>
    </row>
    <row r="1043" customFormat="false" ht="13.5" hidden="false" customHeight="false" outlineLevel="0" collapsed="false">
      <c r="A1043" s="424"/>
      <c r="B1043" s="424"/>
      <c r="C1043" s="424"/>
      <c r="D1043" s="424"/>
      <c r="E1043" s="424"/>
      <c r="F1043" s="424"/>
      <c r="G1043" s="424"/>
      <c r="H1043" s="424"/>
      <c r="I1043" s="424"/>
      <c r="J1043" s="424"/>
      <c r="K1043" s="424"/>
      <c r="L1043" s="424"/>
      <c r="M1043" s="424"/>
      <c r="N1043" s="424"/>
      <c r="O1043" s="424"/>
      <c r="P1043" s="424"/>
      <c r="Q1043" s="435" t="n">
        <v>63</v>
      </c>
      <c r="R1043" s="434" t="s">
        <v>601</v>
      </c>
      <c r="S1043" s="424"/>
      <c r="T1043" s="434" t="s">
        <v>602</v>
      </c>
      <c r="U1043" s="434" t="s">
        <v>603</v>
      </c>
      <c r="V1043" s="436" t="n">
        <f aca="false">AY1048</f>
        <v>0</v>
      </c>
    </row>
    <row r="1044" customFormat="false" ht="13.5" hidden="false" customHeight="false" outlineLevel="0" collapsed="false">
      <c r="A1044" s="424"/>
      <c r="B1044" s="424"/>
      <c r="C1044" s="424"/>
      <c r="D1044" s="424"/>
      <c r="E1044" s="424"/>
      <c r="F1044" s="424"/>
      <c r="G1044" s="424"/>
      <c r="H1044" s="424"/>
      <c r="I1044" s="424"/>
      <c r="J1044" s="424"/>
      <c r="K1044" s="424"/>
      <c r="L1044" s="424"/>
      <c r="M1044" s="424"/>
      <c r="N1044" s="424"/>
      <c r="O1044" s="424"/>
      <c r="P1044" s="424"/>
      <c r="Q1044" s="435" t="n">
        <v>64</v>
      </c>
      <c r="R1044" s="434" t="s">
        <v>604</v>
      </c>
      <c r="S1044" s="424"/>
      <c r="T1044" s="434" t="s">
        <v>605</v>
      </c>
      <c r="U1044" s="434" t="s">
        <v>606</v>
      </c>
      <c r="V1044" s="436" t="n">
        <f aca="false">AY1049</f>
        <v>0</v>
      </c>
    </row>
    <row r="1045" customFormat="false" ht="13.5" hidden="false" customHeight="false" outlineLevel="0" collapsed="false">
      <c r="A1045" s="424"/>
      <c r="B1045" s="424"/>
      <c r="C1045" s="424"/>
      <c r="D1045" s="424"/>
      <c r="E1045" s="424"/>
      <c r="F1045" s="424"/>
      <c r="G1045" s="424"/>
      <c r="H1045" s="424"/>
      <c r="I1045" s="424"/>
      <c r="J1045" s="424"/>
      <c r="K1045" s="424"/>
      <c r="L1045" s="424"/>
      <c r="M1045" s="424"/>
      <c r="N1045" s="424"/>
      <c r="O1045" s="424"/>
      <c r="P1045" s="424"/>
      <c r="Q1045" s="435" t="n">
        <v>65</v>
      </c>
      <c r="R1045" s="434" t="s">
        <v>607</v>
      </c>
      <c r="S1045" s="424"/>
      <c r="T1045" s="434" t="s">
        <v>608</v>
      </c>
      <c r="U1045" s="434" t="s">
        <v>609</v>
      </c>
      <c r="V1045" s="436" t="n">
        <f aca="false">AY1050</f>
        <v>0</v>
      </c>
    </row>
    <row r="1046" customFormat="false" ht="13.5" hidden="false" customHeight="false" outlineLevel="0" collapsed="false">
      <c r="A1046" s="424"/>
      <c r="B1046" s="424"/>
      <c r="C1046" s="424"/>
      <c r="D1046" s="424"/>
      <c r="E1046" s="424"/>
      <c r="F1046" s="424"/>
      <c r="G1046" s="424"/>
      <c r="H1046" s="424"/>
      <c r="I1046" s="424"/>
      <c r="J1046" s="424"/>
      <c r="K1046" s="424"/>
      <c r="L1046" s="424"/>
      <c r="M1046" s="424"/>
      <c r="N1046" s="424"/>
      <c r="O1046" s="424"/>
      <c r="P1046" s="424"/>
      <c r="Q1046" s="435" t="n">
        <v>66</v>
      </c>
      <c r="R1046" s="434" t="s">
        <v>610</v>
      </c>
      <c r="S1046" s="424"/>
      <c r="T1046" s="434" t="s">
        <v>611</v>
      </c>
      <c r="U1046" s="434" t="s">
        <v>612</v>
      </c>
      <c r="V1046" s="436" t="n">
        <f aca="false">AY1051</f>
        <v>0</v>
      </c>
    </row>
    <row r="1047" customFormat="false" ht="13.5" hidden="false" customHeight="false" outlineLevel="0" collapsed="false">
      <c r="A1047" s="424"/>
      <c r="B1047" s="424"/>
      <c r="C1047" s="424"/>
      <c r="D1047" s="424"/>
      <c r="E1047" s="424"/>
      <c r="F1047" s="424"/>
      <c r="G1047" s="424"/>
      <c r="H1047" s="424"/>
      <c r="I1047" s="424"/>
      <c r="J1047" s="424"/>
      <c r="K1047" s="424"/>
      <c r="L1047" s="424"/>
      <c r="M1047" s="424"/>
      <c r="N1047" s="424"/>
      <c r="O1047" s="424"/>
      <c r="P1047" s="424"/>
      <c r="Q1047" s="435" t="n">
        <v>67</v>
      </c>
      <c r="R1047" s="434" t="s">
        <v>613</v>
      </c>
      <c r="S1047" s="424"/>
      <c r="T1047" s="434" t="s">
        <v>614</v>
      </c>
      <c r="U1047" s="434" t="s">
        <v>615</v>
      </c>
      <c r="V1047" s="436" t="n">
        <f aca="false">AY1052</f>
        <v>0</v>
      </c>
    </row>
    <row r="1048" customFormat="false" ht="13.5" hidden="false" customHeight="false" outlineLevel="0" collapsed="false">
      <c r="A1048" s="424"/>
      <c r="B1048" s="424"/>
      <c r="C1048" s="424"/>
      <c r="D1048" s="424"/>
      <c r="E1048" s="424"/>
      <c r="F1048" s="424"/>
      <c r="G1048" s="424"/>
      <c r="H1048" s="424"/>
      <c r="I1048" s="424"/>
      <c r="J1048" s="424"/>
      <c r="K1048" s="424"/>
      <c r="L1048" s="424"/>
      <c r="M1048" s="424"/>
      <c r="N1048" s="424"/>
      <c r="O1048" s="424"/>
      <c r="P1048" s="424"/>
      <c r="Q1048" s="435" t="n">
        <v>68</v>
      </c>
      <c r="R1048" s="434" t="s">
        <v>616</v>
      </c>
      <c r="S1048" s="424"/>
      <c r="T1048" s="434" t="s">
        <v>617</v>
      </c>
      <c r="U1048" s="434" t="s">
        <v>618</v>
      </c>
      <c r="V1048" s="436" t="n">
        <f aca="false">AY1053</f>
        <v>0</v>
      </c>
    </row>
    <row r="1049" customFormat="false" ht="13.5" hidden="false" customHeight="false" outlineLevel="0" collapsed="false">
      <c r="A1049" s="424"/>
      <c r="B1049" s="424"/>
      <c r="C1049" s="424"/>
      <c r="D1049" s="424"/>
      <c r="E1049" s="424"/>
      <c r="F1049" s="424"/>
      <c r="G1049" s="424"/>
      <c r="H1049" s="424"/>
      <c r="I1049" s="424"/>
      <c r="J1049" s="424"/>
      <c r="K1049" s="424"/>
      <c r="L1049" s="424"/>
      <c r="M1049" s="424"/>
      <c r="N1049" s="424"/>
      <c r="O1049" s="424"/>
      <c r="P1049" s="424"/>
      <c r="Q1049" s="435" t="n">
        <v>69</v>
      </c>
      <c r="R1049" s="434" t="s">
        <v>619</v>
      </c>
      <c r="S1049" s="424"/>
      <c r="T1049" s="434" t="s">
        <v>620</v>
      </c>
      <c r="U1049" s="434" t="s">
        <v>621</v>
      </c>
      <c r="V1049" s="436" t="n">
        <f aca="false">AY1054</f>
        <v>0</v>
      </c>
    </row>
    <row r="1050" customFormat="false" ht="13.5" hidden="false" customHeight="false" outlineLevel="0" collapsed="false">
      <c r="A1050" s="424"/>
      <c r="B1050" s="424"/>
      <c r="C1050" s="424"/>
      <c r="D1050" s="424"/>
      <c r="E1050" s="424"/>
      <c r="F1050" s="424"/>
      <c r="G1050" s="424"/>
      <c r="H1050" s="424"/>
      <c r="I1050" s="424"/>
      <c r="J1050" s="424"/>
      <c r="K1050" s="424"/>
      <c r="L1050" s="424"/>
      <c r="M1050" s="424"/>
      <c r="N1050" s="424"/>
      <c r="O1050" s="424"/>
      <c r="P1050" s="424"/>
      <c r="Q1050" s="435" t="n">
        <v>70</v>
      </c>
      <c r="R1050" s="434" t="s">
        <v>622</v>
      </c>
      <c r="S1050" s="424"/>
      <c r="T1050" s="434" t="s">
        <v>623</v>
      </c>
      <c r="U1050" s="434" t="s">
        <v>624</v>
      </c>
      <c r="V1050" s="436" t="n">
        <f aca="false">AY1055</f>
        <v>0</v>
      </c>
    </row>
    <row r="1051" customFormat="false" ht="13.5" hidden="false" customHeight="false" outlineLevel="0" collapsed="false">
      <c r="A1051" s="424"/>
      <c r="B1051" s="424"/>
      <c r="C1051" s="424"/>
      <c r="D1051" s="424"/>
      <c r="E1051" s="424"/>
      <c r="F1051" s="424"/>
      <c r="G1051" s="424"/>
      <c r="H1051" s="424"/>
      <c r="I1051" s="424"/>
      <c r="J1051" s="424"/>
      <c r="K1051" s="424"/>
      <c r="L1051" s="424"/>
      <c r="M1051" s="424"/>
      <c r="N1051" s="424"/>
      <c r="O1051" s="424"/>
      <c r="P1051" s="424"/>
      <c r="Q1051" s="435" t="n">
        <v>71</v>
      </c>
      <c r="R1051" s="434" t="s">
        <v>625</v>
      </c>
      <c r="S1051" s="424"/>
      <c r="T1051" s="434" t="s">
        <v>626</v>
      </c>
      <c r="U1051" s="434" t="s">
        <v>627</v>
      </c>
      <c r="V1051" s="436" t="n">
        <f aca="false">AY1056</f>
        <v>0</v>
      </c>
    </row>
    <row r="1052" customFormat="false" ht="13.5" hidden="false" customHeight="false" outlineLevel="0" collapsed="false">
      <c r="A1052" s="424"/>
      <c r="B1052" s="424"/>
      <c r="C1052" s="424"/>
      <c r="D1052" s="424"/>
      <c r="E1052" s="424"/>
      <c r="F1052" s="424"/>
      <c r="G1052" s="424"/>
      <c r="H1052" s="424"/>
      <c r="I1052" s="424"/>
      <c r="J1052" s="424"/>
      <c r="K1052" s="424"/>
      <c r="L1052" s="424"/>
      <c r="M1052" s="424"/>
      <c r="N1052" s="424"/>
      <c r="O1052" s="424"/>
      <c r="P1052" s="424"/>
      <c r="Q1052" s="435" t="n">
        <v>72</v>
      </c>
      <c r="R1052" s="434" t="s">
        <v>628</v>
      </c>
      <c r="S1052" s="424"/>
      <c r="T1052" s="434" t="s">
        <v>629</v>
      </c>
      <c r="U1052" s="434" t="s">
        <v>630</v>
      </c>
      <c r="V1052" s="436" t="n">
        <f aca="false">AY1057</f>
        <v>0</v>
      </c>
    </row>
    <row r="1053" customFormat="false" ht="13.5" hidden="false" customHeight="false" outlineLevel="0" collapsed="false">
      <c r="A1053" s="424"/>
      <c r="B1053" s="424"/>
      <c r="C1053" s="424"/>
      <c r="D1053" s="424"/>
      <c r="E1053" s="424"/>
      <c r="F1053" s="424"/>
      <c r="G1053" s="424"/>
      <c r="H1053" s="424"/>
      <c r="I1053" s="424"/>
      <c r="J1053" s="424"/>
      <c r="K1053" s="424"/>
      <c r="L1053" s="424"/>
      <c r="M1053" s="424"/>
      <c r="N1053" s="424"/>
      <c r="O1053" s="424"/>
      <c r="P1053" s="424"/>
      <c r="Q1053" s="435" t="n">
        <v>73</v>
      </c>
      <c r="R1053" s="434" t="s">
        <v>631</v>
      </c>
      <c r="S1053" s="424"/>
      <c r="T1053" s="434" t="s">
        <v>632</v>
      </c>
      <c r="U1053" s="434" t="s">
        <v>633</v>
      </c>
      <c r="V1053" s="436" t="n">
        <f aca="false">AY1058</f>
        <v>0</v>
      </c>
    </row>
    <row r="1054" customFormat="false" ht="13.5" hidden="false" customHeight="false" outlineLevel="0" collapsed="false">
      <c r="A1054" s="424"/>
      <c r="B1054" s="424"/>
      <c r="C1054" s="424"/>
      <c r="D1054" s="424"/>
      <c r="E1054" s="424"/>
      <c r="F1054" s="424"/>
      <c r="G1054" s="424"/>
      <c r="H1054" s="424"/>
      <c r="I1054" s="424"/>
      <c r="J1054" s="424"/>
      <c r="K1054" s="424"/>
      <c r="L1054" s="424"/>
      <c r="M1054" s="424"/>
      <c r="N1054" s="424"/>
      <c r="O1054" s="424"/>
      <c r="P1054" s="424"/>
      <c r="Q1054" s="435" t="n">
        <v>74</v>
      </c>
      <c r="R1054" s="434" t="s">
        <v>634</v>
      </c>
      <c r="S1054" s="424"/>
      <c r="T1054" s="434" t="s">
        <v>635</v>
      </c>
      <c r="U1054" s="434" t="s">
        <v>636</v>
      </c>
      <c r="V1054" s="436" t="n">
        <f aca="false">AY1059</f>
        <v>0</v>
      </c>
    </row>
    <row r="1055" customFormat="false" ht="13.5" hidden="false" customHeight="false" outlineLevel="0" collapsed="false">
      <c r="A1055" s="424"/>
      <c r="B1055" s="424"/>
      <c r="C1055" s="424"/>
      <c r="D1055" s="424"/>
      <c r="E1055" s="424"/>
      <c r="F1055" s="424"/>
      <c r="G1055" s="424"/>
      <c r="H1055" s="424"/>
      <c r="I1055" s="424"/>
      <c r="J1055" s="424"/>
      <c r="K1055" s="424"/>
      <c r="L1055" s="424"/>
      <c r="M1055" s="424"/>
      <c r="N1055" s="424"/>
      <c r="O1055" s="424"/>
      <c r="P1055" s="424"/>
      <c r="Q1055" s="435" t="n">
        <v>75</v>
      </c>
      <c r="R1055" s="434" t="s">
        <v>637</v>
      </c>
      <c r="S1055" s="424"/>
      <c r="T1055" s="434" t="s">
        <v>638</v>
      </c>
      <c r="U1055" s="434" t="s">
        <v>639</v>
      </c>
      <c r="V1055" s="436" t="n">
        <f aca="false">AY1060</f>
        <v>0</v>
      </c>
    </row>
    <row r="1056" customFormat="false" ht="13.5" hidden="false" customHeight="false" outlineLevel="0" collapsed="false">
      <c r="A1056" s="424"/>
      <c r="B1056" s="424"/>
      <c r="C1056" s="424"/>
      <c r="D1056" s="424"/>
      <c r="E1056" s="424"/>
      <c r="F1056" s="424"/>
      <c r="G1056" s="424"/>
      <c r="H1056" s="424"/>
      <c r="I1056" s="424"/>
      <c r="J1056" s="424"/>
      <c r="K1056" s="424"/>
      <c r="L1056" s="424"/>
      <c r="M1056" s="424"/>
      <c r="N1056" s="424"/>
      <c r="O1056" s="424"/>
      <c r="P1056" s="424"/>
      <c r="Q1056" s="435" t="n">
        <v>76</v>
      </c>
      <c r="R1056" s="434" t="s">
        <v>640</v>
      </c>
      <c r="S1056" s="424"/>
      <c r="T1056" s="434" t="s">
        <v>641</v>
      </c>
      <c r="U1056" s="434" t="s">
        <v>642</v>
      </c>
      <c r="V1056" s="436" t="n">
        <f aca="false">AY1061</f>
        <v>0</v>
      </c>
    </row>
    <row r="1057" customFormat="false" ht="13.5" hidden="false" customHeight="false" outlineLevel="0" collapsed="false">
      <c r="A1057" s="424"/>
      <c r="B1057" s="424"/>
      <c r="C1057" s="424"/>
      <c r="D1057" s="424"/>
      <c r="E1057" s="424"/>
      <c r="F1057" s="424"/>
      <c r="G1057" s="424"/>
      <c r="H1057" s="424"/>
      <c r="I1057" s="424"/>
      <c r="J1057" s="424"/>
      <c r="K1057" s="424"/>
      <c r="L1057" s="424"/>
      <c r="M1057" s="424"/>
      <c r="N1057" s="424"/>
      <c r="O1057" s="424"/>
      <c r="P1057" s="424"/>
      <c r="Q1057" s="435" t="n">
        <v>77</v>
      </c>
      <c r="R1057" s="434" t="s">
        <v>643</v>
      </c>
      <c r="S1057" s="424"/>
      <c r="T1057" s="434" t="s">
        <v>644</v>
      </c>
      <c r="U1057" s="434" t="s">
        <v>645</v>
      </c>
      <c r="V1057" s="436" t="n">
        <f aca="false">AY1062</f>
        <v>0</v>
      </c>
    </row>
    <row r="1058" customFormat="false" ht="13.5" hidden="false" customHeight="false" outlineLevel="0" collapsed="false">
      <c r="A1058" s="424"/>
      <c r="B1058" s="424"/>
      <c r="C1058" s="424"/>
      <c r="D1058" s="424"/>
      <c r="E1058" s="424"/>
      <c r="F1058" s="424"/>
      <c r="G1058" s="424"/>
      <c r="H1058" s="424"/>
      <c r="I1058" s="424"/>
      <c r="J1058" s="424"/>
      <c r="K1058" s="424"/>
      <c r="L1058" s="424"/>
      <c r="M1058" s="424"/>
      <c r="N1058" s="424"/>
      <c r="O1058" s="424"/>
      <c r="P1058" s="424"/>
      <c r="Q1058" s="435" t="n">
        <v>78</v>
      </c>
      <c r="R1058" s="434" t="s">
        <v>646</v>
      </c>
      <c r="S1058" s="424"/>
      <c r="T1058" s="434" t="s">
        <v>647</v>
      </c>
      <c r="U1058" s="434" t="s">
        <v>648</v>
      </c>
      <c r="V1058" s="436" t="n">
        <f aca="false">AY1063</f>
        <v>0</v>
      </c>
    </row>
    <row r="1059" customFormat="false" ht="13.5" hidden="false" customHeight="false" outlineLevel="0" collapsed="false">
      <c r="A1059" s="424"/>
      <c r="B1059" s="424"/>
      <c r="C1059" s="424"/>
      <c r="D1059" s="424"/>
      <c r="E1059" s="424"/>
      <c r="F1059" s="424"/>
      <c r="G1059" s="424"/>
      <c r="H1059" s="424"/>
      <c r="I1059" s="424"/>
      <c r="J1059" s="424"/>
      <c r="K1059" s="424"/>
      <c r="L1059" s="424"/>
      <c r="M1059" s="424"/>
      <c r="N1059" s="424"/>
      <c r="O1059" s="424"/>
      <c r="P1059" s="424"/>
      <c r="Q1059" s="435" t="n">
        <v>79</v>
      </c>
      <c r="R1059" s="434" t="s">
        <v>649</v>
      </c>
      <c r="S1059" s="424"/>
      <c r="T1059" s="434" t="s">
        <v>650</v>
      </c>
      <c r="U1059" s="434" t="s">
        <v>651</v>
      </c>
      <c r="V1059" s="436" t="n">
        <f aca="false">AY1064</f>
        <v>0</v>
      </c>
    </row>
    <row r="1060" customFormat="false" ht="13.5" hidden="false" customHeight="false" outlineLevel="0" collapsed="false">
      <c r="A1060" s="424"/>
      <c r="B1060" s="424"/>
      <c r="C1060" s="424"/>
      <c r="D1060" s="424"/>
      <c r="E1060" s="424"/>
      <c r="F1060" s="424"/>
      <c r="G1060" s="424"/>
      <c r="H1060" s="424"/>
      <c r="I1060" s="424"/>
      <c r="J1060" s="424"/>
      <c r="K1060" s="424"/>
      <c r="L1060" s="424"/>
      <c r="M1060" s="424"/>
      <c r="N1060" s="424"/>
      <c r="O1060" s="424"/>
      <c r="P1060" s="424"/>
      <c r="Q1060" s="435" t="n">
        <v>80</v>
      </c>
      <c r="R1060" s="434" t="s">
        <v>652</v>
      </c>
      <c r="S1060" s="424"/>
      <c r="T1060" s="434" t="s">
        <v>653</v>
      </c>
      <c r="U1060" s="434" t="s">
        <v>654</v>
      </c>
      <c r="V1060" s="436" t="n">
        <f aca="false">AY1065</f>
        <v>0</v>
      </c>
    </row>
    <row r="1061" customFormat="false" ht="13.5" hidden="false" customHeight="false" outlineLevel="0" collapsed="false">
      <c r="A1061" s="424"/>
      <c r="B1061" s="424"/>
      <c r="C1061" s="424"/>
      <c r="D1061" s="424"/>
      <c r="E1061" s="424"/>
      <c r="F1061" s="424"/>
      <c r="G1061" s="424"/>
      <c r="H1061" s="424"/>
      <c r="I1061" s="424"/>
      <c r="J1061" s="424"/>
      <c r="K1061" s="424"/>
      <c r="L1061" s="424"/>
      <c r="M1061" s="424"/>
      <c r="N1061" s="424"/>
      <c r="O1061" s="424"/>
      <c r="P1061" s="424"/>
      <c r="Q1061" s="435" t="n">
        <v>81</v>
      </c>
      <c r="R1061" s="434" t="s">
        <v>655</v>
      </c>
      <c r="S1061" s="424"/>
      <c r="T1061" s="434" t="s">
        <v>656</v>
      </c>
      <c r="U1061" s="434" t="s">
        <v>657</v>
      </c>
      <c r="V1061" s="436" t="n">
        <f aca="false">AY1066</f>
        <v>0</v>
      </c>
    </row>
    <row r="1062" customFormat="false" ht="13.5" hidden="false" customHeight="false" outlineLevel="0" collapsed="false">
      <c r="A1062" s="424"/>
      <c r="B1062" s="424"/>
      <c r="C1062" s="424"/>
      <c r="D1062" s="424"/>
      <c r="E1062" s="424"/>
      <c r="F1062" s="424"/>
      <c r="G1062" s="424"/>
      <c r="H1062" s="424"/>
      <c r="I1062" s="424"/>
      <c r="J1062" s="424"/>
      <c r="K1062" s="424"/>
      <c r="L1062" s="424"/>
      <c r="M1062" s="424"/>
      <c r="N1062" s="424"/>
      <c r="O1062" s="424"/>
      <c r="P1062" s="424"/>
      <c r="Q1062" s="435" t="n">
        <v>82</v>
      </c>
      <c r="R1062" s="434" t="s">
        <v>658</v>
      </c>
      <c r="S1062" s="424"/>
      <c r="T1062" s="434" t="s">
        <v>659</v>
      </c>
      <c r="U1062" s="434" t="s">
        <v>660</v>
      </c>
      <c r="V1062" s="436" t="n">
        <f aca="false">AY1067</f>
        <v>0</v>
      </c>
    </row>
    <row r="1063" customFormat="false" ht="13.5" hidden="false" customHeight="false" outlineLevel="0" collapsed="false">
      <c r="A1063" s="424"/>
      <c r="B1063" s="424"/>
      <c r="C1063" s="424"/>
      <c r="D1063" s="424"/>
      <c r="E1063" s="424"/>
      <c r="F1063" s="424"/>
      <c r="G1063" s="424"/>
      <c r="H1063" s="424"/>
      <c r="I1063" s="424"/>
      <c r="J1063" s="424"/>
      <c r="K1063" s="424"/>
      <c r="L1063" s="424"/>
      <c r="M1063" s="424"/>
      <c r="N1063" s="424"/>
      <c r="O1063" s="424"/>
      <c r="P1063" s="424"/>
      <c r="Q1063" s="435" t="n">
        <v>83</v>
      </c>
      <c r="R1063" s="434" t="s">
        <v>661</v>
      </c>
      <c r="S1063" s="424"/>
      <c r="T1063" s="434" t="s">
        <v>662</v>
      </c>
      <c r="U1063" s="434" t="s">
        <v>663</v>
      </c>
      <c r="V1063" s="436" t="n">
        <f aca="false">AY1068</f>
        <v>0</v>
      </c>
    </row>
    <row r="1064" customFormat="false" ht="13.5" hidden="false" customHeight="false" outlineLevel="0" collapsed="false">
      <c r="A1064" s="424"/>
      <c r="B1064" s="424"/>
      <c r="C1064" s="424"/>
      <c r="D1064" s="424"/>
      <c r="E1064" s="424"/>
      <c r="F1064" s="424"/>
      <c r="G1064" s="424"/>
      <c r="H1064" s="424"/>
      <c r="I1064" s="424"/>
      <c r="J1064" s="424"/>
      <c r="K1064" s="424"/>
      <c r="L1064" s="424"/>
      <c r="M1064" s="424"/>
      <c r="N1064" s="424"/>
      <c r="O1064" s="424"/>
      <c r="P1064" s="424"/>
      <c r="Q1064" s="435" t="n">
        <v>84</v>
      </c>
      <c r="R1064" s="434" t="s">
        <v>664</v>
      </c>
      <c r="S1064" s="424"/>
      <c r="T1064" s="434" t="s">
        <v>665</v>
      </c>
      <c r="U1064" s="434" t="s">
        <v>666</v>
      </c>
      <c r="V1064" s="436" t="n">
        <f aca="false">AY1069</f>
        <v>0</v>
      </c>
    </row>
    <row r="1065" customFormat="false" ht="13.5" hidden="false" customHeight="false" outlineLevel="0" collapsed="false">
      <c r="A1065" s="424"/>
      <c r="B1065" s="424"/>
      <c r="C1065" s="424"/>
      <c r="D1065" s="424"/>
      <c r="E1065" s="424"/>
      <c r="F1065" s="424"/>
      <c r="G1065" s="424"/>
      <c r="H1065" s="424"/>
      <c r="I1065" s="424"/>
      <c r="J1065" s="424"/>
      <c r="K1065" s="424"/>
      <c r="L1065" s="424"/>
      <c r="M1065" s="424"/>
      <c r="N1065" s="424"/>
      <c r="O1065" s="424"/>
      <c r="P1065" s="424"/>
      <c r="Q1065" s="435" t="n">
        <v>85</v>
      </c>
      <c r="R1065" s="434" t="s">
        <v>667</v>
      </c>
      <c r="S1065" s="424"/>
      <c r="T1065" s="434" t="s">
        <v>668</v>
      </c>
      <c r="U1065" s="434" t="s">
        <v>669</v>
      </c>
      <c r="V1065" s="436" t="n">
        <f aca="false">AY1070</f>
        <v>0</v>
      </c>
    </row>
    <row r="1066" customFormat="false" ht="13.5" hidden="false" customHeight="false" outlineLevel="0" collapsed="false">
      <c r="A1066" s="424"/>
      <c r="B1066" s="424"/>
      <c r="C1066" s="424"/>
      <c r="D1066" s="424"/>
      <c r="E1066" s="424"/>
      <c r="F1066" s="424"/>
      <c r="G1066" s="424"/>
      <c r="H1066" s="424"/>
      <c r="I1066" s="424"/>
      <c r="J1066" s="424"/>
      <c r="K1066" s="424"/>
      <c r="L1066" s="424"/>
      <c r="M1066" s="424"/>
      <c r="N1066" s="424"/>
      <c r="O1066" s="424"/>
      <c r="P1066" s="424"/>
      <c r="Q1066" s="435" t="n">
        <v>86</v>
      </c>
      <c r="R1066" s="434" t="s">
        <v>670</v>
      </c>
      <c r="S1066" s="424"/>
      <c r="T1066" s="434" t="s">
        <v>671</v>
      </c>
      <c r="U1066" s="434" t="s">
        <v>672</v>
      </c>
      <c r="V1066" s="436" t="n">
        <f aca="false">AY1071</f>
        <v>0</v>
      </c>
    </row>
    <row r="1067" customFormat="false" ht="13.5" hidden="false" customHeight="false" outlineLevel="0" collapsed="false">
      <c r="A1067" s="424"/>
      <c r="B1067" s="424"/>
      <c r="C1067" s="424"/>
      <c r="D1067" s="424"/>
      <c r="E1067" s="424"/>
      <c r="F1067" s="424"/>
      <c r="G1067" s="424"/>
      <c r="H1067" s="424"/>
      <c r="I1067" s="424"/>
      <c r="J1067" s="424"/>
      <c r="K1067" s="424"/>
      <c r="L1067" s="424"/>
      <c r="M1067" s="424"/>
      <c r="N1067" s="424"/>
      <c r="O1067" s="424"/>
      <c r="P1067" s="424"/>
      <c r="Q1067" s="435" t="n">
        <v>87</v>
      </c>
      <c r="R1067" s="434" t="s">
        <v>673</v>
      </c>
      <c r="S1067" s="424"/>
      <c r="T1067" s="434" t="s">
        <v>674</v>
      </c>
      <c r="U1067" s="434" t="s">
        <v>675</v>
      </c>
      <c r="V1067" s="436" t="n">
        <f aca="false">AY1072</f>
        <v>0</v>
      </c>
    </row>
    <row r="1068" customFormat="false" ht="13.5" hidden="false" customHeight="false" outlineLevel="0" collapsed="false">
      <c r="A1068" s="424"/>
      <c r="B1068" s="424"/>
      <c r="C1068" s="424"/>
      <c r="D1068" s="424"/>
      <c r="E1068" s="424"/>
      <c r="F1068" s="424"/>
      <c r="G1068" s="424"/>
      <c r="H1068" s="424"/>
      <c r="I1068" s="424"/>
      <c r="J1068" s="424"/>
      <c r="K1068" s="424"/>
      <c r="L1068" s="424"/>
      <c r="M1068" s="424"/>
      <c r="N1068" s="424"/>
      <c r="O1068" s="424"/>
      <c r="P1068" s="424"/>
      <c r="Q1068" s="435" t="n">
        <v>88</v>
      </c>
      <c r="R1068" s="434" t="s">
        <v>676</v>
      </c>
      <c r="S1068" s="424"/>
      <c r="T1068" s="434" t="s">
        <v>677</v>
      </c>
      <c r="U1068" s="434" t="s">
        <v>678</v>
      </c>
      <c r="V1068" s="436" t="n">
        <f aca="false">AY1073</f>
        <v>0</v>
      </c>
    </row>
    <row r="1069" customFormat="false" ht="13.5" hidden="false" customHeight="false" outlineLevel="0" collapsed="false">
      <c r="A1069" s="424"/>
      <c r="B1069" s="424"/>
      <c r="C1069" s="424"/>
      <c r="D1069" s="424"/>
      <c r="E1069" s="424"/>
      <c r="F1069" s="424"/>
      <c r="G1069" s="424"/>
      <c r="H1069" s="424"/>
      <c r="I1069" s="424"/>
      <c r="J1069" s="424"/>
      <c r="K1069" s="424"/>
      <c r="L1069" s="424"/>
      <c r="M1069" s="424"/>
      <c r="N1069" s="424"/>
      <c r="O1069" s="424"/>
      <c r="P1069" s="424"/>
      <c r="Q1069" s="435" t="n">
        <v>89</v>
      </c>
      <c r="R1069" s="434" t="s">
        <v>679</v>
      </c>
      <c r="S1069" s="424"/>
      <c r="T1069" s="434" t="s">
        <v>680</v>
      </c>
      <c r="U1069" s="434" t="s">
        <v>681</v>
      </c>
      <c r="V1069" s="436" t="n">
        <f aca="false">AY1074</f>
        <v>0</v>
      </c>
    </row>
    <row r="1070" customFormat="false" ht="13.5" hidden="false" customHeight="false" outlineLevel="0" collapsed="false">
      <c r="A1070" s="424"/>
      <c r="B1070" s="424"/>
      <c r="C1070" s="424"/>
      <c r="D1070" s="424"/>
      <c r="E1070" s="424"/>
      <c r="F1070" s="424"/>
      <c r="G1070" s="424"/>
      <c r="H1070" s="424"/>
      <c r="I1070" s="424"/>
      <c r="J1070" s="424"/>
      <c r="K1070" s="424"/>
      <c r="L1070" s="424"/>
      <c r="M1070" s="424"/>
      <c r="N1070" s="424"/>
      <c r="O1070" s="424"/>
      <c r="P1070" s="424"/>
      <c r="Q1070" s="435" t="n">
        <v>90</v>
      </c>
      <c r="R1070" s="434" t="s">
        <v>682</v>
      </c>
      <c r="S1070" s="424"/>
      <c r="T1070" s="434" t="s">
        <v>683</v>
      </c>
      <c r="U1070" s="434" t="s">
        <v>684</v>
      </c>
      <c r="V1070" s="436" t="n">
        <f aca="false">AY1075</f>
        <v>0</v>
      </c>
    </row>
    <row r="1071" customFormat="false" ht="13.5" hidden="false" customHeight="false" outlineLevel="0" collapsed="false">
      <c r="A1071" s="424"/>
      <c r="B1071" s="424"/>
      <c r="C1071" s="424"/>
      <c r="D1071" s="424"/>
      <c r="E1071" s="424"/>
      <c r="F1071" s="424"/>
      <c r="G1071" s="424"/>
      <c r="H1071" s="424"/>
      <c r="I1071" s="424"/>
      <c r="J1071" s="424"/>
      <c r="K1071" s="424"/>
      <c r="L1071" s="424"/>
      <c r="M1071" s="424"/>
      <c r="N1071" s="424"/>
      <c r="O1071" s="424"/>
      <c r="P1071" s="424"/>
      <c r="Q1071" s="435" t="n">
        <v>91</v>
      </c>
      <c r="R1071" s="434" t="s">
        <v>685</v>
      </c>
      <c r="S1071" s="424"/>
      <c r="T1071" s="434" t="s">
        <v>686</v>
      </c>
      <c r="U1071" s="434" t="s">
        <v>687</v>
      </c>
      <c r="V1071" s="436" t="n">
        <f aca="false">AY1076</f>
        <v>0</v>
      </c>
    </row>
    <row r="1072" customFormat="false" ht="13.5" hidden="false" customHeight="false" outlineLevel="0" collapsed="false">
      <c r="A1072" s="424"/>
      <c r="B1072" s="424"/>
      <c r="C1072" s="424"/>
      <c r="D1072" s="424"/>
      <c r="E1072" s="424"/>
      <c r="F1072" s="424"/>
      <c r="G1072" s="424"/>
      <c r="H1072" s="424"/>
      <c r="I1072" s="424"/>
      <c r="J1072" s="424"/>
      <c r="K1072" s="424"/>
      <c r="L1072" s="424"/>
      <c r="M1072" s="424"/>
      <c r="N1072" s="424"/>
      <c r="O1072" s="424"/>
      <c r="P1072" s="424"/>
      <c r="Q1072" s="435" t="n">
        <v>92</v>
      </c>
      <c r="R1072" s="434" t="s">
        <v>688</v>
      </c>
      <c r="S1072" s="424"/>
      <c r="T1072" s="434" t="s">
        <v>689</v>
      </c>
      <c r="U1072" s="434" t="s">
        <v>690</v>
      </c>
      <c r="V1072" s="436" t="n">
        <f aca="false">AY1077</f>
        <v>0</v>
      </c>
    </row>
    <row r="1073" customFormat="false" ht="13.5" hidden="false" customHeight="false" outlineLevel="0" collapsed="false">
      <c r="A1073" s="424"/>
      <c r="B1073" s="424"/>
      <c r="C1073" s="424"/>
      <c r="D1073" s="424"/>
      <c r="E1073" s="424"/>
      <c r="F1073" s="424"/>
      <c r="G1073" s="424"/>
      <c r="H1073" s="424"/>
      <c r="I1073" s="424"/>
      <c r="J1073" s="424"/>
      <c r="K1073" s="424"/>
      <c r="L1073" s="424"/>
      <c r="M1073" s="424"/>
      <c r="N1073" s="424"/>
      <c r="O1073" s="424"/>
      <c r="P1073" s="424"/>
      <c r="Q1073" s="435" t="n">
        <v>93</v>
      </c>
      <c r="R1073" s="434" t="s">
        <v>691</v>
      </c>
      <c r="S1073" s="424"/>
      <c r="T1073" s="434" t="s">
        <v>692</v>
      </c>
      <c r="U1073" s="434" t="s">
        <v>693</v>
      </c>
      <c r="V1073" s="436" t="n">
        <f aca="false">AY1078</f>
        <v>0</v>
      </c>
    </row>
    <row r="1074" customFormat="false" ht="13.5" hidden="false" customHeight="false" outlineLevel="0" collapsed="false">
      <c r="A1074" s="424"/>
      <c r="B1074" s="424"/>
      <c r="C1074" s="424"/>
      <c r="D1074" s="424"/>
      <c r="E1074" s="424"/>
      <c r="F1074" s="424"/>
      <c r="G1074" s="424"/>
      <c r="H1074" s="424"/>
      <c r="I1074" s="424"/>
      <c r="J1074" s="424"/>
      <c r="K1074" s="424"/>
      <c r="L1074" s="424"/>
      <c r="M1074" s="424"/>
      <c r="N1074" s="424"/>
      <c r="O1074" s="424"/>
      <c r="P1074" s="424"/>
      <c r="Q1074" s="435" t="n">
        <v>94</v>
      </c>
      <c r="R1074" s="434" t="s">
        <v>694</v>
      </c>
      <c r="S1074" s="424"/>
      <c r="T1074" s="434" t="s">
        <v>695</v>
      </c>
      <c r="U1074" s="434" t="s">
        <v>696</v>
      </c>
      <c r="V1074" s="436" t="n">
        <f aca="false">AY1079</f>
        <v>0</v>
      </c>
    </row>
    <row r="1075" customFormat="false" ht="13.5" hidden="false" customHeight="false" outlineLevel="0" collapsed="false">
      <c r="A1075" s="424"/>
      <c r="B1075" s="424"/>
      <c r="C1075" s="424"/>
      <c r="D1075" s="424"/>
      <c r="E1075" s="424"/>
      <c r="F1075" s="424"/>
      <c r="G1075" s="424"/>
      <c r="H1075" s="424"/>
      <c r="I1075" s="424"/>
      <c r="J1075" s="424"/>
      <c r="K1075" s="424"/>
      <c r="L1075" s="424"/>
      <c r="M1075" s="424"/>
      <c r="N1075" s="424"/>
      <c r="O1075" s="424"/>
      <c r="P1075" s="424"/>
      <c r="Q1075" s="435" t="n">
        <v>95</v>
      </c>
      <c r="R1075" s="434" t="s">
        <v>697</v>
      </c>
      <c r="S1075" s="424"/>
      <c r="T1075" s="434" t="s">
        <v>698</v>
      </c>
      <c r="U1075" s="434" t="s">
        <v>699</v>
      </c>
      <c r="V1075" s="436" t="n">
        <f aca="false">AY1080</f>
        <v>0</v>
      </c>
    </row>
    <row r="1076" customFormat="false" ht="13.5" hidden="false" customHeight="false" outlineLevel="0" collapsed="false">
      <c r="A1076" s="424"/>
      <c r="B1076" s="424"/>
      <c r="C1076" s="424"/>
      <c r="D1076" s="424"/>
      <c r="E1076" s="424"/>
      <c r="F1076" s="424"/>
      <c r="G1076" s="424"/>
      <c r="H1076" s="424"/>
      <c r="I1076" s="424"/>
      <c r="J1076" s="424"/>
      <c r="K1076" s="424"/>
      <c r="L1076" s="424"/>
      <c r="M1076" s="424"/>
      <c r="N1076" s="424"/>
      <c r="O1076" s="424"/>
      <c r="P1076" s="424"/>
      <c r="Q1076" s="435" t="n">
        <v>96</v>
      </c>
      <c r="R1076" s="434" t="s">
        <v>700</v>
      </c>
      <c r="S1076" s="424"/>
      <c r="T1076" s="434" t="s">
        <v>701</v>
      </c>
      <c r="U1076" s="434" t="s">
        <v>702</v>
      </c>
      <c r="V1076" s="436" t="n">
        <f aca="false">AY1081</f>
        <v>0</v>
      </c>
    </row>
    <row r="1077" customFormat="false" ht="13.5" hidden="false" customHeight="false" outlineLevel="0" collapsed="false">
      <c r="A1077" s="424"/>
      <c r="B1077" s="424"/>
      <c r="C1077" s="424"/>
      <c r="D1077" s="424"/>
      <c r="E1077" s="424"/>
      <c r="F1077" s="424"/>
      <c r="G1077" s="424"/>
      <c r="H1077" s="424"/>
      <c r="I1077" s="424"/>
      <c r="J1077" s="424"/>
      <c r="K1077" s="424"/>
      <c r="L1077" s="424"/>
      <c r="M1077" s="424"/>
      <c r="N1077" s="424"/>
      <c r="O1077" s="424"/>
      <c r="P1077" s="424"/>
      <c r="Q1077" s="435" t="n">
        <v>97</v>
      </c>
      <c r="R1077" s="434" t="s">
        <v>703</v>
      </c>
      <c r="S1077" s="424"/>
      <c r="T1077" s="434" t="s">
        <v>704</v>
      </c>
      <c r="U1077" s="434" t="s">
        <v>705</v>
      </c>
      <c r="V1077" s="436" t="n">
        <f aca="false">AY1082</f>
        <v>0</v>
      </c>
    </row>
    <row r="1078" customFormat="false" ht="13.5" hidden="false" customHeight="false" outlineLevel="0" collapsed="false">
      <c r="A1078" s="424"/>
      <c r="B1078" s="424"/>
      <c r="C1078" s="424"/>
      <c r="D1078" s="424"/>
      <c r="E1078" s="424"/>
      <c r="F1078" s="424"/>
      <c r="G1078" s="424"/>
      <c r="H1078" s="424"/>
      <c r="I1078" s="424"/>
      <c r="J1078" s="424"/>
      <c r="K1078" s="424"/>
      <c r="L1078" s="424"/>
      <c r="M1078" s="424"/>
      <c r="N1078" s="424"/>
      <c r="O1078" s="424"/>
      <c r="P1078" s="424"/>
      <c r="Q1078" s="435" t="n">
        <v>98</v>
      </c>
      <c r="R1078" s="434" t="s">
        <v>706</v>
      </c>
      <c r="S1078" s="424"/>
      <c r="T1078" s="434" t="s">
        <v>707</v>
      </c>
      <c r="U1078" s="434" t="s">
        <v>708</v>
      </c>
      <c r="V1078" s="436" t="n">
        <f aca="false">AY1083</f>
        <v>0</v>
      </c>
    </row>
    <row r="1079" customFormat="false" ht="13.5" hidden="false" customHeight="false" outlineLevel="0" collapsed="false">
      <c r="A1079" s="424"/>
      <c r="B1079" s="424"/>
      <c r="C1079" s="424"/>
      <c r="D1079" s="424"/>
      <c r="E1079" s="424"/>
      <c r="F1079" s="424"/>
      <c r="G1079" s="424"/>
      <c r="H1079" s="424"/>
      <c r="I1079" s="424"/>
      <c r="J1079" s="424"/>
      <c r="K1079" s="424"/>
      <c r="L1079" s="424"/>
      <c r="M1079" s="424"/>
      <c r="N1079" s="424"/>
      <c r="O1079" s="424"/>
      <c r="P1079" s="424"/>
      <c r="Q1079" s="435" t="n">
        <v>99</v>
      </c>
      <c r="R1079" s="434" t="s">
        <v>709</v>
      </c>
      <c r="S1079" s="424"/>
      <c r="T1079" s="434" t="s">
        <v>710</v>
      </c>
      <c r="U1079" s="434" t="s">
        <v>711</v>
      </c>
      <c r="V1079" s="436" t="n">
        <f aca="false">AY1084</f>
        <v>0</v>
      </c>
    </row>
    <row r="1080" customFormat="false" ht="13.5" hidden="false" customHeight="false" outlineLevel="0" collapsed="false">
      <c r="A1080" s="424"/>
      <c r="B1080" s="424"/>
      <c r="C1080" s="424"/>
      <c r="D1080" s="424"/>
      <c r="E1080" s="424"/>
      <c r="F1080" s="424"/>
      <c r="G1080" s="424"/>
      <c r="H1080" s="424"/>
      <c r="I1080" s="424"/>
      <c r="J1080" s="424"/>
      <c r="K1080" s="424"/>
      <c r="L1080" s="424"/>
      <c r="M1080" s="424"/>
      <c r="N1080" s="424"/>
      <c r="O1080" s="424"/>
      <c r="P1080" s="424"/>
      <c r="Q1080" s="424"/>
      <c r="R1080" s="424"/>
      <c r="S1080" s="424"/>
      <c r="T1080" s="424"/>
      <c r="U1080" s="424"/>
      <c r="V1080" s="436" t="n">
        <f aca="false">AY1085</f>
        <v>0</v>
      </c>
    </row>
    <row r="1081" customFormat="false" ht="13.5" hidden="false" customHeight="false" outlineLevel="0" collapsed="false">
      <c r="A1081" s="424"/>
      <c r="B1081" s="424"/>
      <c r="C1081" s="424"/>
      <c r="D1081" s="424"/>
      <c r="E1081" s="424"/>
      <c r="F1081" s="424"/>
      <c r="G1081" s="424"/>
      <c r="H1081" s="424"/>
      <c r="I1081" s="424"/>
      <c r="J1081" s="424"/>
      <c r="K1081" s="424"/>
      <c r="L1081" s="424"/>
      <c r="M1081" s="424"/>
      <c r="N1081" s="424"/>
      <c r="O1081" s="424"/>
      <c r="P1081" s="424"/>
      <c r="Q1081" s="424"/>
      <c r="R1081" s="424"/>
      <c r="S1081" s="424"/>
      <c r="T1081" s="424"/>
      <c r="U1081" s="424"/>
      <c r="V1081" s="436" t="n">
        <f aca="false">AY1086</f>
        <v>0</v>
      </c>
    </row>
    <row r="1082" customFormat="false" ht="13.5" hidden="false" customHeight="false" outlineLevel="0" collapsed="false">
      <c r="A1082" s="424"/>
      <c r="B1082" s="424"/>
      <c r="C1082" s="424"/>
      <c r="D1082" s="424"/>
      <c r="E1082" s="424"/>
      <c r="F1082" s="424"/>
      <c r="G1082" s="424"/>
      <c r="H1082" s="424"/>
      <c r="I1082" s="424"/>
      <c r="J1082" s="424"/>
      <c r="K1082" s="424"/>
      <c r="L1082" s="424"/>
      <c r="M1082" s="424"/>
      <c r="N1082" s="424"/>
      <c r="O1082" s="424"/>
      <c r="P1082" s="424"/>
      <c r="Q1082" s="424"/>
      <c r="R1082" s="424"/>
      <c r="S1082" s="424"/>
      <c r="T1082" s="424"/>
      <c r="U1082" s="424"/>
      <c r="V1082" s="436" t="n">
        <f aca="false">AY1087</f>
        <v>0</v>
      </c>
    </row>
    <row r="1083" customFormat="false" ht="13.5" hidden="false" customHeight="false" outlineLevel="0" collapsed="false">
      <c r="A1083" s="424"/>
      <c r="B1083" s="424"/>
      <c r="C1083" s="424"/>
      <c r="D1083" s="424"/>
      <c r="E1083" s="424"/>
      <c r="F1083" s="424"/>
      <c r="G1083" s="424"/>
      <c r="H1083" s="424"/>
      <c r="I1083" s="424"/>
      <c r="J1083" s="424"/>
      <c r="K1083" s="424"/>
      <c r="L1083" s="424"/>
      <c r="M1083" s="424"/>
      <c r="N1083" s="424"/>
      <c r="O1083" s="424"/>
      <c r="P1083" s="424"/>
      <c r="Q1083" s="424"/>
      <c r="R1083" s="424"/>
      <c r="S1083" s="424"/>
      <c r="T1083" s="424"/>
      <c r="U1083" s="424"/>
      <c r="V1083" s="436" t="n">
        <f aca="false">AY1088</f>
        <v>0</v>
      </c>
    </row>
    <row r="1084" customFormat="false" ht="13.5" hidden="false" customHeight="false" outlineLevel="0" collapsed="false">
      <c r="A1084" s="424"/>
      <c r="B1084" s="424"/>
      <c r="C1084" s="424"/>
      <c r="D1084" s="424"/>
      <c r="E1084" s="424"/>
      <c r="F1084" s="424"/>
      <c r="G1084" s="424"/>
      <c r="H1084" s="424"/>
      <c r="I1084" s="424"/>
      <c r="J1084" s="424"/>
      <c r="K1084" s="424"/>
      <c r="L1084" s="424"/>
      <c r="M1084" s="424"/>
      <c r="N1084" s="424"/>
      <c r="O1084" s="424"/>
      <c r="P1084" s="424"/>
      <c r="Q1084" s="424"/>
      <c r="R1084" s="424"/>
      <c r="S1084" s="424"/>
      <c r="T1084" s="424"/>
      <c r="U1084" s="424"/>
      <c r="V1084" s="436" t="n">
        <f aca="false">AY1089</f>
        <v>0</v>
      </c>
    </row>
    <row r="1085" customFormat="false" ht="13.5" hidden="false" customHeight="false" outlineLevel="0" collapsed="false">
      <c r="A1085" s="424"/>
      <c r="B1085" s="424"/>
      <c r="C1085" s="424"/>
      <c r="D1085" s="424"/>
      <c r="E1085" s="424"/>
      <c r="F1085" s="424"/>
      <c r="G1085" s="424"/>
      <c r="H1085" s="424"/>
      <c r="I1085" s="424"/>
      <c r="J1085" s="424"/>
      <c r="K1085" s="424"/>
      <c r="L1085" s="424"/>
      <c r="M1085" s="424"/>
      <c r="N1085" s="424"/>
      <c r="O1085" s="424"/>
      <c r="P1085" s="424"/>
      <c r="Q1085" s="424"/>
      <c r="R1085" s="424"/>
      <c r="S1085" s="424"/>
      <c r="T1085" s="424"/>
      <c r="U1085" s="424"/>
      <c r="V1085" s="436" t="n">
        <f aca="false">AY1090</f>
        <v>0</v>
      </c>
    </row>
    <row r="1086" customFormat="false" ht="13.5" hidden="false" customHeight="false" outlineLevel="0" collapsed="false">
      <c r="A1086" s="424"/>
      <c r="B1086" s="424"/>
      <c r="C1086" s="424"/>
      <c r="D1086" s="424"/>
      <c r="E1086" s="424"/>
      <c r="F1086" s="424"/>
      <c r="G1086" s="424"/>
      <c r="H1086" s="424"/>
      <c r="I1086" s="424"/>
      <c r="J1086" s="424"/>
      <c r="K1086" s="424"/>
      <c r="L1086" s="424"/>
      <c r="M1086" s="424"/>
      <c r="N1086" s="424"/>
      <c r="O1086" s="424"/>
      <c r="P1086" s="424"/>
      <c r="Q1086" s="424"/>
      <c r="R1086" s="424"/>
      <c r="S1086" s="424"/>
      <c r="T1086" s="424"/>
      <c r="U1086" s="424"/>
      <c r="V1086" s="436" t="n">
        <f aca="false">AY1091</f>
        <v>0</v>
      </c>
    </row>
    <row r="1087" customFormat="false" ht="13.5" hidden="false" customHeight="false" outlineLevel="0" collapsed="false">
      <c r="A1087" s="424"/>
      <c r="B1087" s="424"/>
      <c r="C1087" s="424"/>
      <c r="D1087" s="424"/>
      <c r="E1087" s="424"/>
      <c r="F1087" s="424"/>
      <c r="G1087" s="424"/>
      <c r="H1087" s="424"/>
      <c r="I1087" s="424"/>
      <c r="J1087" s="424"/>
      <c r="K1087" s="424"/>
      <c r="L1087" s="424"/>
      <c r="M1087" s="424"/>
      <c r="N1087" s="424"/>
      <c r="O1087" s="424"/>
      <c r="P1087" s="424"/>
      <c r="Q1087" s="424"/>
      <c r="R1087" s="424"/>
      <c r="S1087" s="424"/>
      <c r="T1087" s="424"/>
      <c r="U1087" s="424"/>
      <c r="V1087" s="436" t="n">
        <f aca="false">AY1092</f>
        <v>0</v>
      </c>
    </row>
    <row r="1088" customFormat="false" ht="13.5" hidden="false" customHeight="false" outlineLevel="0" collapsed="false">
      <c r="A1088" s="424"/>
      <c r="B1088" s="424"/>
      <c r="C1088" s="424"/>
      <c r="D1088" s="424"/>
      <c r="E1088" s="424"/>
      <c r="F1088" s="424"/>
      <c r="G1088" s="424"/>
      <c r="H1088" s="424"/>
      <c r="I1088" s="424"/>
      <c r="J1088" s="424"/>
      <c r="K1088" s="424"/>
      <c r="L1088" s="424"/>
      <c r="M1088" s="424"/>
      <c r="N1088" s="424"/>
      <c r="O1088" s="424"/>
      <c r="P1088" s="424"/>
      <c r="Q1088" s="424"/>
      <c r="R1088" s="424"/>
      <c r="S1088" s="424"/>
      <c r="T1088" s="424"/>
      <c r="U1088" s="424"/>
      <c r="V1088" s="436" t="n">
        <f aca="false">AY1093</f>
        <v>0</v>
      </c>
    </row>
    <row r="1089" customFormat="false" ht="13.5" hidden="false" customHeight="false" outlineLevel="0" collapsed="false">
      <c r="A1089" s="424"/>
      <c r="B1089" s="424"/>
      <c r="C1089" s="424"/>
      <c r="D1089" s="424"/>
      <c r="E1089" s="424"/>
      <c r="F1089" s="424"/>
      <c r="G1089" s="424"/>
      <c r="H1089" s="424"/>
      <c r="I1089" s="424"/>
      <c r="J1089" s="424"/>
      <c r="K1089" s="424"/>
      <c r="L1089" s="424"/>
      <c r="M1089" s="424"/>
      <c r="N1089" s="424"/>
      <c r="O1089" s="424"/>
      <c r="P1089" s="424"/>
      <c r="Q1089" s="424"/>
      <c r="R1089" s="424"/>
      <c r="S1089" s="424"/>
      <c r="T1089" s="424"/>
      <c r="U1089" s="424"/>
      <c r="V1089" s="436" t="n">
        <f aca="false">AY1094</f>
        <v>0</v>
      </c>
    </row>
    <row r="1090" customFormat="false" ht="13.5" hidden="false" customHeight="false" outlineLevel="0" collapsed="false">
      <c r="A1090" s="424"/>
      <c r="B1090" s="424"/>
      <c r="C1090" s="424"/>
      <c r="D1090" s="424"/>
      <c r="E1090" s="424"/>
      <c r="F1090" s="424"/>
      <c r="G1090" s="424"/>
      <c r="H1090" s="424"/>
      <c r="I1090" s="424"/>
      <c r="J1090" s="424"/>
      <c r="K1090" s="424"/>
      <c r="L1090" s="424"/>
      <c r="M1090" s="424"/>
      <c r="N1090" s="424"/>
      <c r="O1090" s="424"/>
      <c r="P1090" s="424"/>
      <c r="Q1090" s="424"/>
      <c r="R1090" s="424"/>
      <c r="S1090" s="424"/>
      <c r="T1090" s="424"/>
      <c r="U1090" s="424"/>
      <c r="V1090" s="436" t="n">
        <f aca="false">AY1095</f>
        <v>0</v>
      </c>
    </row>
    <row r="1091" customFormat="false" ht="13.5" hidden="false" customHeight="false" outlineLevel="0" collapsed="false">
      <c r="A1091" s="424"/>
      <c r="B1091" s="424"/>
      <c r="C1091" s="424"/>
      <c r="D1091" s="424"/>
      <c r="E1091" s="424"/>
      <c r="F1091" s="424"/>
      <c r="G1091" s="424"/>
      <c r="H1091" s="424"/>
      <c r="I1091" s="424"/>
      <c r="J1091" s="424"/>
      <c r="K1091" s="424"/>
      <c r="L1091" s="424"/>
      <c r="M1091" s="424"/>
      <c r="N1091" s="424"/>
      <c r="O1091" s="424"/>
      <c r="P1091" s="424"/>
      <c r="Q1091" s="424"/>
      <c r="R1091" s="424"/>
      <c r="S1091" s="424"/>
      <c r="T1091" s="424"/>
      <c r="U1091" s="424"/>
      <c r="V1091" s="436" t="n">
        <f aca="false">AY1096</f>
        <v>0</v>
      </c>
    </row>
    <row r="1092" customFormat="false" ht="13.5" hidden="false" customHeight="false" outlineLevel="0" collapsed="false">
      <c r="A1092" s="424"/>
      <c r="B1092" s="424"/>
      <c r="C1092" s="424"/>
      <c r="D1092" s="424"/>
      <c r="E1092" s="424"/>
      <c r="F1092" s="424"/>
      <c r="G1092" s="424"/>
      <c r="H1092" s="424"/>
      <c r="I1092" s="424"/>
      <c r="J1092" s="424"/>
      <c r="K1092" s="424"/>
      <c r="L1092" s="424"/>
      <c r="M1092" s="424"/>
      <c r="N1092" s="424"/>
      <c r="O1092" s="424"/>
      <c r="P1092" s="424"/>
      <c r="Q1092" s="424"/>
      <c r="R1092" s="424"/>
      <c r="S1092" s="424"/>
      <c r="T1092" s="424"/>
      <c r="U1092" s="424"/>
      <c r="V1092" s="436" t="n">
        <f aca="false">AY1097</f>
        <v>0</v>
      </c>
    </row>
    <row r="1093" customFormat="false" ht="13.5" hidden="false" customHeight="false" outlineLevel="0" collapsed="false">
      <c r="A1093" s="424"/>
      <c r="B1093" s="424"/>
      <c r="C1093" s="424"/>
      <c r="D1093" s="424"/>
      <c r="E1093" s="424"/>
      <c r="F1093" s="424"/>
      <c r="G1093" s="424"/>
      <c r="H1093" s="424"/>
      <c r="I1093" s="424"/>
      <c r="J1093" s="424"/>
      <c r="K1093" s="424"/>
      <c r="L1093" s="424"/>
      <c r="M1093" s="424"/>
      <c r="N1093" s="424"/>
      <c r="O1093" s="424"/>
      <c r="P1093" s="424"/>
      <c r="Q1093" s="424"/>
      <c r="R1093" s="424"/>
      <c r="S1093" s="424"/>
      <c r="T1093" s="424"/>
      <c r="U1093" s="424"/>
      <c r="V1093" s="436" t="n">
        <f aca="false">AY1098</f>
        <v>0</v>
      </c>
    </row>
    <row r="1094" customFormat="false" ht="13.5" hidden="false" customHeight="false" outlineLevel="0" collapsed="false">
      <c r="A1094" s="424"/>
      <c r="B1094" s="424"/>
      <c r="C1094" s="424"/>
      <c r="D1094" s="424"/>
      <c r="E1094" s="424"/>
      <c r="F1094" s="424"/>
      <c r="G1094" s="424"/>
      <c r="H1094" s="424"/>
      <c r="I1094" s="424"/>
      <c r="J1094" s="424"/>
      <c r="K1094" s="424"/>
      <c r="L1094" s="424"/>
      <c r="M1094" s="424"/>
      <c r="N1094" s="424"/>
      <c r="O1094" s="424"/>
      <c r="P1094" s="424"/>
      <c r="Q1094" s="424"/>
      <c r="R1094" s="424"/>
      <c r="S1094" s="424"/>
      <c r="T1094" s="424"/>
      <c r="U1094" s="424"/>
      <c r="V1094" s="436" t="n">
        <f aca="false">AY1099</f>
        <v>0</v>
      </c>
    </row>
    <row r="1095" customFormat="false" ht="13.5" hidden="false" customHeight="false" outlineLevel="0" collapsed="false">
      <c r="A1095" s="424"/>
      <c r="B1095" s="424"/>
      <c r="C1095" s="424"/>
      <c r="D1095" s="424"/>
      <c r="E1095" s="424"/>
      <c r="F1095" s="424"/>
      <c r="G1095" s="424"/>
      <c r="H1095" s="424"/>
      <c r="I1095" s="424"/>
      <c r="J1095" s="424"/>
      <c r="K1095" s="424"/>
      <c r="L1095" s="424"/>
      <c r="M1095" s="424"/>
      <c r="N1095" s="424"/>
      <c r="O1095" s="424"/>
      <c r="P1095" s="424"/>
      <c r="Q1095" s="424"/>
      <c r="R1095" s="424"/>
      <c r="S1095" s="424"/>
      <c r="T1095" s="424"/>
      <c r="U1095" s="424"/>
      <c r="V1095" s="436" t="n">
        <f aca="false">AY1100</f>
        <v>0</v>
      </c>
    </row>
    <row r="1096" customFormat="false" ht="13.5" hidden="false" customHeight="false" outlineLevel="0" collapsed="false">
      <c r="A1096" s="424"/>
      <c r="B1096" s="424"/>
      <c r="C1096" s="424"/>
      <c r="D1096" s="424"/>
      <c r="E1096" s="424"/>
      <c r="F1096" s="424"/>
      <c r="G1096" s="424"/>
      <c r="H1096" s="424"/>
      <c r="I1096" s="424"/>
      <c r="J1096" s="424"/>
      <c r="K1096" s="424"/>
      <c r="L1096" s="424"/>
      <c r="M1096" s="424"/>
      <c r="N1096" s="424"/>
      <c r="O1096" s="424"/>
      <c r="P1096" s="424"/>
      <c r="Q1096" s="424"/>
      <c r="R1096" s="424"/>
      <c r="S1096" s="424"/>
      <c r="T1096" s="424"/>
      <c r="U1096" s="424"/>
      <c r="V1096" s="436" t="n">
        <f aca="false">AY1101</f>
        <v>0</v>
      </c>
    </row>
    <row r="1097" customFormat="false" ht="13.5" hidden="false" customHeight="false" outlineLevel="0" collapsed="false">
      <c r="A1097" s="424"/>
      <c r="B1097" s="424"/>
      <c r="C1097" s="424"/>
      <c r="D1097" s="424"/>
      <c r="E1097" s="424"/>
      <c r="F1097" s="424"/>
      <c r="G1097" s="424"/>
      <c r="H1097" s="424"/>
      <c r="I1097" s="424"/>
      <c r="J1097" s="424"/>
      <c r="K1097" s="424"/>
      <c r="L1097" s="424"/>
      <c r="M1097" s="424"/>
      <c r="N1097" s="424"/>
      <c r="O1097" s="424"/>
      <c r="P1097" s="424"/>
      <c r="Q1097" s="424"/>
      <c r="R1097" s="424"/>
      <c r="S1097" s="424"/>
      <c r="T1097" s="424"/>
      <c r="U1097" s="424"/>
      <c r="V1097" s="436" t="n">
        <f aca="false">AY1102</f>
        <v>0</v>
      </c>
    </row>
    <row r="1098" customFormat="false" ht="13.5" hidden="false" customHeight="false" outlineLevel="0" collapsed="false">
      <c r="A1098" s="424"/>
      <c r="B1098" s="424"/>
      <c r="C1098" s="424"/>
      <c r="D1098" s="424"/>
      <c r="E1098" s="424"/>
      <c r="F1098" s="424"/>
      <c r="G1098" s="424"/>
      <c r="H1098" s="424"/>
      <c r="I1098" s="424"/>
      <c r="J1098" s="424"/>
      <c r="K1098" s="424"/>
      <c r="L1098" s="424"/>
      <c r="M1098" s="424"/>
      <c r="N1098" s="424"/>
      <c r="O1098" s="424"/>
      <c r="P1098" s="424"/>
      <c r="Q1098" s="424"/>
      <c r="R1098" s="424"/>
      <c r="S1098" s="424"/>
      <c r="T1098" s="424"/>
      <c r="U1098" s="424"/>
      <c r="V1098" s="424"/>
    </row>
    <row r="1099" customFormat="false" ht="13.5" hidden="false" customHeight="false" outlineLevel="0" collapsed="false">
      <c r="A1099" s="424"/>
      <c r="B1099" s="424"/>
      <c r="C1099" s="424"/>
      <c r="D1099" s="424"/>
      <c r="E1099" s="424"/>
      <c r="F1099" s="424"/>
      <c r="G1099" s="424"/>
      <c r="H1099" s="424"/>
      <c r="I1099" s="424"/>
      <c r="J1099" s="424"/>
      <c r="K1099" s="424"/>
      <c r="L1099" s="424"/>
      <c r="M1099" s="424"/>
      <c r="N1099" s="424"/>
      <c r="O1099" s="424"/>
      <c r="P1099" s="424"/>
      <c r="Q1099" s="424"/>
      <c r="R1099" s="424"/>
      <c r="S1099" s="424"/>
      <c r="T1099" s="424"/>
      <c r="U1099" s="424"/>
      <c r="V1099" s="424"/>
    </row>
    <row r="1100" customFormat="false" ht="13.5" hidden="false" customHeight="false" outlineLevel="0" collapsed="false">
      <c r="A1100" s="424"/>
      <c r="B1100" s="424"/>
      <c r="C1100" s="424"/>
      <c r="D1100" s="424"/>
      <c r="E1100" s="424"/>
      <c r="F1100" s="424"/>
      <c r="G1100" s="424"/>
      <c r="H1100" s="424"/>
      <c r="I1100" s="424"/>
      <c r="J1100" s="424"/>
      <c r="K1100" s="424"/>
      <c r="L1100" s="424"/>
      <c r="M1100" s="424"/>
      <c r="N1100" s="424"/>
      <c r="O1100" s="424"/>
      <c r="P1100" s="424"/>
      <c r="Q1100" s="424"/>
      <c r="R1100" s="434" t="s">
        <v>400</v>
      </c>
      <c r="S1100" s="424"/>
      <c r="T1100" s="424"/>
      <c r="U1100" s="424"/>
      <c r="V1100" s="435" t="n">
        <f aca="false">SUM(V1102:V1134)</f>
        <v>0</v>
      </c>
    </row>
    <row r="1101" customFormat="false" ht="13.5" hidden="false" customHeight="false" outlineLevel="0" collapsed="false">
      <c r="A1101" s="424"/>
      <c r="B1101" s="424"/>
      <c r="C1101" s="424"/>
      <c r="D1101" s="424"/>
      <c r="E1101" s="424"/>
      <c r="F1101" s="424"/>
      <c r="G1101" s="424"/>
      <c r="H1101" s="424"/>
      <c r="I1101" s="424"/>
      <c r="J1101" s="424"/>
      <c r="K1101" s="424"/>
      <c r="L1101" s="424"/>
      <c r="M1101" s="424"/>
      <c r="N1101" s="424"/>
      <c r="O1101" s="424"/>
      <c r="P1101" s="424"/>
      <c r="Q1101" s="435" t="n">
        <v>0</v>
      </c>
      <c r="R1101" s="424"/>
      <c r="S1101" s="435" t="n">
        <v>0</v>
      </c>
      <c r="T1101" s="424"/>
      <c r="U1101" s="424"/>
      <c r="V1101" s="436" t="n">
        <f aca="false">AY1101</f>
        <v>0</v>
      </c>
    </row>
    <row r="1102" customFormat="false" ht="13.5" hidden="false" customHeight="false" outlineLevel="0" collapsed="false">
      <c r="A1102" s="424"/>
      <c r="B1102" s="424"/>
      <c r="C1102" s="424"/>
      <c r="D1102" s="424"/>
      <c r="E1102" s="424"/>
      <c r="F1102" s="424"/>
      <c r="G1102" s="424"/>
      <c r="H1102" s="424"/>
      <c r="I1102" s="424"/>
      <c r="J1102" s="424"/>
      <c r="K1102" s="424"/>
      <c r="L1102" s="424"/>
      <c r="M1102" s="424"/>
      <c r="N1102" s="424"/>
      <c r="O1102" s="424"/>
      <c r="P1102" s="424"/>
      <c r="Q1102" s="435" t="n">
        <v>1</v>
      </c>
      <c r="R1102" s="434" t="s">
        <v>401</v>
      </c>
      <c r="S1102" s="434" t="s">
        <v>402</v>
      </c>
      <c r="T1102" s="434" t="s">
        <v>403</v>
      </c>
      <c r="U1102" s="434" t="s">
        <v>404</v>
      </c>
      <c r="V1102" s="436" t="n">
        <f aca="false">AY1102</f>
        <v>0</v>
      </c>
    </row>
    <row r="1103" customFormat="false" ht="13.5" hidden="false" customHeight="false" outlineLevel="0" collapsed="false">
      <c r="A1103" s="424"/>
      <c r="B1103" s="424"/>
      <c r="C1103" s="424"/>
      <c r="D1103" s="424"/>
      <c r="E1103" s="424"/>
      <c r="F1103" s="424"/>
      <c r="G1103" s="424"/>
      <c r="H1103" s="424"/>
      <c r="I1103" s="424"/>
      <c r="J1103" s="424"/>
      <c r="K1103" s="424"/>
      <c r="L1103" s="424"/>
      <c r="M1103" s="424"/>
      <c r="N1103" s="424"/>
      <c r="O1103" s="424"/>
      <c r="P1103" s="424"/>
      <c r="Q1103" s="435" t="n">
        <v>2</v>
      </c>
      <c r="R1103" s="434" t="s">
        <v>405</v>
      </c>
      <c r="S1103" s="434" t="s">
        <v>406</v>
      </c>
      <c r="T1103" s="434" t="s">
        <v>407</v>
      </c>
      <c r="U1103" s="434" t="s">
        <v>408</v>
      </c>
      <c r="V1103" s="436" t="n">
        <f aca="false">AY1103</f>
        <v>0</v>
      </c>
    </row>
    <row r="1104" customFormat="false" ht="13.5" hidden="false" customHeight="false" outlineLevel="0" collapsed="false">
      <c r="A1104" s="424"/>
      <c r="B1104" s="424"/>
      <c r="C1104" s="424"/>
      <c r="D1104" s="424"/>
      <c r="E1104" s="424"/>
      <c r="F1104" s="424"/>
      <c r="G1104" s="424"/>
      <c r="H1104" s="424"/>
      <c r="I1104" s="424"/>
      <c r="J1104" s="424"/>
      <c r="K1104" s="424"/>
      <c r="L1104" s="424"/>
      <c r="M1104" s="424"/>
      <c r="N1104" s="424"/>
      <c r="O1104" s="424"/>
      <c r="P1104" s="424"/>
      <c r="Q1104" s="435" t="n">
        <v>3</v>
      </c>
      <c r="R1104" s="434" t="s">
        <v>409</v>
      </c>
      <c r="S1104" s="434" t="s">
        <v>410</v>
      </c>
      <c r="T1104" s="434" t="s">
        <v>411</v>
      </c>
      <c r="U1104" s="434" t="s">
        <v>412</v>
      </c>
      <c r="V1104" s="436" t="n">
        <f aca="false">AY1104</f>
        <v>0</v>
      </c>
    </row>
    <row r="1105" customFormat="false" ht="13.5" hidden="false" customHeight="false" outlineLevel="0" collapsed="false">
      <c r="A1105" s="424"/>
      <c r="B1105" s="424"/>
      <c r="C1105" s="424"/>
      <c r="D1105" s="424"/>
      <c r="E1105" s="424"/>
      <c r="F1105" s="424"/>
      <c r="G1105" s="424"/>
      <c r="H1105" s="424"/>
      <c r="I1105" s="424"/>
      <c r="J1105" s="424"/>
      <c r="K1105" s="424"/>
      <c r="L1105" s="424"/>
      <c r="M1105" s="424"/>
      <c r="N1105" s="424"/>
      <c r="O1105" s="424"/>
      <c r="P1105" s="424"/>
      <c r="Q1105" s="435" t="n">
        <v>4</v>
      </c>
      <c r="R1105" s="434" t="s">
        <v>413</v>
      </c>
      <c r="S1105" s="434" t="s">
        <v>414</v>
      </c>
      <c r="T1105" s="434" t="s">
        <v>415</v>
      </c>
      <c r="U1105" s="434" t="s">
        <v>416</v>
      </c>
      <c r="V1105" s="436" t="n">
        <f aca="false">AY1105</f>
        <v>0</v>
      </c>
    </row>
    <row r="1106" customFormat="false" ht="13.5" hidden="false" customHeight="false" outlineLevel="0" collapsed="false">
      <c r="A1106" s="424"/>
      <c r="B1106" s="424"/>
      <c r="C1106" s="424"/>
      <c r="D1106" s="424"/>
      <c r="E1106" s="424"/>
      <c r="F1106" s="424"/>
      <c r="G1106" s="424"/>
      <c r="H1106" s="424"/>
      <c r="I1106" s="424"/>
      <c r="J1106" s="424"/>
      <c r="K1106" s="424"/>
      <c r="L1106" s="424"/>
      <c r="M1106" s="424"/>
      <c r="N1106" s="424"/>
      <c r="O1106" s="424"/>
      <c r="P1106" s="438" t="s">
        <v>417</v>
      </c>
      <c r="Q1106" s="435" t="n">
        <v>5</v>
      </c>
      <c r="R1106" s="434" t="s">
        <v>418</v>
      </c>
      <c r="S1106" s="434" t="s">
        <v>419</v>
      </c>
      <c r="T1106" s="434" t="s">
        <v>420</v>
      </c>
      <c r="U1106" s="434" t="s">
        <v>421</v>
      </c>
      <c r="V1106" s="436" t="n">
        <f aca="false">AY1106</f>
        <v>0</v>
      </c>
    </row>
    <row r="1107" customFormat="false" ht="13.5" hidden="false" customHeight="false" outlineLevel="0" collapsed="false">
      <c r="A1107" s="424"/>
      <c r="B1107" s="424"/>
      <c r="C1107" s="424"/>
      <c r="D1107" s="424"/>
      <c r="E1107" s="424"/>
      <c r="F1107" s="424"/>
      <c r="G1107" s="424"/>
      <c r="H1107" s="424"/>
      <c r="I1107" s="424"/>
      <c r="J1107" s="424"/>
      <c r="K1107" s="424"/>
      <c r="L1107" s="424"/>
      <c r="M1107" s="424"/>
      <c r="N1107" s="424"/>
      <c r="O1107" s="424"/>
      <c r="P1107" s="438" t="s">
        <v>417</v>
      </c>
      <c r="Q1107" s="435" t="n">
        <v>6</v>
      </c>
      <c r="R1107" s="434" t="s">
        <v>422</v>
      </c>
      <c r="S1107" s="434" t="s">
        <v>423</v>
      </c>
      <c r="T1107" s="434" t="s">
        <v>424</v>
      </c>
      <c r="U1107" s="434" t="s">
        <v>425</v>
      </c>
      <c r="V1107" s="436" t="n">
        <f aca="false">AY1107</f>
        <v>0</v>
      </c>
    </row>
    <row r="1108" customFormat="false" ht="13.5" hidden="false" customHeight="false" outlineLevel="0" collapsed="false">
      <c r="A1108" s="424"/>
      <c r="B1108" s="424"/>
      <c r="C1108" s="424"/>
      <c r="D1108" s="424"/>
      <c r="E1108" s="424"/>
      <c r="F1108" s="424"/>
      <c r="G1108" s="424"/>
      <c r="H1108" s="424"/>
      <c r="I1108" s="424"/>
      <c r="J1108" s="424"/>
      <c r="K1108" s="424"/>
      <c r="L1108" s="424"/>
      <c r="M1108" s="424"/>
      <c r="N1108" s="424"/>
      <c r="O1108" s="424"/>
      <c r="P1108" s="438" t="s">
        <v>417</v>
      </c>
      <c r="Q1108" s="435" t="n">
        <v>7</v>
      </c>
      <c r="R1108" s="434" t="s">
        <v>426</v>
      </c>
      <c r="S1108" s="434" t="s">
        <v>427</v>
      </c>
      <c r="T1108" s="434" t="s">
        <v>428</v>
      </c>
      <c r="U1108" s="434" t="s">
        <v>429</v>
      </c>
      <c r="V1108" s="436" t="n">
        <f aca="false">AY1108</f>
        <v>0</v>
      </c>
    </row>
    <row r="1109" customFormat="false" ht="13.5" hidden="false" customHeight="false" outlineLevel="0" collapsed="false">
      <c r="A1109" s="424"/>
      <c r="B1109" s="424"/>
      <c r="C1109" s="424"/>
      <c r="D1109" s="424"/>
      <c r="E1109" s="424"/>
      <c r="F1109" s="424"/>
      <c r="G1109" s="424"/>
      <c r="H1109" s="424"/>
      <c r="I1109" s="424"/>
      <c r="J1109" s="424"/>
      <c r="K1109" s="424"/>
      <c r="L1109" s="424"/>
      <c r="M1109" s="424"/>
      <c r="N1109" s="424"/>
      <c r="O1109" s="424"/>
      <c r="P1109" s="438" t="s">
        <v>417</v>
      </c>
      <c r="Q1109" s="435" t="n">
        <v>8</v>
      </c>
      <c r="R1109" s="434" t="s">
        <v>430</v>
      </c>
      <c r="S1109" s="434" t="s">
        <v>431</v>
      </c>
      <c r="T1109" s="434" t="s">
        <v>432</v>
      </c>
      <c r="U1109" s="434" t="s">
        <v>433</v>
      </c>
      <c r="V1109" s="436" t="n">
        <f aca="false">AY1109</f>
        <v>0</v>
      </c>
    </row>
    <row r="1110" customFormat="false" ht="13.5" hidden="false" customHeight="false" outlineLevel="0" collapsed="false">
      <c r="A1110" s="424"/>
      <c r="B1110" s="424"/>
      <c r="C1110" s="424"/>
      <c r="D1110" s="424"/>
      <c r="E1110" s="424"/>
      <c r="F1110" s="424"/>
      <c r="G1110" s="424"/>
      <c r="H1110" s="424"/>
      <c r="I1110" s="424"/>
      <c r="J1110" s="424"/>
      <c r="K1110" s="424"/>
      <c r="L1110" s="424"/>
      <c r="M1110" s="424"/>
      <c r="N1110" s="424"/>
      <c r="O1110" s="424"/>
      <c r="P1110" s="438" t="s">
        <v>417</v>
      </c>
      <c r="Q1110" s="435" t="n">
        <v>9</v>
      </c>
      <c r="R1110" s="434" t="s">
        <v>434</v>
      </c>
      <c r="S1110" s="434" t="s">
        <v>435</v>
      </c>
      <c r="T1110" s="434" t="s">
        <v>436</v>
      </c>
      <c r="U1110" s="434" t="s">
        <v>437</v>
      </c>
      <c r="V1110" s="436" t="n">
        <f aca="false">AY1110</f>
        <v>0</v>
      </c>
    </row>
    <row r="1111" customFormat="false" ht="13.5" hidden="false" customHeight="false" outlineLevel="0" collapsed="false">
      <c r="A1111" s="424"/>
      <c r="B1111" s="424"/>
      <c r="C1111" s="424"/>
      <c r="D1111" s="424"/>
      <c r="E1111" s="424"/>
      <c r="F1111" s="424"/>
      <c r="G1111" s="424"/>
      <c r="H1111" s="424"/>
      <c r="I1111" s="424"/>
      <c r="J1111" s="424"/>
      <c r="K1111" s="424"/>
      <c r="L1111" s="424"/>
      <c r="M1111" s="424"/>
      <c r="N1111" s="424"/>
      <c r="O1111" s="424"/>
      <c r="P1111" s="438" t="s">
        <v>417</v>
      </c>
      <c r="Q1111" s="435" t="n">
        <v>10</v>
      </c>
      <c r="R1111" s="434" t="s">
        <v>438</v>
      </c>
      <c r="S1111" s="424"/>
      <c r="T1111" s="434" t="s">
        <v>439</v>
      </c>
      <c r="U1111" s="434" t="s">
        <v>440</v>
      </c>
      <c r="V1111" s="436" t="n">
        <f aca="false">AY1111</f>
        <v>0</v>
      </c>
    </row>
    <row r="1112" customFormat="false" ht="13.5" hidden="false" customHeight="false" outlineLevel="0" collapsed="false">
      <c r="A1112" s="424"/>
      <c r="B1112" s="424"/>
      <c r="C1112" s="424"/>
      <c r="D1112" s="424"/>
      <c r="E1112" s="424"/>
      <c r="F1112" s="435" t="n">
        <f aca="false">TRUNC(+A1114/1000000)</f>
        <v>0</v>
      </c>
      <c r="G1112" s="424"/>
      <c r="H1112" s="424"/>
      <c r="I1112" s="424"/>
      <c r="J1112" s="424"/>
      <c r="K1112" s="424"/>
      <c r="L1112" s="424"/>
      <c r="M1112" s="424"/>
      <c r="N1112" s="424"/>
      <c r="O1112" s="424"/>
      <c r="P1112" s="438" t="s">
        <v>417</v>
      </c>
      <c r="Q1112" s="435" t="n">
        <v>11</v>
      </c>
      <c r="R1112" s="434" t="s">
        <v>441</v>
      </c>
      <c r="S1112" s="424"/>
      <c r="T1112" s="434" t="s">
        <v>442</v>
      </c>
      <c r="U1112" s="434" t="s">
        <v>443</v>
      </c>
      <c r="V1112" s="436" t="n">
        <f aca="false">AY1112</f>
        <v>0</v>
      </c>
    </row>
    <row r="1113" customFormat="false" ht="13.5" hidden="false" customHeight="false" outlineLevel="0" collapsed="false">
      <c r="A1113" s="424"/>
      <c r="B1113" s="424"/>
      <c r="C1113" s="424"/>
      <c r="D1113" s="424"/>
      <c r="E1113" s="424"/>
      <c r="F1113" s="435" t="e">
        <f aca="false">(+B1117*100000+C1117*1000+E1117*100)</f>
        <v>#VALUE!</v>
      </c>
      <c r="G1113" s="424"/>
      <c r="H1113" s="424"/>
      <c r="I1113" s="424"/>
      <c r="J1113" s="424"/>
      <c r="K1113" s="424"/>
      <c r="L1113" s="434" t="s">
        <v>444</v>
      </c>
      <c r="M1113" s="424"/>
      <c r="N1113" s="424"/>
      <c r="O1113" s="424"/>
      <c r="P1113" s="438" t="s">
        <v>417</v>
      </c>
      <c r="Q1113" s="435" t="n">
        <v>12</v>
      </c>
      <c r="R1113" s="434" t="s">
        <v>445</v>
      </c>
      <c r="S1113" s="424"/>
      <c r="T1113" s="434" t="s">
        <v>446</v>
      </c>
      <c r="U1113" s="434" t="s">
        <v>447</v>
      </c>
      <c r="V1113" s="436" t="n">
        <f aca="false">AY1113</f>
        <v>0</v>
      </c>
    </row>
    <row r="1114" customFormat="false" ht="13.5" hidden="false" customHeight="false" outlineLevel="0" collapsed="false">
      <c r="A1114" s="436" t="n">
        <f aca="false">TRUNC(+A1115)</f>
        <v>12</v>
      </c>
      <c r="B1114" s="424"/>
      <c r="C1114" s="424"/>
      <c r="D1114" s="424"/>
      <c r="E1114" s="440" t="n">
        <f aca="false">TRUNC(+A1114/100000000)</f>
        <v>0</v>
      </c>
      <c r="F1114" s="424"/>
      <c r="G1114" s="424"/>
      <c r="H1114" s="424"/>
      <c r="I1114" s="424"/>
      <c r="J1114" s="424"/>
      <c r="K1114" s="424"/>
      <c r="L1114" s="424"/>
      <c r="M1114" s="424"/>
      <c r="N1114" s="424"/>
      <c r="O1114" s="424"/>
      <c r="P1114" s="438" t="s">
        <v>417</v>
      </c>
      <c r="Q1114" s="435" t="n">
        <v>13</v>
      </c>
      <c r="R1114" s="434" t="s">
        <v>448</v>
      </c>
      <c r="S1114" s="424"/>
      <c r="T1114" s="434" t="s">
        <v>449</v>
      </c>
      <c r="U1114" s="434" t="s">
        <v>450</v>
      </c>
      <c r="V1114" s="436" t="n">
        <f aca="false">AY1114</f>
        <v>0</v>
      </c>
    </row>
    <row r="1115" customFormat="false" ht="13.5" hidden="false" customHeight="false" outlineLevel="0" collapsed="false">
      <c r="A1115" s="441" t="n">
        <v>12</v>
      </c>
      <c r="B1115" s="434" t="s">
        <v>451</v>
      </c>
      <c r="C1115" s="434" t="s">
        <v>452</v>
      </c>
      <c r="D1115" s="424"/>
      <c r="E1115" s="434" t="s">
        <v>452</v>
      </c>
      <c r="F1115" s="424"/>
      <c r="G1115" s="424"/>
      <c r="H1115" s="424"/>
      <c r="I1115" s="440" t="n">
        <f aca="false">TRUNC((+A1114-(+F1112*1000000))/1000)</f>
        <v>0</v>
      </c>
      <c r="J1115" s="424"/>
      <c r="K1115" s="440" t="n">
        <f aca="false">(TRUNC((+A1114-(+F1112*1000000))/1))-I1115*1000</f>
        <v>12</v>
      </c>
      <c r="L1115" s="424"/>
      <c r="M1115" s="424"/>
      <c r="N1115" s="424"/>
      <c r="O1115" s="424"/>
      <c r="P1115" s="438" t="s">
        <v>417</v>
      </c>
      <c r="Q1115" s="435" t="n">
        <v>14</v>
      </c>
      <c r="R1115" s="434" t="s">
        <v>453</v>
      </c>
      <c r="S1115" s="424"/>
      <c r="T1115" s="434" t="s">
        <v>454</v>
      </c>
      <c r="U1115" s="434" t="s">
        <v>455</v>
      </c>
      <c r="V1115" s="436" t="n">
        <f aca="false">AY1115</f>
        <v>0</v>
      </c>
    </row>
    <row r="1116" customFormat="false" ht="13.5" hidden="false" customHeight="false" outlineLevel="0" collapsed="false">
      <c r="A1116" s="424"/>
      <c r="B1116" s="442" t="s">
        <v>712</v>
      </c>
      <c r="C1116" s="442" t="s">
        <v>712</v>
      </c>
      <c r="D1116" s="424"/>
      <c r="E1116" s="442" t="s">
        <v>712</v>
      </c>
      <c r="F1116" s="424"/>
      <c r="G1116" s="424"/>
      <c r="H1116" s="424"/>
      <c r="I1116" s="424"/>
      <c r="J1116" s="424"/>
      <c r="K1116" s="424"/>
      <c r="L1116" s="424"/>
      <c r="M1116" s="424"/>
      <c r="N1116" s="440" t="n">
        <f aca="false">ROUND(((+A1115-A1114)*100),1)</f>
        <v>0</v>
      </c>
      <c r="O1116" s="424"/>
      <c r="P1116" s="438" t="s">
        <v>417</v>
      </c>
      <c r="Q1116" s="435" t="n">
        <v>15</v>
      </c>
      <c r="R1116" s="434" t="s">
        <v>457</v>
      </c>
      <c r="S1116" s="424"/>
      <c r="T1116" s="434" t="s">
        <v>458</v>
      </c>
      <c r="U1116" s="434" t="s">
        <v>459</v>
      </c>
      <c r="V1116" s="436" t="n">
        <f aca="false">AY1116</f>
        <v>0</v>
      </c>
    </row>
    <row r="1117" customFormat="false" ht="13.5" hidden="false" customHeight="false" outlineLevel="0" collapsed="false">
      <c r="A1117" s="424"/>
      <c r="B1117" s="440" t="n">
        <f aca="false">TRUNC(+A1115/100000000000)</f>
        <v>0</v>
      </c>
      <c r="C1117" s="440" t="n">
        <f aca="false">(TRUNC(+A1114/1000000000))-B1117*100</f>
        <v>0</v>
      </c>
      <c r="D1117" s="424"/>
      <c r="E1117" s="435" t="str">
        <f aca="false">IF(E1114&gt;0,TRUNC(+E1114-B1117*1000-C1117*10),"")</f>
        <v/>
      </c>
      <c r="F1117" s="435" t="e">
        <f aca="false">F1112-F1113</f>
        <v>#VALUE!</v>
      </c>
      <c r="G1117" s="435" t="e">
        <f aca="false">G1119</f>
        <v>#VALUE!</v>
      </c>
      <c r="H1117" s="440" t="n">
        <f aca="false">TRUNC((+A1114-(+F1112*1000000))/100000)</f>
        <v>0</v>
      </c>
      <c r="I1117" s="440" t="n">
        <f aca="false">I1115-H1117*100</f>
        <v>0</v>
      </c>
      <c r="J1117" s="424"/>
      <c r="K1117" s="440" t="n">
        <f aca="false">TRUNC(+K1115/100)</f>
        <v>0</v>
      </c>
      <c r="L1117" s="440" t="n">
        <f aca="false">K1115-K1117*100</f>
        <v>12</v>
      </c>
      <c r="M1117" s="440" t="str">
        <f aca="false">IF(N1117&gt;0," &amp; Sen ","")</f>
        <v/>
      </c>
      <c r="N1117" s="435" t="n">
        <f aca="false">N1116</f>
        <v>0</v>
      </c>
      <c r="O1117" s="424"/>
      <c r="P1117" s="438" t="s">
        <v>417</v>
      </c>
      <c r="Q1117" s="435" t="n">
        <v>16</v>
      </c>
      <c r="R1117" s="434" t="s">
        <v>460</v>
      </c>
      <c r="S1117" s="424"/>
      <c r="T1117" s="434" t="s">
        <v>461</v>
      </c>
      <c r="U1117" s="434" t="s">
        <v>462</v>
      </c>
      <c r="V1117" s="436" t="n">
        <f aca="false">AY1117</f>
        <v>0</v>
      </c>
    </row>
    <row r="1118" customFormat="false" ht="13.5" hidden="false" customHeight="false" outlineLevel="0" collapsed="false">
      <c r="A1118" s="424"/>
      <c r="B1118" s="424"/>
      <c r="C1118" s="424"/>
      <c r="D1118" s="424"/>
      <c r="E1118" s="424"/>
      <c r="F1118" s="424"/>
      <c r="G1118" s="424"/>
      <c r="H1118" s="424"/>
      <c r="I1118" s="424"/>
      <c r="J1118" s="424"/>
      <c r="K1118" s="424"/>
      <c r="L1118" s="424"/>
      <c r="M1118" s="424"/>
      <c r="N1118" s="424"/>
      <c r="O1118" s="424"/>
      <c r="P1118" s="438" t="s">
        <v>417</v>
      </c>
      <c r="Q1118" s="435" t="n">
        <v>17</v>
      </c>
      <c r="R1118" s="434" t="s">
        <v>463</v>
      </c>
      <c r="S1118" s="424"/>
      <c r="T1118" s="434" t="s">
        <v>464</v>
      </c>
      <c r="U1118" s="434" t="s">
        <v>465</v>
      </c>
      <c r="V1118" s="436" t="n">
        <f aca="false">AY1118</f>
        <v>0</v>
      </c>
    </row>
    <row r="1119" customFormat="false" ht="13.5" hidden="false" customHeight="false" outlineLevel="0" collapsed="false">
      <c r="A1119" s="440" t="n">
        <f aca="false">B1117*100000000000</f>
        <v>0</v>
      </c>
      <c r="B1119" s="440" t="str">
        <f aca="false">IF(B1117&gt;0,VLOOKUP(B1117,$Q$7:$T$15,3),"")</f>
        <v/>
      </c>
      <c r="C1119" s="440" t="str">
        <f aca="false">IF(C1117&gt;0,VLOOKUP(C1117,Q1102:R1200,2),"")</f>
        <v/>
      </c>
      <c r="D1119" s="440" t="str">
        <f aca="false">IF(B1114+C1117&gt;0,"Milyar","")</f>
        <v/>
      </c>
      <c r="E1119" s="440" t="e">
        <f aca="false">IF(E1117&gt;0,VLOOKUP(E1117,$Q$7:$T$15,3),"")</f>
        <v>#N/A</v>
      </c>
      <c r="F1119" s="440" t="e">
        <f aca="false">IF(F1117&gt;0,VLOOKUP(F1117,Q1102:R1200,2),"")</f>
        <v>#VALUE!</v>
      </c>
      <c r="G1119" s="435" t="e">
        <f aca="false">IF(F1117+E1117&gt;0," Juta","")</f>
        <v>#VALUE!</v>
      </c>
      <c r="H1119" s="440" t="str">
        <f aca="false">IF(H1117&gt;0,VLOOKUP(H1117,$Q$7:$T$15,3),"")</f>
        <v/>
      </c>
      <c r="I1119" s="440" t="str">
        <f aca="false">IF(I1117=1," Se",IF(I1117=0,"",VLOOKUP(I1117,Q1102:R1200,2)))</f>
        <v/>
      </c>
      <c r="J1119" s="435" t="str">
        <f aca="false">IF(I1117+H1117&gt;0," ribu","")</f>
        <v/>
      </c>
      <c r="K1119" s="440" t="str">
        <f aca="false">IF(K1117&gt;0,VLOOKUP(K1117,Q1102:S1110,3),"")</f>
        <v/>
      </c>
      <c r="L1119" s="440" t="str">
        <f aca="false">IF(L1117&gt;0,VLOOKUP(L1117,Q1102:R1200,2),"")</f>
        <v> Dua belas</v>
      </c>
      <c r="M1119" s="440" t="str">
        <f aca="false">IF(N1117&gt;0,VLOOKUP(N1116,Q1101:U1200,5)," Rupiah ")</f>
        <v> Rupiah </v>
      </c>
      <c r="N1119" s="424"/>
      <c r="O1119" s="435" t="str">
        <f aca="false">IF(N1117&gt;0," ====","")</f>
        <v/>
      </c>
      <c r="P1119" s="435" t="str">
        <f aca="false">IF(N1117&gt;0,"-","====")</f>
        <v>====</v>
      </c>
      <c r="Q1119" s="435" t="n">
        <v>18</v>
      </c>
      <c r="R1119" s="434" t="s">
        <v>466</v>
      </c>
      <c r="S1119" s="424"/>
      <c r="T1119" s="434" t="s">
        <v>467</v>
      </c>
      <c r="U1119" s="434" t="s">
        <v>468</v>
      </c>
      <c r="V1119" s="436" t="n">
        <f aca="false">AY1119</f>
        <v>0</v>
      </c>
    </row>
    <row r="1120" customFormat="false" ht="13.5" hidden="false" customHeight="false" outlineLevel="0" collapsed="false">
      <c r="A1120" s="440"/>
      <c r="B1120" s="435" t="str">
        <f aca="false">B1119</f>
        <v/>
      </c>
      <c r="C1120" s="424"/>
      <c r="D1120" s="424"/>
      <c r="E1120" s="424"/>
      <c r="F1120" s="424"/>
      <c r="G1120" s="424"/>
      <c r="H1120" s="424"/>
      <c r="I1120" s="424"/>
      <c r="J1120" s="424"/>
      <c r="K1120" s="424"/>
      <c r="L1120" s="424"/>
      <c r="M1120" s="424"/>
      <c r="N1120" s="424"/>
      <c r="O1120" s="424"/>
      <c r="P1120" s="438" t="s">
        <v>417</v>
      </c>
      <c r="Q1120" s="435" t="n">
        <v>19</v>
      </c>
      <c r="R1120" s="434" t="s">
        <v>469</v>
      </c>
      <c r="S1120" s="424"/>
      <c r="T1120" s="434" t="s">
        <v>470</v>
      </c>
      <c r="U1120" s="434" t="s">
        <v>471</v>
      </c>
      <c r="V1120" s="436" t="n">
        <f aca="false">AY1125</f>
        <v>0</v>
      </c>
    </row>
    <row r="1121" customFormat="false" ht="13.5" hidden="false" customHeight="false" outlineLevel="0" collapsed="false">
      <c r="A1121" s="440"/>
      <c r="B1121" s="435" t="str">
        <f aca="false">C1119</f>
        <v/>
      </c>
      <c r="C1121" s="424"/>
      <c r="D1121" s="424"/>
      <c r="E1121" s="424"/>
      <c r="F1121" s="424"/>
      <c r="G1121" s="424"/>
      <c r="H1121" s="424"/>
      <c r="I1121" s="424"/>
      <c r="J1121" s="424"/>
      <c r="K1121" s="424"/>
      <c r="L1121" s="424"/>
      <c r="M1121" s="424"/>
      <c r="N1121" s="424"/>
      <c r="O1121" s="424"/>
      <c r="P1121" s="438" t="s">
        <v>417</v>
      </c>
      <c r="Q1121" s="435" t="n">
        <v>20</v>
      </c>
      <c r="R1121" s="434" t="s">
        <v>472</v>
      </c>
      <c r="S1121" s="424"/>
      <c r="T1121" s="434" t="s">
        <v>473</v>
      </c>
      <c r="U1121" s="434" t="s">
        <v>474</v>
      </c>
      <c r="V1121" s="436" t="n">
        <f aca="false">AY1126</f>
        <v>0</v>
      </c>
    </row>
    <row r="1122" customFormat="false" ht="13.5" hidden="false" customHeight="false" outlineLevel="0" collapsed="false">
      <c r="A1122" s="440"/>
      <c r="B1122" s="435" t="str">
        <f aca="false">D1119</f>
        <v/>
      </c>
      <c r="C1122" s="424"/>
      <c r="D1122" s="424"/>
      <c r="E1122" s="424"/>
      <c r="F1122" s="424"/>
      <c r="G1122" s="424"/>
      <c r="H1122" s="424"/>
      <c r="I1122" s="424"/>
      <c r="J1122" s="424"/>
      <c r="K1122" s="424"/>
      <c r="L1122" s="424"/>
      <c r="M1122" s="424"/>
      <c r="N1122" s="424"/>
      <c r="O1122" s="424"/>
      <c r="P1122" s="438" t="s">
        <v>417</v>
      </c>
      <c r="Q1122" s="435" t="n">
        <v>21</v>
      </c>
      <c r="R1122" s="434" t="s">
        <v>475</v>
      </c>
      <c r="S1122" s="424"/>
      <c r="T1122" s="434" t="s">
        <v>476</v>
      </c>
      <c r="U1122" s="434" t="s">
        <v>477</v>
      </c>
      <c r="V1122" s="436" t="n">
        <f aca="false">AY1127</f>
        <v>0</v>
      </c>
    </row>
    <row r="1123" customFormat="false" ht="13.5" hidden="false" customHeight="false" outlineLevel="0" collapsed="false">
      <c r="A1123" s="440"/>
      <c r="B1123" s="435" t="e">
        <f aca="false">E1119</f>
        <v>#N/A</v>
      </c>
      <c r="C1123" s="424"/>
      <c r="D1123" s="424"/>
      <c r="E1123" s="424"/>
      <c r="F1123" s="424"/>
      <c r="G1123" s="424"/>
      <c r="H1123" s="424"/>
      <c r="I1123" s="424"/>
      <c r="J1123" s="424"/>
      <c r="K1123" s="424"/>
      <c r="L1123" s="424"/>
      <c r="M1123" s="424"/>
      <c r="N1123" s="424"/>
      <c r="O1123" s="424"/>
      <c r="P1123" s="424"/>
      <c r="Q1123" s="435" t="n">
        <v>22</v>
      </c>
      <c r="R1123" s="434" t="s">
        <v>478</v>
      </c>
      <c r="S1123" s="424"/>
      <c r="T1123" s="434" t="s">
        <v>479</v>
      </c>
      <c r="U1123" s="434" t="s">
        <v>480</v>
      </c>
      <c r="V1123" s="436" t="n">
        <f aca="false">AY1128</f>
        <v>0</v>
      </c>
    </row>
    <row r="1124" customFormat="false" ht="13.5" hidden="false" customHeight="false" outlineLevel="0" collapsed="false">
      <c r="A1124" s="440"/>
      <c r="B1124" s="435" t="e">
        <f aca="false">F1119</f>
        <v>#VALUE!</v>
      </c>
      <c r="C1124" s="424"/>
      <c r="D1124" s="424"/>
      <c r="E1124" s="424"/>
      <c r="F1124" s="424"/>
      <c r="G1124" s="424"/>
      <c r="H1124" s="424"/>
      <c r="I1124" s="424"/>
      <c r="J1124" s="424"/>
      <c r="K1124" s="424"/>
      <c r="L1124" s="424"/>
      <c r="M1124" s="424"/>
      <c r="N1124" s="424"/>
      <c r="O1124" s="424"/>
      <c r="P1124" s="438" t="s">
        <v>417</v>
      </c>
      <c r="Q1124" s="435" t="n">
        <v>23</v>
      </c>
      <c r="R1124" s="434" t="s">
        <v>481</v>
      </c>
      <c r="S1124" s="424"/>
      <c r="T1124" s="434" t="s">
        <v>482</v>
      </c>
      <c r="U1124" s="434" t="s">
        <v>483</v>
      </c>
      <c r="V1124" s="436" t="n">
        <f aca="false">AY1129</f>
        <v>0</v>
      </c>
    </row>
    <row r="1125" customFormat="false" ht="13.5" hidden="false" customHeight="false" outlineLevel="0" collapsed="false">
      <c r="A1125" s="424"/>
      <c r="B1125" s="424"/>
      <c r="C1125" s="424"/>
      <c r="D1125" s="424"/>
      <c r="E1125" s="424"/>
      <c r="F1125" s="424"/>
      <c r="G1125" s="424"/>
      <c r="H1125" s="424"/>
      <c r="I1125" s="424"/>
      <c r="J1125" s="424"/>
      <c r="K1125" s="424"/>
      <c r="L1125" s="424"/>
      <c r="M1125" s="424"/>
      <c r="N1125" s="424"/>
      <c r="O1125" s="424"/>
      <c r="P1125" s="438" t="s">
        <v>417</v>
      </c>
      <c r="Q1125" s="435" t="n">
        <v>24</v>
      </c>
      <c r="R1125" s="434" t="s">
        <v>484</v>
      </c>
      <c r="S1125" s="424"/>
      <c r="T1125" s="434" t="s">
        <v>485</v>
      </c>
      <c r="U1125" s="434" t="s">
        <v>486</v>
      </c>
      <c r="V1125" s="436" t="n">
        <f aca="false">AY1130</f>
        <v>0</v>
      </c>
    </row>
    <row r="1126" customFormat="false" ht="13.5" hidden="false" customHeight="false" outlineLevel="0" collapsed="false">
      <c r="A1126" s="424"/>
      <c r="B1126" s="424"/>
      <c r="C1126" s="424"/>
      <c r="D1126" s="424"/>
      <c r="E1126" s="424"/>
      <c r="F1126" s="424"/>
      <c r="G1126" s="424"/>
      <c r="H1126" s="424"/>
      <c r="I1126" s="424"/>
      <c r="J1126" s="424"/>
      <c r="K1126" s="424"/>
      <c r="L1126" s="424"/>
      <c r="M1126" s="424"/>
      <c r="N1126" s="424"/>
      <c r="O1126" s="424"/>
      <c r="P1126" s="438" t="s">
        <v>417</v>
      </c>
      <c r="Q1126" s="435" t="n">
        <v>25</v>
      </c>
      <c r="R1126" s="434" t="s">
        <v>487</v>
      </c>
      <c r="S1126" s="424"/>
      <c r="T1126" s="434" t="s">
        <v>488</v>
      </c>
      <c r="U1126" s="434" t="s">
        <v>489</v>
      </c>
      <c r="V1126" s="436" t="n">
        <f aca="false">AY1131</f>
        <v>0</v>
      </c>
    </row>
    <row r="1127" customFormat="false" ht="13.5" hidden="false" customHeight="false" outlineLevel="0" collapsed="false">
      <c r="A1127" s="424"/>
      <c r="B1127" s="424"/>
      <c r="C1127" s="424"/>
      <c r="D1127" s="424"/>
      <c r="E1127" s="424"/>
      <c r="F1127" s="424"/>
      <c r="G1127" s="424"/>
      <c r="H1127" s="424"/>
      <c r="I1127" s="424"/>
      <c r="J1127" s="424"/>
      <c r="K1127" s="424"/>
      <c r="L1127" s="424"/>
      <c r="M1127" s="424"/>
      <c r="N1127" s="424"/>
      <c r="O1127" s="424"/>
      <c r="P1127" s="438" t="s">
        <v>417</v>
      </c>
      <c r="Q1127" s="435" t="n">
        <v>26</v>
      </c>
      <c r="R1127" s="434" t="s">
        <v>490</v>
      </c>
      <c r="S1127" s="424"/>
      <c r="T1127" s="434" t="s">
        <v>491</v>
      </c>
      <c r="U1127" s="434" t="s">
        <v>492</v>
      </c>
      <c r="V1127" s="436" t="n">
        <f aca="false">AY1132</f>
        <v>0</v>
      </c>
    </row>
    <row r="1128" customFormat="false" ht="13.5" hidden="false" customHeight="false" outlineLevel="0" collapsed="false">
      <c r="A1128" s="424"/>
      <c r="B1128" s="424"/>
      <c r="C1128" s="424"/>
      <c r="D1128" s="424"/>
      <c r="E1128" s="424"/>
      <c r="F1128" s="424"/>
      <c r="G1128" s="424"/>
      <c r="H1128" s="424"/>
      <c r="I1128" s="424"/>
      <c r="J1128" s="424"/>
      <c r="K1128" s="424"/>
      <c r="L1128" s="424"/>
      <c r="M1128" s="424"/>
      <c r="N1128" s="424"/>
      <c r="O1128" s="424"/>
      <c r="P1128" s="424"/>
      <c r="Q1128" s="435" t="n">
        <v>27</v>
      </c>
      <c r="R1128" s="434" t="s">
        <v>493</v>
      </c>
      <c r="S1128" s="424"/>
      <c r="T1128" s="434" t="s">
        <v>494</v>
      </c>
      <c r="U1128" s="434" t="s">
        <v>495</v>
      </c>
      <c r="V1128" s="436" t="n">
        <f aca="false">AY1133</f>
        <v>0</v>
      </c>
    </row>
    <row r="1129" customFormat="false" ht="13.5" hidden="false" customHeight="false" outlineLevel="0" collapsed="false">
      <c r="A1129" s="424"/>
      <c r="B1129" s="424"/>
      <c r="C1129" s="424"/>
      <c r="D1129" s="424"/>
      <c r="E1129" s="424"/>
      <c r="F1129" s="424"/>
      <c r="G1129" s="424"/>
      <c r="H1129" s="424"/>
      <c r="I1129" s="424"/>
      <c r="J1129" s="424"/>
      <c r="K1129" s="424"/>
      <c r="L1129" s="424"/>
      <c r="M1129" s="424"/>
      <c r="N1129" s="424"/>
      <c r="O1129" s="424"/>
      <c r="P1129" s="424"/>
      <c r="Q1129" s="435" t="n">
        <v>28</v>
      </c>
      <c r="R1129" s="434" t="s">
        <v>496</v>
      </c>
      <c r="S1129" s="424"/>
      <c r="T1129" s="434" t="s">
        <v>497</v>
      </c>
      <c r="U1129" s="434" t="s">
        <v>498</v>
      </c>
      <c r="V1129" s="436" t="n">
        <f aca="false">AY1134</f>
        <v>0</v>
      </c>
    </row>
    <row r="1130" customFormat="false" ht="13.5" hidden="false" customHeight="false" outlineLevel="0" collapsed="false">
      <c r="A1130" s="424"/>
      <c r="B1130" s="424"/>
      <c r="C1130" s="424"/>
      <c r="D1130" s="424"/>
      <c r="E1130" s="424"/>
      <c r="F1130" s="424"/>
      <c r="G1130" s="424"/>
      <c r="H1130" s="424"/>
      <c r="I1130" s="424"/>
      <c r="J1130" s="424"/>
      <c r="K1130" s="424"/>
      <c r="L1130" s="424"/>
      <c r="M1130" s="424"/>
      <c r="N1130" s="424"/>
      <c r="O1130" s="424"/>
      <c r="P1130" s="424"/>
      <c r="Q1130" s="435" t="n">
        <v>29</v>
      </c>
      <c r="R1130" s="434" t="s">
        <v>499</v>
      </c>
      <c r="S1130" s="424"/>
      <c r="T1130" s="434" t="s">
        <v>500</v>
      </c>
      <c r="U1130" s="434" t="s">
        <v>501</v>
      </c>
      <c r="V1130" s="436" t="n">
        <f aca="false">AY1135</f>
        <v>0</v>
      </c>
    </row>
    <row r="1131" customFormat="false" ht="13.5" hidden="false" customHeight="false" outlineLevel="0" collapsed="false">
      <c r="A1131" s="424"/>
      <c r="B1131" s="424"/>
      <c r="C1131" s="424"/>
      <c r="D1131" s="424"/>
      <c r="E1131" s="424"/>
      <c r="F1131" s="424"/>
      <c r="G1131" s="424"/>
      <c r="H1131" s="424"/>
      <c r="I1131" s="424"/>
      <c r="J1131" s="424"/>
      <c r="K1131" s="424"/>
      <c r="L1131" s="424"/>
      <c r="M1131" s="424"/>
      <c r="N1131" s="424"/>
      <c r="O1131" s="424"/>
      <c r="P1131" s="424"/>
      <c r="Q1131" s="435" t="n">
        <v>30</v>
      </c>
      <c r="R1131" s="434" t="s">
        <v>502</v>
      </c>
      <c r="S1131" s="424"/>
      <c r="T1131" s="434" t="s">
        <v>503</v>
      </c>
      <c r="U1131" s="434" t="s">
        <v>504</v>
      </c>
      <c r="V1131" s="436" t="n">
        <f aca="false">AY1136</f>
        <v>0</v>
      </c>
    </row>
    <row r="1132" customFormat="false" ht="13.5" hidden="false" customHeight="false" outlineLevel="0" collapsed="false">
      <c r="A1132" s="424"/>
      <c r="B1132" s="424"/>
      <c r="C1132" s="424"/>
      <c r="D1132" s="424"/>
      <c r="E1132" s="424"/>
      <c r="F1132" s="424"/>
      <c r="G1132" s="424"/>
      <c r="H1132" s="424"/>
      <c r="I1132" s="424"/>
      <c r="J1132" s="424"/>
      <c r="K1132" s="424"/>
      <c r="L1132" s="424"/>
      <c r="M1132" s="424"/>
      <c r="N1132" s="424"/>
      <c r="O1132" s="424"/>
      <c r="P1132" s="424"/>
      <c r="Q1132" s="435" t="n">
        <v>31</v>
      </c>
      <c r="R1132" s="434" t="s">
        <v>505</v>
      </c>
      <c r="S1132" s="424"/>
      <c r="T1132" s="434" t="s">
        <v>506</v>
      </c>
      <c r="U1132" s="434" t="s">
        <v>507</v>
      </c>
      <c r="V1132" s="436" t="n">
        <f aca="false">AY1137</f>
        <v>0</v>
      </c>
    </row>
    <row r="1133" customFormat="false" ht="13.5" hidden="false" customHeight="false" outlineLevel="0" collapsed="false">
      <c r="A1133" s="424"/>
      <c r="B1133" s="424"/>
      <c r="C1133" s="424"/>
      <c r="D1133" s="424"/>
      <c r="E1133" s="424"/>
      <c r="F1133" s="424"/>
      <c r="G1133" s="424"/>
      <c r="H1133" s="424"/>
      <c r="I1133" s="424"/>
      <c r="J1133" s="424"/>
      <c r="K1133" s="424"/>
      <c r="L1133" s="424"/>
      <c r="M1133" s="424"/>
      <c r="N1133" s="424"/>
      <c r="O1133" s="424"/>
      <c r="P1133" s="424"/>
      <c r="Q1133" s="435" t="n">
        <v>32</v>
      </c>
      <c r="R1133" s="434" t="s">
        <v>508</v>
      </c>
      <c r="S1133" s="424"/>
      <c r="T1133" s="434" t="s">
        <v>509</v>
      </c>
      <c r="U1133" s="434" t="s">
        <v>510</v>
      </c>
      <c r="V1133" s="436" t="n">
        <f aca="false">AY1138</f>
        <v>0</v>
      </c>
    </row>
    <row r="1134" customFormat="false" ht="13.5" hidden="false" customHeight="false" outlineLevel="0" collapsed="false">
      <c r="A1134" s="440"/>
      <c r="B1134" s="435" t="e">
        <f aca="false">G1119</f>
        <v>#VALUE!</v>
      </c>
      <c r="C1134" s="424"/>
      <c r="D1134" s="424"/>
      <c r="E1134" s="424"/>
      <c r="F1134" s="424"/>
      <c r="G1134" s="424"/>
      <c r="H1134" s="424"/>
      <c r="I1134" s="424"/>
      <c r="J1134" s="424"/>
      <c r="K1134" s="424"/>
      <c r="L1134" s="424"/>
      <c r="M1134" s="424"/>
      <c r="N1134" s="424"/>
      <c r="O1134" s="424"/>
      <c r="P1134" s="424"/>
      <c r="Q1134" s="435" t="n">
        <v>33</v>
      </c>
      <c r="R1134" s="434" t="s">
        <v>511</v>
      </c>
      <c r="S1134" s="424"/>
      <c r="T1134" s="434" t="s">
        <v>512</v>
      </c>
      <c r="U1134" s="434" t="s">
        <v>513</v>
      </c>
      <c r="V1134" s="436" t="n">
        <f aca="false">AY1139</f>
        <v>0</v>
      </c>
    </row>
    <row r="1135" customFormat="false" ht="13.5" hidden="false" customHeight="false" outlineLevel="0" collapsed="false">
      <c r="A1135" s="440"/>
      <c r="B1135" s="435" t="str">
        <f aca="false">H1119</f>
        <v/>
      </c>
      <c r="C1135" s="424"/>
      <c r="D1135" s="424"/>
      <c r="E1135" s="424"/>
      <c r="F1135" s="424"/>
      <c r="G1135" s="424"/>
      <c r="H1135" s="424"/>
      <c r="I1135" s="424"/>
      <c r="J1135" s="424"/>
      <c r="K1135" s="424"/>
      <c r="L1135" s="424"/>
      <c r="M1135" s="424"/>
      <c r="N1135" s="424"/>
      <c r="O1135" s="424"/>
      <c r="P1135" s="424"/>
      <c r="Q1135" s="435" t="n">
        <v>34</v>
      </c>
      <c r="R1135" s="434" t="s">
        <v>514</v>
      </c>
      <c r="S1135" s="424"/>
      <c r="T1135" s="434" t="s">
        <v>515</v>
      </c>
      <c r="U1135" s="434" t="s">
        <v>516</v>
      </c>
      <c r="V1135" s="436" t="n">
        <f aca="false">AY1140</f>
        <v>0</v>
      </c>
    </row>
    <row r="1136" customFormat="false" ht="13.5" hidden="false" customHeight="false" outlineLevel="0" collapsed="false">
      <c r="A1136" s="440"/>
      <c r="B1136" s="435" t="str">
        <f aca="false">I1119</f>
        <v/>
      </c>
      <c r="C1136" s="424"/>
      <c r="D1136" s="424"/>
      <c r="E1136" s="424"/>
      <c r="F1136" s="424"/>
      <c r="G1136" s="424"/>
      <c r="H1136" s="424"/>
      <c r="I1136" s="424"/>
      <c r="J1136" s="424"/>
      <c r="K1136" s="424"/>
      <c r="L1136" s="424"/>
      <c r="M1136" s="424"/>
      <c r="N1136" s="424"/>
      <c r="O1136" s="424"/>
      <c r="P1136" s="424"/>
      <c r="Q1136" s="435" t="n">
        <v>35</v>
      </c>
      <c r="R1136" s="434" t="s">
        <v>517</v>
      </c>
      <c r="S1136" s="424"/>
      <c r="T1136" s="434" t="s">
        <v>518</v>
      </c>
      <c r="U1136" s="434" t="s">
        <v>519</v>
      </c>
      <c r="V1136" s="436" t="n">
        <f aca="false">AY1141</f>
        <v>0</v>
      </c>
    </row>
    <row r="1137" customFormat="false" ht="13.5" hidden="false" customHeight="false" outlineLevel="0" collapsed="false">
      <c r="A1137" s="440"/>
      <c r="B1137" s="435" t="str">
        <f aca="false">J1119</f>
        <v/>
      </c>
      <c r="C1137" s="424"/>
      <c r="D1137" s="424"/>
      <c r="E1137" s="424"/>
      <c r="F1137" s="424"/>
      <c r="G1137" s="424"/>
      <c r="H1137" s="424"/>
      <c r="I1137" s="424"/>
      <c r="J1137" s="424"/>
      <c r="K1137" s="424"/>
      <c r="L1137" s="424"/>
      <c r="M1137" s="424"/>
      <c r="N1137" s="424"/>
      <c r="O1137" s="424"/>
      <c r="P1137" s="424"/>
      <c r="Q1137" s="435" t="n">
        <v>36</v>
      </c>
      <c r="R1137" s="434" t="s">
        <v>520</v>
      </c>
      <c r="S1137" s="424"/>
      <c r="T1137" s="434" t="s">
        <v>521</v>
      </c>
      <c r="U1137" s="434" t="s">
        <v>522</v>
      </c>
      <c r="V1137" s="436" t="n">
        <f aca="false">AY1142</f>
        <v>0</v>
      </c>
    </row>
    <row r="1138" customFormat="false" ht="13.5" hidden="false" customHeight="false" outlineLevel="0" collapsed="false">
      <c r="A1138" s="440"/>
      <c r="B1138" s="440" t="str">
        <f aca="false">K1119</f>
        <v/>
      </c>
      <c r="C1138" s="424"/>
      <c r="D1138" s="424"/>
      <c r="E1138" s="424"/>
      <c r="F1138" s="424"/>
      <c r="G1138" s="424"/>
      <c r="H1138" s="424"/>
      <c r="I1138" s="424"/>
      <c r="J1138" s="424"/>
      <c r="K1138" s="424"/>
      <c r="L1138" s="424"/>
      <c r="M1138" s="424"/>
      <c r="N1138" s="424"/>
      <c r="O1138" s="424"/>
      <c r="P1138" s="424"/>
      <c r="Q1138" s="435" t="n">
        <v>37</v>
      </c>
      <c r="R1138" s="434" t="s">
        <v>523</v>
      </c>
      <c r="S1138" s="424"/>
      <c r="T1138" s="434" t="s">
        <v>524</v>
      </c>
      <c r="U1138" s="434" t="s">
        <v>525</v>
      </c>
      <c r="V1138" s="436" t="n">
        <f aca="false">AY1143</f>
        <v>0</v>
      </c>
    </row>
    <row r="1139" customFormat="false" ht="13.5" hidden="false" customHeight="false" outlineLevel="0" collapsed="false">
      <c r="A1139" s="440"/>
      <c r="B1139" s="435" t="str">
        <f aca="false">L1119</f>
        <v> Dua belas</v>
      </c>
      <c r="C1139" s="424"/>
      <c r="D1139" s="424"/>
      <c r="E1139" s="424"/>
      <c r="F1139" s="424"/>
      <c r="G1139" s="424"/>
      <c r="H1139" s="424"/>
      <c r="I1139" s="424"/>
      <c r="J1139" s="424"/>
      <c r="K1139" s="424"/>
      <c r="L1139" s="424"/>
      <c r="M1139" s="424"/>
      <c r="N1139" s="424"/>
      <c r="O1139" s="424"/>
      <c r="P1139" s="424"/>
      <c r="Q1139" s="435" t="n">
        <v>38</v>
      </c>
      <c r="R1139" s="434" t="s">
        <v>526</v>
      </c>
      <c r="S1139" s="424"/>
      <c r="T1139" s="434" t="s">
        <v>527</v>
      </c>
      <c r="U1139" s="434" t="s">
        <v>528</v>
      </c>
      <c r="V1139" s="436" t="n">
        <f aca="false">AY1144</f>
        <v>0</v>
      </c>
    </row>
    <row r="1140" customFormat="false" ht="13.5" hidden="false" customHeight="false" outlineLevel="0" collapsed="false">
      <c r="A1140" s="440"/>
      <c r="B1140" s="435" t="str">
        <f aca="false">M1119</f>
        <v> Rupiah </v>
      </c>
      <c r="C1140" s="424"/>
      <c r="D1140" s="424"/>
      <c r="E1140" s="424"/>
      <c r="F1140" s="424"/>
      <c r="G1140" s="424"/>
      <c r="H1140" s="424"/>
      <c r="I1140" s="424"/>
      <c r="J1140" s="424"/>
      <c r="K1140" s="424"/>
      <c r="L1140" s="424"/>
      <c r="M1140" s="424"/>
      <c r="N1140" s="424"/>
      <c r="O1140" s="424"/>
      <c r="P1140" s="424"/>
      <c r="Q1140" s="435" t="n">
        <v>39</v>
      </c>
      <c r="R1140" s="434" t="s">
        <v>529</v>
      </c>
      <c r="S1140" s="424"/>
      <c r="T1140" s="434" t="s">
        <v>530</v>
      </c>
      <c r="U1140" s="434" t="s">
        <v>531</v>
      </c>
      <c r="V1140" s="436" t="n">
        <f aca="false">AY1145</f>
        <v>0</v>
      </c>
    </row>
    <row r="1141" customFormat="false" ht="13.5" hidden="false" customHeight="false" outlineLevel="0" collapsed="false">
      <c r="A1141" s="436" t="e">
        <f aca="false">+#REF!</f>
        <v>#REF!</v>
      </c>
      <c r="B1141" s="435" t="str">
        <f aca="false">O1119</f>
        <v/>
      </c>
      <c r="C1141" s="424"/>
      <c r="D1141" s="424"/>
      <c r="E1141" s="424"/>
      <c r="F1141" s="424"/>
      <c r="G1141" s="424"/>
      <c r="H1141" s="424"/>
      <c r="I1141" s="424"/>
      <c r="J1141" s="424"/>
      <c r="K1141" s="424"/>
      <c r="L1141" s="424"/>
      <c r="M1141" s="424"/>
      <c r="N1141" s="424"/>
      <c r="O1141" s="424"/>
      <c r="P1141" s="424"/>
      <c r="Q1141" s="435" t="n">
        <v>40</v>
      </c>
      <c r="R1141" s="434" t="s">
        <v>532</v>
      </c>
      <c r="S1141" s="424"/>
      <c r="T1141" s="434" t="s">
        <v>533</v>
      </c>
      <c r="U1141" s="434" t="s">
        <v>534</v>
      </c>
      <c r="V1141" s="436" t="n">
        <f aca="false">AY1146</f>
        <v>0</v>
      </c>
    </row>
    <row r="1142" customFormat="false" ht="13.5" hidden="false" customHeight="false" outlineLevel="0" collapsed="false">
      <c r="A1142" s="440"/>
      <c r="B1142" s="435" t="str">
        <f aca="false">IF(N1117&gt;0,"-","====")</f>
        <v>====</v>
      </c>
      <c r="C1142" s="424"/>
      <c r="D1142" s="424"/>
      <c r="E1142" s="424"/>
      <c r="F1142" s="424"/>
      <c r="G1142" s="424"/>
      <c r="H1142" s="424"/>
      <c r="I1142" s="424"/>
      <c r="J1142" s="424"/>
      <c r="K1142" s="424"/>
      <c r="L1142" s="424"/>
      <c r="M1142" s="424"/>
      <c r="N1142" s="424"/>
      <c r="O1142" s="424"/>
      <c r="P1142" s="424"/>
      <c r="Q1142" s="435" t="n">
        <v>41</v>
      </c>
      <c r="R1142" s="434" t="s">
        <v>535</v>
      </c>
      <c r="S1142" s="424"/>
      <c r="T1142" s="434" t="s">
        <v>536</v>
      </c>
      <c r="U1142" s="434" t="s">
        <v>537</v>
      </c>
      <c r="V1142" s="436" t="n">
        <f aca="false">AY1147</f>
        <v>0</v>
      </c>
    </row>
    <row r="1143" customFormat="false" ht="13.5" hidden="false" customHeight="false" outlineLevel="0" collapsed="false">
      <c r="A1143" s="435" t="e">
        <f aca="false">B1119&amp;C1119&amp;D1119&amp;E1119&amp;F1119&amp;G1119&amp;H1119&amp;I1119&amp;J1119&amp;K1119&amp;L1119&amp;M1119&amp;O1119</f>
        <v>#N/A</v>
      </c>
      <c r="B1143" s="424"/>
      <c r="C1143" s="424"/>
      <c r="D1143" s="424"/>
      <c r="E1143" s="424"/>
      <c r="F1143" s="424"/>
      <c r="G1143" s="424"/>
      <c r="H1143" s="424"/>
      <c r="I1143" s="424"/>
      <c r="J1143" s="424"/>
      <c r="K1143" s="424"/>
      <c r="L1143" s="424"/>
      <c r="M1143" s="424"/>
      <c r="N1143" s="424"/>
      <c r="O1143" s="424"/>
      <c r="P1143" s="424"/>
      <c r="Q1143" s="435" t="n">
        <v>42</v>
      </c>
      <c r="R1143" s="434" t="s">
        <v>538</v>
      </c>
      <c r="S1143" s="424"/>
      <c r="T1143" s="434" t="s">
        <v>539</v>
      </c>
      <c r="U1143" s="434" t="s">
        <v>540</v>
      </c>
      <c r="V1143" s="436" t="n">
        <f aca="false">AY1148</f>
        <v>0</v>
      </c>
    </row>
    <row r="1144" customFormat="false" ht="13.5" hidden="false" customHeight="false" outlineLevel="0" collapsed="false">
      <c r="A1144" s="440" t="str">
        <f aca="false">I1119&amp;J1119&amp;K1119&amp;L1119&amp;M1119&amp;O1119</f>
        <v> Dua belas Rupiah </v>
      </c>
      <c r="B1144" s="424"/>
      <c r="C1144" s="424"/>
      <c r="D1144" s="424"/>
      <c r="E1144" s="424"/>
      <c r="F1144" s="424"/>
      <c r="G1144" s="424"/>
      <c r="H1144" s="424"/>
      <c r="I1144" s="424"/>
      <c r="J1144" s="424"/>
      <c r="K1144" s="424"/>
      <c r="L1144" s="424"/>
      <c r="M1144" s="424"/>
      <c r="N1144" s="424"/>
      <c r="O1144" s="424"/>
      <c r="P1144" s="424"/>
      <c r="Q1144" s="435" t="n">
        <v>43</v>
      </c>
      <c r="R1144" s="434" t="s">
        <v>541</v>
      </c>
      <c r="S1144" s="424"/>
      <c r="T1144" s="434" t="s">
        <v>542</v>
      </c>
      <c r="U1144" s="434" t="s">
        <v>543</v>
      </c>
      <c r="V1144" s="436" t="n">
        <f aca="false">AY1149</f>
        <v>0</v>
      </c>
    </row>
    <row r="1145" customFormat="false" ht="13.5" hidden="false" customHeight="false" outlineLevel="0" collapsed="false">
      <c r="A1145" s="440"/>
      <c r="B1145" s="424"/>
      <c r="C1145" s="424"/>
      <c r="D1145" s="424"/>
      <c r="E1145" s="424"/>
      <c r="F1145" s="424"/>
      <c r="G1145" s="424"/>
      <c r="H1145" s="424"/>
      <c r="I1145" s="424"/>
      <c r="J1145" s="424"/>
      <c r="K1145" s="424"/>
      <c r="L1145" s="424"/>
      <c r="M1145" s="424"/>
      <c r="N1145" s="424"/>
      <c r="O1145" s="424"/>
      <c r="P1145" s="424"/>
      <c r="Q1145" s="435" t="n">
        <v>44</v>
      </c>
      <c r="R1145" s="434" t="s">
        <v>544</v>
      </c>
      <c r="S1145" s="424"/>
      <c r="T1145" s="434" t="s">
        <v>545</v>
      </c>
      <c r="U1145" s="434" t="s">
        <v>546</v>
      </c>
      <c r="V1145" s="436" t="n">
        <f aca="false">AY1150</f>
        <v>0</v>
      </c>
    </row>
    <row r="1146" customFormat="false" ht="13.5" hidden="false" customHeight="false" outlineLevel="0" collapsed="false">
      <c r="A1146" s="440"/>
      <c r="B1146" s="424"/>
      <c r="C1146" s="424"/>
      <c r="D1146" s="424"/>
      <c r="E1146" s="424"/>
      <c r="F1146" s="424"/>
      <c r="G1146" s="424"/>
      <c r="H1146" s="424"/>
      <c r="I1146" s="424"/>
      <c r="J1146" s="424"/>
      <c r="K1146" s="424"/>
      <c r="L1146" s="424"/>
      <c r="M1146" s="424"/>
      <c r="N1146" s="424"/>
      <c r="O1146" s="424"/>
      <c r="P1146" s="424"/>
      <c r="Q1146" s="435" t="n">
        <v>45</v>
      </c>
      <c r="R1146" s="434" t="s">
        <v>547</v>
      </c>
      <c r="S1146" s="424"/>
      <c r="T1146" s="434" t="s">
        <v>548</v>
      </c>
      <c r="U1146" s="434" t="s">
        <v>549</v>
      </c>
      <c r="V1146" s="436" t="n">
        <f aca="false">AY1151</f>
        <v>0</v>
      </c>
    </row>
    <row r="1147" customFormat="false" ht="13.5" hidden="false" customHeight="false" outlineLevel="0" collapsed="false">
      <c r="A1147" s="440"/>
      <c r="B1147" s="424"/>
      <c r="C1147" s="424"/>
      <c r="D1147" s="424"/>
      <c r="E1147" s="424"/>
      <c r="F1147" s="424"/>
      <c r="G1147" s="424"/>
      <c r="H1147" s="424"/>
      <c r="I1147" s="424"/>
      <c r="J1147" s="424"/>
      <c r="K1147" s="424"/>
      <c r="L1147" s="424"/>
      <c r="M1147" s="424"/>
      <c r="N1147" s="424"/>
      <c r="O1147" s="424"/>
      <c r="P1147" s="424"/>
      <c r="Q1147" s="435" t="n">
        <v>46</v>
      </c>
      <c r="R1147" s="434" t="s">
        <v>550</v>
      </c>
      <c r="S1147" s="424"/>
      <c r="T1147" s="434" t="s">
        <v>551</v>
      </c>
      <c r="U1147" s="434" t="s">
        <v>552</v>
      </c>
      <c r="V1147" s="436" t="n">
        <f aca="false">AY1152</f>
        <v>0</v>
      </c>
    </row>
    <row r="1148" customFormat="false" ht="13.5" hidden="false" customHeight="false" outlineLevel="0" collapsed="false">
      <c r="A1148" s="440"/>
      <c r="B1148" s="424"/>
      <c r="C1148" s="424"/>
      <c r="D1148" s="424"/>
      <c r="E1148" s="424"/>
      <c r="F1148" s="424"/>
      <c r="G1148" s="424"/>
      <c r="H1148" s="424"/>
      <c r="I1148" s="424"/>
      <c r="J1148" s="424"/>
      <c r="K1148" s="424"/>
      <c r="L1148" s="424"/>
      <c r="M1148" s="424"/>
      <c r="N1148" s="424"/>
      <c r="O1148" s="424"/>
      <c r="P1148" s="424"/>
      <c r="Q1148" s="435" t="n">
        <v>47</v>
      </c>
      <c r="R1148" s="434" t="s">
        <v>553</v>
      </c>
      <c r="S1148" s="424"/>
      <c r="T1148" s="434" t="s">
        <v>554</v>
      </c>
      <c r="U1148" s="434" t="s">
        <v>555</v>
      </c>
      <c r="V1148" s="436" t="n">
        <f aca="false">AY1153</f>
        <v>0</v>
      </c>
    </row>
    <row r="1149" customFormat="false" ht="13.5" hidden="false" customHeight="false" outlineLevel="0" collapsed="false">
      <c r="A1149" s="424"/>
      <c r="B1149" s="424"/>
      <c r="C1149" s="424"/>
      <c r="D1149" s="424"/>
      <c r="E1149" s="424"/>
      <c r="F1149" s="424"/>
      <c r="G1149" s="424"/>
      <c r="H1149" s="424"/>
      <c r="I1149" s="424"/>
      <c r="J1149" s="424"/>
      <c r="K1149" s="424"/>
      <c r="L1149" s="424"/>
      <c r="M1149" s="424"/>
      <c r="N1149" s="424"/>
      <c r="O1149" s="424"/>
      <c r="P1149" s="424"/>
      <c r="Q1149" s="435" t="n">
        <v>48</v>
      </c>
      <c r="R1149" s="434" t="s">
        <v>556</v>
      </c>
      <c r="S1149" s="424"/>
      <c r="T1149" s="434" t="s">
        <v>557</v>
      </c>
      <c r="U1149" s="434" t="s">
        <v>558</v>
      </c>
      <c r="V1149" s="436" t="n">
        <f aca="false">AY1154</f>
        <v>0</v>
      </c>
    </row>
    <row r="1150" customFormat="false" ht="13.5" hidden="false" customHeight="false" outlineLevel="0" collapsed="false">
      <c r="A1150" s="424"/>
      <c r="B1150" s="424"/>
      <c r="C1150" s="424"/>
      <c r="D1150" s="424"/>
      <c r="E1150" s="424"/>
      <c r="F1150" s="424"/>
      <c r="G1150" s="424"/>
      <c r="H1150" s="424"/>
      <c r="I1150" s="424"/>
      <c r="J1150" s="424"/>
      <c r="K1150" s="424"/>
      <c r="L1150" s="424"/>
      <c r="M1150" s="424"/>
      <c r="N1150" s="424"/>
      <c r="O1150" s="424"/>
      <c r="P1150" s="424"/>
      <c r="Q1150" s="435" t="n">
        <v>49</v>
      </c>
      <c r="R1150" s="434" t="s">
        <v>559</v>
      </c>
      <c r="S1150" s="424"/>
      <c r="T1150" s="434" t="s">
        <v>560</v>
      </c>
      <c r="U1150" s="434" t="s">
        <v>561</v>
      </c>
      <c r="V1150" s="436" t="n">
        <f aca="false">AY1155</f>
        <v>0</v>
      </c>
    </row>
    <row r="1151" customFormat="false" ht="13.5" hidden="false" customHeight="false" outlineLevel="0" collapsed="false">
      <c r="A1151" s="424"/>
      <c r="B1151" s="424"/>
      <c r="C1151" s="424"/>
      <c r="D1151" s="424"/>
      <c r="E1151" s="424"/>
      <c r="F1151" s="424"/>
      <c r="G1151" s="424"/>
      <c r="H1151" s="424"/>
      <c r="I1151" s="424"/>
      <c r="J1151" s="424"/>
      <c r="K1151" s="424"/>
      <c r="L1151" s="424"/>
      <c r="M1151" s="424"/>
      <c r="N1151" s="424"/>
      <c r="O1151" s="424"/>
      <c r="P1151" s="424"/>
      <c r="Q1151" s="435" t="n">
        <v>50</v>
      </c>
      <c r="R1151" s="434" t="s">
        <v>562</v>
      </c>
      <c r="S1151" s="424"/>
      <c r="T1151" s="434" t="s">
        <v>563</v>
      </c>
      <c r="U1151" s="434" t="s">
        <v>564</v>
      </c>
      <c r="V1151" s="436" t="n">
        <f aca="false">AY1156</f>
        <v>0</v>
      </c>
    </row>
    <row r="1152" customFormat="false" ht="13.5" hidden="false" customHeight="false" outlineLevel="0" collapsed="false">
      <c r="A1152" s="424"/>
      <c r="B1152" s="424"/>
      <c r="C1152" s="424"/>
      <c r="D1152" s="424"/>
      <c r="E1152" s="424"/>
      <c r="F1152" s="424"/>
      <c r="G1152" s="424"/>
      <c r="H1152" s="424"/>
      <c r="I1152" s="424"/>
      <c r="J1152" s="424"/>
      <c r="K1152" s="424"/>
      <c r="L1152" s="424"/>
      <c r="M1152" s="424"/>
      <c r="N1152" s="424"/>
      <c r="O1152" s="424"/>
      <c r="P1152" s="424"/>
      <c r="Q1152" s="435" t="n">
        <v>51</v>
      </c>
      <c r="R1152" s="434" t="s">
        <v>565</v>
      </c>
      <c r="S1152" s="424"/>
      <c r="T1152" s="434" t="s">
        <v>566</v>
      </c>
      <c r="U1152" s="434" t="s">
        <v>567</v>
      </c>
      <c r="V1152" s="436" t="n">
        <f aca="false">AY1157</f>
        <v>0</v>
      </c>
    </row>
    <row r="1153" customFormat="false" ht="13.5" hidden="false" customHeight="false" outlineLevel="0" collapsed="false">
      <c r="A1153" s="424"/>
      <c r="B1153" s="424"/>
      <c r="C1153" s="424"/>
      <c r="D1153" s="424"/>
      <c r="E1153" s="424"/>
      <c r="F1153" s="424"/>
      <c r="G1153" s="424"/>
      <c r="H1153" s="424"/>
      <c r="I1153" s="424"/>
      <c r="J1153" s="424"/>
      <c r="K1153" s="424"/>
      <c r="L1153" s="424"/>
      <c r="M1153" s="424"/>
      <c r="N1153" s="424"/>
      <c r="O1153" s="424"/>
      <c r="P1153" s="424"/>
      <c r="Q1153" s="435" t="n">
        <v>52</v>
      </c>
      <c r="R1153" s="434" t="s">
        <v>568</v>
      </c>
      <c r="S1153" s="424"/>
      <c r="T1153" s="434" t="s">
        <v>569</v>
      </c>
      <c r="U1153" s="434" t="s">
        <v>570</v>
      </c>
      <c r="V1153" s="436" t="n">
        <f aca="false">AY1158</f>
        <v>0</v>
      </c>
    </row>
    <row r="1154" customFormat="false" ht="13.5" hidden="false" customHeight="false" outlineLevel="0" collapsed="false">
      <c r="A1154" s="424"/>
      <c r="B1154" s="424"/>
      <c r="C1154" s="424"/>
      <c r="D1154" s="424"/>
      <c r="E1154" s="424"/>
      <c r="F1154" s="424"/>
      <c r="G1154" s="424"/>
      <c r="H1154" s="424"/>
      <c r="I1154" s="424"/>
      <c r="J1154" s="424"/>
      <c r="K1154" s="424"/>
      <c r="L1154" s="424"/>
      <c r="M1154" s="424"/>
      <c r="N1154" s="424"/>
      <c r="O1154" s="424"/>
      <c r="P1154" s="424"/>
      <c r="Q1154" s="435" t="n">
        <v>53</v>
      </c>
      <c r="R1154" s="434" t="s">
        <v>571</v>
      </c>
      <c r="S1154" s="424"/>
      <c r="T1154" s="434" t="s">
        <v>572</v>
      </c>
      <c r="U1154" s="434" t="s">
        <v>573</v>
      </c>
      <c r="V1154" s="436" t="n">
        <f aca="false">AY1159</f>
        <v>0</v>
      </c>
    </row>
    <row r="1155" customFormat="false" ht="13.5" hidden="false" customHeight="false" outlineLevel="0" collapsed="false">
      <c r="A1155" s="424"/>
      <c r="B1155" s="424"/>
      <c r="C1155" s="424"/>
      <c r="D1155" s="424"/>
      <c r="E1155" s="424"/>
      <c r="F1155" s="424"/>
      <c r="G1155" s="424"/>
      <c r="H1155" s="424"/>
      <c r="I1155" s="424"/>
      <c r="J1155" s="424"/>
      <c r="K1155" s="424"/>
      <c r="L1155" s="424"/>
      <c r="M1155" s="424"/>
      <c r="N1155" s="424"/>
      <c r="O1155" s="424"/>
      <c r="P1155" s="424"/>
      <c r="Q1155" s="435" t="n">
        <v>54</v>
      </c>
      <c r="R1155" s="434" t="s">
        <v>574</v>
      </c>
      <c r="S1155" s="424"/>
      <c r="T1155" s="434" t="s">
        <v>575</v>
      </c>
      <c r="U1155" s="434" t="s">
        <v>576</v>
      </c>
      <c r="V1155" s="436" t="n">
        <f aca="false">AY1160</f>
        <v>0</v>
      </c>
    </row>
    <row r="1156" customFormat="false" ht="13.5" hidden="false" customHeight="false" outlineLevel="0" collapsed="false">
      <c r="A1156" s="424"/>
      <c r="B1156" s="424"/>
      <c r="C1156" s="424"/>
      <c r="D1156" s="424"/>
      <c r="E1156" s="424"/>
      <c r="F1156" s="424"/>
      <c r="G1156" s="424"/>
      <c r="H1156" s="424"/>
      <c r="I1156" s="424"/>
      <c r="J1156" s="424"/>
      <c r="K1156" s="424"/>
      <c r="L1156" s="424"/>
      <c r="M1156" s="424"/>
      <c r="N1156" s="424"/>
      <c r="O1156" s="424"/>
      <c r="P1156" s="424"/>
      <c r="Q1156" s="435" t="n">
        <v>55</v>
      </c>
      <c r="R1156" s="434" t="s">
        <v>577</v>
      </c>
      <c r="S1156" s="424"/>
      <c r="T1156" s="434" t="s">
        <v>578</v>
      </c>
      <c r="U1156" s="434" t="s">
        <v>579</v>
      </c>
      <c r="V1156" s="436" t="n">
        <f aca="false">AY1161</f>
        <v>0</v>
      </c>
    </row>
    <row r="1157" customFormat="false" ht="13.5" hidden="false" customHeight="false" outlineLevel="0" collapsed="false">
      <c r="A1157" s="424"/>
      <c r="B1157" s="424"/>
      <c r="C1157" s="424"/>
      <c r="D1157" s="424"/>
      <c r="E1157" s="424"/>
      <c r="F1157" s="424"/>
      <c r="G1157" s="424"/>
      <c r="H1157" s="424"/>
      <c r="I1157" s="424"/>
      <c r="J1157" s="424"/>
      <c r="K1157" s="424"/>
      <c r="L1157" s="424"/>
      <c r="M1157" s="424"/>
      <c r="N1157" s="424"/>
      <c r="O1157" s="424"/>
      <c r="P1157" s="424"/>
      <c r="Q1157" s="435" t="n">
        <v>56</v>
      </c>
      <c r="R1157" s="434" t="s">
        <v>580</v>
      </c>
      <c r="S1157" s="424"/>
      <c r="T1157" s="434" t="s">
        <v>581</v>
      </c>
      <c r="U1157" s="434" t="s">
        <v>582</v>
      </c>
      <c r="V1157" s="436" t="n">
        <f aca="false">AY1162</f>
        <v>0</v>
      </c>
    </row>
    <row r="1158" customFormat="false" ht="13.5" hidden="false" customHeight="false" outlineLevel="0" collapsed="false">
      <c r="A1158" s="424"/>
      <c r="B1158" s="424"/>
      <c r="C1158" s="424"/>
      <c r="D1158" s="424"/>
      <c r="E1158" s="424"/>
      <c r="F1158" s="424"/>
      <c r="G1158" s="424"/>
      <c r="H1158" s="424"/>
      <c r="I1158" s="424"/>
      <c r="J1158" s="424"/>
      <c r="K1158" s="424"/>
      <c r="L1158" s="424"/>
      <c r="M1158" s="424"/>
      <c r="N1158" s="424"/>
      <c r="O1158" s="424"/>
      <c r="P1158" s="424"/>
      <c r="Q1158" s="435" t="n">
        <v>57</v>
      </c>
      <c r="R1158" s="434" t="s">
        <v>583</v>
      </c>
      <c r="S1158" s="424"/>
      <c r="T1158" s="434" t="s">
        <v>584</v>
      </c>
      <c r="U1158" s="434" t="s">
        <v>585</v>
      </c>
      <c r="V1158" s="436" t="n">
        <f aca="false">AY1163</f>
        <v>0</v>
      </c>
    </row>
    <row r="1159" customFormat="false" ht="13.5" hidden="false" customHeight="false" outlineLevel="0" collapsed="false">
      <c r="A1159" s="424"/>
      <c r="B1159" s="424"/>
      <c r="C1159" s="424"/>
      <c r="D1159" s="424"/>
      <c r="E1159" s="424"/>
      <c r="F1159" s="424"/>
      <c r="G1159" s="424"/>
      <c r="H1159" s="424"/>
      <c r="I1159" s="424"/>
      <c r="J1159" s="424"/>
      <c r="K1159" s="424"/>
      <c r="L1159" s="424"/>
      <c r="M1159" s="424"/>
      <c r="N1159" s="424"/>
      <c r="O1159" s="424"/>
      <c r="P1159" s="424"/>
      <c r="Q1159" s="435" t="n">
        <v>58</v>
      </c>
      <c r="R1159" s="434" t="s">
        <v>586</v>
      </c>
      <c r="S1159" s="424"/>
      <c r="T1159" s="434" t="s">
        <v>587</v>
      </c>
      <c r="U1159" s="434" t="s">
        <v>588</v>
      </c>
      <c r="V1159" s="436" t="n">
        <f aca="false">AY1164</f>
        <v>0</v>
      </c>
    </row>
    <row r="1160" customFormat="false" ht="13.5" hidden="false" customHeight="false" outlineLevel="0" collapsed="false">
      <c r="A1160" s="424"/>
      <c r="B1160" s="424"/>
      <c r="C1160" s="424"/>
      <c r="D1160" s="424"/>
      <c r="E1160" s="424"/>
      <c r="F1160" s="424"/>
      <c r="G1160" s="424"/>
      <c r="H1160" s="424"/>
      <c r="I1160" s="424"/>
      <c r="J1160" s="424"/>
      <c r="K1160" s="424"/>
      <c r="L1160" s="424"/>
      <c r="M1160" s="424"/>
      <c r="N1160" s="424"/>
      <c r="O1160" s="424"/>
      <c r="P1160" s="424"/>
      <c r="Q1160" s="435" t="n">
        <v>59</v>
      </c>
      <c r="R1160" s="434" t="s">
        <v>589</v>
      </c>
      <c r="S1160" s="424"/>
      <c r="T1160" s="434" t="s">
        <v>590</v>
      </c>
      <c r="U1160" s="434" t="s">
        <v>591</v>
      </c>
      <c r="V1160" s="436" t="n">
        <f aca="false">AY1165</f>
        <v>0</v>
      </c>
    </row>
    <row r="1161" customFormat="false" ht="13.5" hidden="false" customHeight="false" outlineLevel="0" collapsed="false">
      <c r="A1161" s="424"/>
      <c r="B1161" s="424"/>
      <c r="C1161" s="424"/>
      <c r="D1161" s="424"/>
      <c r="E1161" s="424"/>
      <c r="F1161" s="424"/>
      <c r="G1161" s="424"/>
      <c r="H1161" s="424"/>
      <c r="I1161" s="424"/>
      <c r="J1161" s="424"/>
      <c r="K1161" s="424"/>
      <c r="L1161" s="424"/>
      <c r="M1161" s="424"/>
      <c r="N1161" s="424"/>
      <c r="O1161" s="424"/>
      <c r="P1161" s="424"/>
      <c r="Q1161" s="435" t="n">
        <v>60</v>
      </c>
      <c r="R1161" s="434" t="s">
        <v>592</v>
      </c>
      <c r="S1161" s="424"/>
      <c r="T1161" s="434" t="s">
        <v>593</v>
      </c>
      <c r="U1161" s="434" t="s">
        <v>594</v>
      </c>
      <c r="V1161" s="436" t="n">
        <f aca="false">AY1166</f>
        <v>0</v>
      </c>
    </row>
    <row r="1162" customFormat="false" ht="13.5" hidden="false" customHeight="false" outlineLevel="0" collapsed="false">
      <c r="A1162" s="424"/>
      <c r="B1162" s="424"/>
      <c r="C1162" s="424"/>
      <c r="D1162" s="424"/>
      <c r="E1162" s="424"/>
      <c r="F1162" s="424"/>
      <c r="G1162" s="424"/>
      <c r="H1162" s="424"/>
      <c r="I1162" s="424"/>
      <c r="J1162" s="424"/>
      <c r="K1162" s="424"/>
      <c r="L1162" s="424"/>
      <c r="M1162" s="424"/>
      <c r="N1162" s="424"/>
      <c r="O1162" s="424"/>
      <c r="P1162" s="424"/>
      <c r="Q1162" s="435" t="n">
        <v>61</v>
      </c>
      <c r="R1162" s="434" t="s">
        <v>595</v>
      </c>
      <c r="S1162" s="424"/>
      <c r="T1162" s="434" t="s">
        <v>596</v>
      </c>
      <c r="U1162" s="434" t="s">
        <v>597</v>
      </c>
      <c r="V1162" s="436" t="n">
        <f aca="false">AY1167</f>
        <v>0</v>
      </c>
    </row>
    <row r="1163" customFormat="false" ht="13.5" hidden="false" customHeight="false" outlineLevel="0" collapsed="false">
      <c r="A1163" s="424"/>
      <c r="B1163" s="424"/>
      <c r="C1163" s="424"/>
      <c r="D1163" s="424"/>
      <c r="E1163" s="424"/>
      <c r="F1163" s="424"/>
      <c r="G1163" s="424"/>
      <c r="H1163" s="424"/>
      <c r="I1163" s="424"/>
      <c r="J1163" s="424"/>
      <c r="K1163" s="424"/>
      <c r="L1163" s="424"/>
      <c r="M1163" s="424"/>
      <c r="N1163" s="424"/>
      <c r="O1163" s="424"/>
      <c r="P1163" s="424"/>
      <c r="Q1163" s="435" t="n">
        <v>62</v>
      </c>
      <c r="R1163" s="434" t="s">
        <v>598</v>
      </c>
      <c r="S1163" s="424"/>
      <c r="T1163" s="434" t="s">
        <v>599</v>
      </c>
      <c r="U1163" s="434" t="s">
        <v>600</v>
      </c>
      <c r="V1163" s="436" t="n">
        <f aca="false">AY1168</f>
        <v>0</v>
      </c>
    </row>
    <row r="1164" customFormat="false" ht="13.5" hidden="false" customHeight="false" outlineLevel="0" collapsed="false">
      <c r="A1164" s="424"/>
      <c r="B1164" s="424"/>
      <c r="C1164" s="424"/>
      <c r="D1164" s="424"/>
      <c r="E1164" s="424"/>
      <c r="F1164" s="424"/>
      <c r="G1164" s="424"/>
      <c r="H1164" s="424"/>
      <c r="I1164" s="424"/>
      <c r="J1164" s="424"/>
      <c r="K1164" s="424"/>
      <c r="L1164" s="424"/>
      <c r="M1164" s="424"/>
      <c r="N1164" s="424"/>
      <c r="O1164" s="424"/>
      <c r="P1164" s="424"/>
      <c r="Q1164" s="435" t="n">
        <v>63</v>
      </c>
      <c r="R1164" s="434" t="s">
        <v>601</v>
      </c>
      <c r="S1164" s="424"/>
      <c r="T1164" s="434" t="s">
        <v>602</v>
      </c>
      <c r="U1164" s="434" t="s">
        <v>603</v>
      </c>
      <c r="V1164" s="436" t="n">
        <f aca="false">AY1169</f>
        <v>0</v>
      </c>
    </row>
    <row r="1165" customFormat="false" ht="13.5" hidden="false" customHeight="false" outlineLevel="0" collapsed="false">
      <c r="A1165" s="424"/>
      <c r="B1165" s="424"/>
      <c r="C1165" s="424"/>
      <c r="D1165" s="424"/>
      <c r="E1165" s="424"/>
      <c r="F1165" s="424"/>
      <c r="G1165" s="424"/>
      <c r="H1165" s="424"/>
      <c r="I1165" s="424"/>
      <c r="J1165" s="424"/>
      <c r="K1165" s="424"/>
      <c r="L1165" s="424"/>
      <c r="M1165" s="424"/>
      <c r="N1165" s="424"/>
      <c r="O1165" s="424"/>
      <c r="P1165" s="424"/>
      <c r="Q1165" s="435" t="n">
        <v>64</v>
      </c>
      <c r="R1165" s="434" t="s">
        <v>604</v>
      </c>
      <c r="S1165" s="424"/>
      <c r="T1165" s="434" t="s">
        <v>605</v>
      </c>
      <c r="U1165" s="434" t="s">
        <v>606</v>
      </c>
      <c r="V1165" s="436" t="n">
        <f aca="false">AY1170</f>
        <v>0</v>
      </c>
    </row>
    <row r="1166" customFormat="false" ht="13.5" hidden="false" customHeight="false" outlineLevel="0" collapsed="false">
      <c r="A1166" s="424"/>
      <c r="B1166" s="424"/>
      <c r="C1166" s="424"/>
      <c r="D1166" s="424"/>
      <c r="E1166" s="424"/>
      <c r="F1166" s="424"/>
      <c r="G1166" s="424"/>
      <c r="H1166" s="424"/>
      <c r="I1166" s="424"/>
      <c r="J1166" s="424"/>
      <c r="K1166" s="424"/>
      <c r="L1166" s="424"/>
      <c r="M1166" s="424"/>
      <c r="N1166" s="424"/>
      <c r="O1166" s="424"/>
      <c r="P1166" s="424"/>
      <c r="Q1166" s="435" t="n">
        <v>65</v>
      </c>
      <c r="R1166" s="434" t="s">
        <v>607</v>
      </c>
      <c r="S1166" s="424"/>
      <c r="T1166" s="434" t="s">
        <v>608</v>
      </c>
      <c r="U1166" s="434" t="s">
        <v>609</v>
      </c>
      <c r="V1166" s="436" t="n">
        <f aca="false">AY1171</f>
        <v>0</v>
      </c>
    </row>
    <row r="1167" customFormat="false" ht="13.5" hidden="false" customHeight="false" outlineLevel="0" collapsed="false">
      <c r="A1167" s="424"/>
      <c r="B1167" s="424"/>
      <c r="C1167" s="424"/>
      <c r="D1167" s="424"/>
      <c r="E1167" s="424"/>
      <c r="F1167" s="424"/>
      <c r="G1167" s="424"/>
      <c r="H1167" s="424"/>
      <c r="I1167" s="424"/>
      <c r="J1167" s="424"/>
      <c r="K1167" s="424"/>
      <c r="L1167" s="424"/>
      <c r="M1167" s="424"/>
      <c r="N1167" s="424"/>
      <c r="O1167" s="424"/>
      <c r="P1167" s="424"/>
      <c r="Q1167" s="435" t="n">
        <v>66</v>
      </c>
      <c r="R1167" s="434" t="s">
        <v>610</v>
      </c>
      <c r="S1167" s="424"/>
      <c r="T1167" s="434" t="s">
        <v>611</v>
      </c>
      <c r="U1167" s="434" t="s">
        <v>612</v>
      </c>
      <c r="V1167" s="436" t="n">
        <f aca="false">AY1172</f>
        <v>0</v>
      </c>
    </row>
    <row r="1168" customFormat="false" ht="13.5" hidden="false" customHeight="false" outlineLevel="0" collapsed="false">
      <c r="A1168" s="424"/>
      <c r="B1168" s="424"/>
      <c r="C1168" s="424"/>
      <c r="D1168" s="424"/>
      <c r="E1168" s="424"/>
      <c r="F1168" s="424"/>
      <c r="G1168" s="424"/>
      <c r="H1168" s="424"/>
      <c r="I1168" s="424"/>
      <c r="J1168" s="424"/>
      <c r="K1168" s="424"/>
      <c r="L1168" s="424"/>
      <c r="M1168" s="424"/>
      <c r="N1168" s="424"/>
      <c r="O1168" s="424"/>
      <c r="P1168" s="424"/>
      <c r="Q1168" s="435" t="n">
        <v>67</v>
      </c>
      <c r="R1168" s="434" t="s">
        <v>613</v>
      </c>
      <c r="S1168" s="424"/>
      <c r="T1168" s="434" t="s">
        <v>614</v>
      </c>
      <c r="U1168" s="434" t="s">
        <v>615</v>
      </c>
      <c r="V1168" s="436" t="n">
        <f aca="false">AY1173</f>
        <v>0</v>
      </c>
    </row>
    <row r="1169" customFormat="false" ht="13.5" hidden="false" customHeight="false" outlineLevel="0" collapsed="false">
      <c r="A1169" s="424"/>
      <c r="B1169" s="424"/>
      <c r="C1169" s="424"/>
      <c r="D1169" s="424"/>
      <c r="E1169" s="424"/>
      <c r="F1169" s="424"/>
      <c r="G1169" s="424"/>
      <c r="H1169" s="424"/>
      <c r="I1169" s="424"/>
      <c r="J1169" s="424"/>
      <c r="K1169" s="424"/>
      <c r="L1169" s="424"/>
      <c r="M1169" s="424"/>
      <c r="N1169" s="424"/>
      <c r="O1169" s="424"/>
      <c r="P1169" s="424"/>
      <c r="Q1169" s="435" t="n">
        <v>68</v>
      </c>
      <c r="R1169" s="434" t="s">
        <v>616</v>
      </c>
      <c r="S1169" s="424"/>
      <c r="T1169" s="434" t="s">
        <v>617</v>
      </c>
      <c r="U1169" s="434" t="s">
        <v>618</v>
      </c>
      <c r="V1169" s="436" t="n">
        <f aca="false">AY1174</f>
        <v>0</v>
      </c>
    </row>
    <row r="1170" customFormat="false" ht="13.5" hidden="false" customHeight="false" outlineLevel="0" collapsed="false">
      <c r="A1170" s="424"/>
      <c r="B1170" s="424"/>
      <c r="C1170" s="424"/>
      <c r="D1170" s="424"/>
      <c r="E1170" s="424"/>
      <c r="F1170" s="424"/>
      <c r="G1170" s="424"/>
      <c r="H1170" s="424"/>
      <c r="I1170" s="424"/>
      <c r="J1170" s="424"/>
      <c r="K1170" s="424"/>
      <c r="L1170" s="424"/>
      <c r="M1170" s="424"/>
      <c r="N1170" s="424"/>
      <c r="O1170" s="424"/>
      <c r="P1170" s="424"/>
      <c r="Q1170" s="435" t="n">
        <v>69</v>
      </c>
      <c r="R1170" s="434" t="s">
        <v>619</v>
      </c>
      <c r="S1170" s="424"/>
      <c r="T1170" s="434" t="s">
        <v>620</v>
      </c>
      <c r="U1170" s="434" t="s">
        <v>621</v>
      </c>
      <c r="V1170" s="436" t="n">
        <f aca="false">AY1175</f>
        <v>0</v>
      </c>
    </row>
    <row r="1171" customFormat="false" ht="13.5" hidden="false" customHeight="false" outlineLevel="0" collapsed="false">
      <c r="A1171" s="424"/>
      <c r="B1171" s="424"/>
      <c r="C1171" s="424"/>
      <c r="D1171" s="424"/>
      <c r="E1171" s="424"/>
      <c r="F1171" s="424"/>
      <c r="G1171" s="424"/>
      <c r="H1171" s="424"/>
      <c r="I1171" s="424"/>
      <c r="J1171" s="424"/>
      <c r="K1171" s="424"/>
      <c r="L1171" s="424"/>
      <c r="M1171" s="424"/>
      <c r="N1171" s="424"/>
      <c r="O1171" s="424"/>
      <c r="P1171" s="424"/>
      <c r="Q1171" s="435" t="n">
        <v>70</v>
      </c>
      <c r="R1171" s="434" t="s">
        <v>622</v>
      </c>
      <c r="S1171" s="424"/>
      <c r="T1171" s="434" t="s">
        <v>623</v>
      </c>
      <c r="U1171" s="434" t="s">
        <v>624</v>
      </c>
      <c r="V1171" s="436" t="n">
        <f aca="false">AY1176</f>
        <v>0</v>
      </c>
    </row>
    <row r="1172" customFormat="false" ht="13.5" hidden="false" customHeight="false" outlineLevel="0" collapsed="false">
      <c r="A1172" s="424"/>
      <c r="B1172" s="424"/>
      <c r="C1172" s="424"/>
      <c r="D1172" s="424"/>
      <c r="E1172" s="424"/>
      <c r="F1172" s="424"/>
      <c r="G1172" s="424"/>
      <c r="H1172" s="424"/>
      <c r="I1172" s="424"/>
      <c r="J1172" s="424"/>
      <c r="K1172" s="424"/>
      <c r="L1172" s="424"/>
      <c r="M1172" s="424"/>
      <c r="N1172" s="424"/>
      <c r="O1172" s="424"/>
      <c r="P1172" s="424"/>
      <c r="Q1172" s="435" t="n">
        <v>71</v>
      </c>
      <c r="R1172" s="434" t="s">
        <v>625</v>
      </c>
      <c r="S1172" s="424"/>
      <c r="T1172" s="434" t="s">
        <v>626</v>
      </c>
      <c r="U1172" s="434" t="s">
        <v>627</v>
      </c>
      <c r="V1172" s="436" t="n">
        <f aca="false">AY1177</f>
        <v>0</v>
      </c>
    </row>
    <row r="1173" customFormat="false" ht="13.5" hidden="false" customHeight="false" outlineLevel="0" collapsed="false">
      <c r="A1173" s="424"/>
      <c r="B1173" s="424"/>
      <c r="C1173" s="424"/>
      <c r="D1173" s="424"/>
      <c r="E1173" s="424"/>
      <c r="F1173" s="424"/>
      <c r="G1173" s="424"/>
      <c r="H1173" s="424"/>
      <c r="I1173" s="424"/>
      <c r="J1173" s="424"/>
      <c r="K1173" s="424"/>
      <c r="L1173" s="424"/>
      <c r="M1173" s="424"/>
      <c r="N1173" s="424"/>
      <c r="O1173" s="424"/>
      <c r="P1173" s="424"/>
      <c r="Q1173" s="435" t="n">
        <v>72</v>
      </c>
      <c r="R1173" s="434" t="s">
        <v>628</v>
      </c>
      <c r="S1173" s="424"/>
      <c r="T1173" s="434" t="s">
        <v>629</v>
      </c>
      <c r="U1173" s="434" t="s">
        <v>630</v>
      </c>
      <c r="V1173" s="436" t="n">
        <f aca="false">AY1178</f>
        <v>0</v>
      </c>
    </row>
    <row r="1174" customFormat="false" ht="13.5" hidden="false" customHeight="false" outlineLevel="0" collapsed="false">
      <c r="A1174" s="424"/>
      <c r="B1174" s="424"/>
      <c r="C1174" s="424"/>
      <c r="D1174" s="424"/>
      <c r="E1174" s="424"/>
      <c r="F1174" s="424"/>
      <c r="G1174" s="424"/>
      <c r="H1174" s="424"/>
      <c r="I1174" s="424"/>
      <c r="J1174" s="424"/>
      <c r="K1174" s="424"/>
      <c r="L1174" s="424"/>
      <c r="M1174" s="424"/>
      <c r="N1174" s="424"/>
      <c r="O1174" s="424"/>
      <c r="P1174" s="424"/>
      <c r="Q1174" s="435" t="n">
        <v>73</v>
      </c>
      <c r="R1174" s="434" t="s">
        <v>631</v>
      </c>
      <c r="S1174" s="424"/>
      <c r="T1174" s="434" t="s">
        <v>632</v>
      </c>
      <c r="U1174" s="434" t="s">
        <v>633</v>
      </c>
      <c r="V1174" s="436" t="n">
        <f aca="false">AY1179</f>
        <v>0</v>
      </c>
    </row>
    <row r="1175" customFormat="false" ht="13.5" hidden="false" customHeight="false" outlineLevel="0" collapsed="false">
      <c r="A1175" s="424"/>
      <c r="B1175" s="424"/>
      <c r="C1175" s="424"/>
      <c r="D1175" s="424"/>
      <c r="E1175" s="424"/>
      <c r="F1175" s="424"/>
      <c r="G1175" s="424"/>
      <c r="H1175" s="424"/>
      <c r="I1175" s="424"/>
      <c r="J1175" s="424"/>
      <c r="K1175" s="424"/>
      <c r="L1175" s="424"/>
      <c r="M1175" s="424"/>
      <c r="N1175" s="424"/>
      <c r="O1175" s="424"/>
      <c r="P1175" s="424"/>
      <c r="Q1175" s="435" t="n">
        <v>74</v>
      </c>
      <c r="R1175" s="434" t="s">
        <v>634</v>
      </c>
      <c r="S1175" s="424"/>
      <c r="T1175" s="434" t="s">
        <v>635</v>
      </c>
      <c r="U1175" s="434" t="s">
        <v>636</v>
      </c>
      <c r="V1175" s="436" t="n">
        <f aca="false">AY1180</f>
        <v>0</v>
      </c>
    </row>
    <row r="1176" customFormat="false" ht="13.5" hidden="false" customHeight="false" outlineLevel="0" collapsed="false">
      <c r="A1176" s="424"/>
      <c r="B1176" s="424"/>
      <c r="C1176" s="424"/>
      <c r="D1176" s="424"/>
      <c r="E1176" s="424"/>
      <c r="F1176" s="424"/>
      <c r="G1176" s="424"/>
      <c r="H1176" s="424"/>
      <c r="I1176" s="424"/>
      <c r="J1176" s="424"/>
      <c r="K1176" s="424"/>
      <c r="L1176" s="424"/>
      <c r="M1176" s="424"/>
      <c r="N1176" s="424"/>
      <c r="O1176" s="424"/>
      <c r="P1176" s="424"/>
      <c r="Q1176" s="435" t="n">
        <v>75</v>
      </c>
      <c r="R1176" s="434" t="s">
        <v>637</v>
      </c>
      <c r="S1176" s="424"/>
      <c r="T1176" s="434" t="s">
        <v>638</v>
      </c>
      <c r="U1176" s="434" t="s">
        <v>639</v>
      </c>
      <c r="V1176" s="436" t="n">
        <f aca="false">AY1181</f>
        <v>0</v>
      </c>
    </row>
    <row r="1177" customFormat="false" ht="13.5" hidden="false" customHeight="false" outlineLevel="0" collapsed="false">
      <c r="A1177" s="424"/>
      <c r="B1177" s="424"/>
      <c r="C1177" s="424"/>
      <c r="D1177" s="424"/>
      <c r="E1177" s="424"/>
      <c r="F1177" s="424"/>
      <c r="G1177" s="424"/>
      <c r="H1177" s="424"/>
      <c r="I1177" s="424"/>
      <c r="J1177" s="424"/>
      <c r="K1177" s="424"/>
      <c r="L1177" s="424"/>
      <c r="M1177" s="424"/>
      <c r="N1177" s="424"/>
      <c r="O1177" s="424"/>
      <c r="P1177" s="424"/>
      <c r="Q1177" s="435" t="n">
        <v>76</v>
      </c>
      <c r="R1177" s="434" t="s">
        <v>640</v>
      </c>
      <c r="S1177" s="424"/>
      <c r="T1177" s="434" t="s">
        <v>641</v>
      </c>
      <c r="U1177" s="434" t="s">
        <v>642</v>
      </c>
      <c r="V1177" s="436" t="n">
        <f aca="false">AY1182</f>
        <v>0</v>
      </c>
    </row>
    <row r="1178" customFormat="false" ht="13.5" hidden="false" customHeight="false" outlineLevel="0" collapsed="false">
      <c r="A1178" s="424"/>
      <c r="B1178" s="424"/>
      <c r="C1178" s="424"/>
      <c r="D1178" s="424"/>
      <c r="E1178" s="424"/>
      <c r="F1178" s="424"/>
      <c r="G1178" s="424"/>
      <c r="H1178" s="424"/>
      <c r="I1178" s="424"/>
      <c r="J1178" s="424"/>
      <c r="K1178" s="424"/>
      <c r="L1178" s="424"/>
      <c r="M1178" s="424"/>
      <c r="N1178" s="424"/>
      <c r="O1178" s="424"/>
      <c r="P1178" s="424"/>
      <c r="Q1178" s="435" t="n">
        <v>77</v>
      </c>
      <c r="R1178" s="434" t="s">
        <v>643</v>
      </c>
      <c r="S1178" s="424"/>
      <c r="T1178" s="434" t="s">
        <v>644</v>
      </c>
      <c r="U1178" s="434" t="s">
        <v>645</v>
      </c>
      <c r="V1178" s="436" t="n">
        <f aca="false">AY1183</f>
        <v>0</v>
      </c>
    </row>
    <row r="1179" customFormat="false" ht="13.5" hidden="false" customHeight="false" outlineLevel="0" collapsed="false">
      <c r="A1179" s="424"/>
      <c r="B1179" s="424"/>
      <c r="C1179" s="424"/>
      <c r="D1179" s="424"/>
      <c r="E1179" s="424"/>
      <c r="F1179" s="424"/>
      <c r="G1179" s="424"/>
      <c r="H1179" s="424"/>
      <c r="I1179" s="424"/>
      <c r="J1179" s="424"/>
      <c r="K1179" s="424"/>
      <c r="L1179" s="424"/>
      <c r="M1179" s="424"/>
      <c r="N1179" s="424"/>
      <c r="O1179" s="424"/>
      <c r="P1179" s="424"/>
      <c r="Q1179" s="435" t="n">
        <v>78</v>
      </c>
      <c r="R1179" s="434" t="s">
        <v>646</v>
      </c>
      <c r="S1179" s="424"/>
      <c r="T1179" s="434" t="s">
        <v>647</v>
      </c>
      <c r="U1179" s="434" t="s">
        <v>648</v>
      </c>
      <c r="V1179" s="436" t="n">
        <f aca="false">AY1184</f>
        <v>0</v>
      </c>
    </row>
    <row r="1180" customFormat="false" ht="13.5" hidden="false" customHeight="false" outlineLevel="0" collapsed="false">
      <c r="A1180" s="424"/>
      <c r="B1180" s="424"/>
      <c r="C1180" s="424"/>
      <c r="D1180" s="424"/>
      <c r="E1180" s="424"/>
      <c r="F1180" s="424"/>
      <c r="G1180" s="424"/>
      <c r="H1180" s="424"/>
      <c r="I1180" s="424"/>
      <c r="J1180" s="424"/>
      <c r="K1180" s="424"/>
      <c r="L1180" s="424"/>
      <c r="M1180" s="424"/>
      <c r="N1180" s="424"/>
      <c r="O1180" s="424"/>
      <c r="P1180" s="424"/>
      <c r="Q1180" s="435" t="n">
        <v>79</v>
      </c>
      <c r="R1180" s="434" t="s">
        <v>649</v>
      </c>
      <c r="S1180" s="424"/>
      <c r="T1180" s="434" t="s">
        <v>650</v>
      </c>
      <c r="U1180" s="434" t="s">
        <v>651</v>
      </c>
      <c r="V1180" s="436" t="n">
        <f aca="false">AY1185</f>
        <v>0</v>
      </c>
    </row>
    <row r="1181" customFormat="false" ht="13.5" hidden="false" customHeight="false" outlineLevel="0" collapsed="false">
      <c r="A1181" s="424"/>
      <c r="B1181" s="424"/>
      <c r="C1181" s="424"/>
      <c r="D1181" s="424"/>
      <c r="E1181" s="424"/>
      <c r="F1181" s="424"/>
      <c r="G1181" s="424"/>
      <c r="H1181" s="424"/>
      <c r="I1181" s="424"/>
      <c r="J1181" s="424"/>
      <c r="K1181" s="424"/>
      <c r="L1181" s="424"/>
      <c r="M1181" s="424"/>
      <c r="N1181" s="424"/>
      <c r="O1181" s="424"/>
      <c r="P1181" s="424"/>
      <c r="Q1181" s="435" t="n">
        <v>80</v>
      </c>
      <c r="R1181" s="434" t="s">
        <v>652</v>
      </c>
      <c r="S1181" s="424"/>
      <c r="T1181" s="434" t="s">
        <v>653</v>
      </c>
      <c r="U1181" s="434" t="s">
        <v>654</v>
      </c>
      <c r="V1181" s="436" t="n">
        <f aca="false">AY1186</f>
        <v>0</v>
      </c>
    </row>
    <row r="1182" customFormat="false" ht="13.5" hidden="false" customHeight="false" outlineLevel="0" collapsed="false">
      <c r="A1182" s="424"/>
      <c r="B1182" s="424"/>
      <c r="C1182" s="424"/>
      <c r="D1182" s="424"/>
      <c r="E1182" s="424"/>
      <c r="F1182" s="424"/>
      <c r="G1182" s="424"/>
      <c r="H1182" s="424"/>
      <c r="I1182" s="424"/>
      <c r="J1182" s="424"/>
      <c r="K1182" s="424"/>
      <c r="L1182" s="424"/>
      <c r="M1182" s="424"/>
      <c r="N1182" s="424"/>
      <c r="O1182" s="424"/>
      <c r="P1182" s="424"/>
      <c r="Q1182" s="435" t="n">
        <v>81</v>
      </c>
      <c r="R1182" s="434" t="s">
        <v>655</v>
      </c>
      <c r="S1182" s="424"/>
      <c r="T1182" s="434" t="s">
        <v>656</v>
      </c>
      <c r="U1182" s="434" t="s">
        <v>657</v>
      </c>
      <c r="V1182" s="436" t="n">
        <f aca="false">AY1187</f>
        <v>0</v>
      </c>
    </row>
    <row r="1183" customFormat="false" ht="13.5" hidden="false" customHeight="false" outlineLevel="0" collapsed="false">
      <c r="A1183" s="424"/>
      <c r="B1183" s="424"/>
      <c r="C1183" s="424"/>
      <c r="D1183" s="424"/>
      <c r="E1183" s="424"/>
      <c r="F1183" s="424"/>
      <c r="G1183" s="424"/>
      <c r="H1183" s="424"/>
      <c r="I1183" s="424"/>
      <c r="J1183" s="424"/>
      <c r="K1183" s="424"/>
      <c r="L1183" s="424"/>
      <c r="M1183" s="424"/>
      <c r="N1183" s="424"/>
      <c r="O1183" s="424"/>
      <c r="P1183" s="424"/>
      <c r="Q1183" s="435" t="n">
        <v>82</v>
      </c>
      <c r="R1183" s="434" t="s">
        <v>658</v>
      </c>
      <c r="S1183" s="424"/>
      <c r="T1183" s="434" t="s">
        <v>659</v>
      </c>
      <c r="U1183" s="434" t="s">
        <v>660</v>
      </c>
      <c r="V1183" s="436" t="n">
        <f aca="false">AY1188</f>
        <v>0</v>
      </c>
    </row>
    <row r="1184" customFormat="false" ht="13.5" hidden="false" customHeight="false" outlineLevel="0" collapsed="false">
      <c r="A1184" s="424"/>
      <c r="B1184" s="424"/>
      <c r="C1184" s="424"/>
      <c r="D1184" s="424"/>
      <c r="E1184" s="424"/>
      <c r="F1184" s="424"/>
      <c r="G1184" s="424"/>
      <c r="H1184" s="424"/>
      <c r="I1184" s="424"/>
      <c r="J1184" s="424"/>
      <c r="K1184" s="424"/>
      <c r="L1184" s="424"/>
      <c r="M1184" s="424"/>
      <c r="N1184" s="424"/>
      <c r="O1184" s="424"/>
      <c r="P1184" s="424"/>
      <c r="Q1184" s="435" t="n">
        <v>83</v>
      </c>
      <c r="R1184" s="434" t="s">
        <v>661</v>
      </c>
      <c r="S1184" s="424"/>
      <c r="T1184" s="434" t="s">
        <v>662</v>
      </c>
      <c r="U1184" s="434" t="s">
        <v>663</v>
      </c>
      <c r="V1184" s="436" t="n">
        <f aca="false">AY1189</f>
        <v>0</v>
      </c>
    </row>
    <row r="1185" customFormat="false" ht="13.5" hidden="false" customHeight="false" outlineLevel="0" collapsed="false">
      <c r="A1185" s="424"/>
      <c r="B1185" s="424"/>
      <c r="C1185" s="424"/>
      <c r="D1185" s="424"/>
      <c r="E1185" s="424"/>
      <c r="F1185" s="424"/>
      <c r="G1185" s="424"/>
      <c r="H1185" s="424"/>
      <c r="I1185" s="424"/>
      <c r="J1185" s="424"/>
      <c r="K1185" s="424"/>
      <c r="L1185" s="424"/>
      <c r="M1185" s="424"/>
      <c r="N1185" s="424"/>
      <c r="O1185" s="424"/>
      <c r="P1185" s="424"/>
      <c r="Q1185" s="435" t="n">
        <v>84</v>
      </c>
      <c r="R1185" s="434" t="s">
        <v>664</v>
      </c>
      <c r="S1185" s="424"/>
      <c r="T1185" s="434" t="s">
        <v>665</v>
      </c>
      <c r="U1185" s="434" t="s">
        <v>666</v>
      </c>
      <c r="V1185" s="436" t="n">
        <f aca="false">AY1190</f>
        <v>0</v>
      </c>
    </row>
    <row r="1186" customFormat="false" ht="13.5" hidden="false" customHeight="false" outlineLevel="0" collapsed="false">
      <c r="A1186" s="424"/>
      <c r="B1186" s="424"/>
      <c r="C1186" s="424"/>
      <c r="D1186" s="424"/>
      <c r="E1186" s="424"/>
      <c r="F1186" s="424"/>
      <c r="G1186" s="424"/>
      <c r="H1186" s="424"/>
      <c r="I1186" s="424"/>
      <c r="J1186" s="424"/>
      <c r="K1186" s="424"/>
      <c r="L1186" s="424"/>
      <c r="M1186" s="424"/>
      <c r="N1186" s="424"/>
      <c r="O1186" s="424"/>
      <c r="P1186" s="424"/>
      <c r="Q1186" s="435" t="n">
        <v>85</v>
      </c>
      <c r="R1186" s="434" t="s">
        <v>667</v>
      </c>
      <c r="S1186" s="424"/>
      <c r="T1186" s="434" t="s">
        <v>668</v>
      </c>
      <c r="U1186" s="434" t="s">
        <v>669</v>
      </c>
      <c r="V1186" s="436" t="n">
        <f aca="false">AY1191</f>
        <v>0</v>
      </c>
    </row>
    <row r="1187" customFormat="false" ht="13.5" hidden="false" customHeight="false" outlineLevel="0" collapsed="false">
      <c r="A1187" s="424"/>
      <c r="B1187" s="424"/>
      <c r="C1187" s="424"/>
      <c r="D1187" s="424"/>
      <c r="E1187" s="424"/>
      <c r="F1187" s="424"/>
      <c r="G1187" s="424"/>
      <c r="H1187" s="424"/>
      <c r="I1187" s="424"/>
      <c r="J1187" s="424"/>
      <c r="K1187" s="424"/>
      <c r="L1187" s="424"/>
      <c r="M1187" s="424"/>
      <c r="N1187" s="424"/>
      <c r="O1187" s="424"/>
      <c r="P1187" s="424"/>
      <c r="Q1187" s="435" t="n">
        <v>86</v>
      </c>
      <c r="R1187" s="434" t="s">
        <v>670</v>
      </c>
      <c r="S1187" s="424"/>
      <c r="T1187" s="434" t="s">
        <v>671</v>
      </c>
      <c r="U1187" s="434" t="s">
        <v>672</v>
      </c>
      <c r="V1187" s="436" t="n">
        <f aca="false">AY1192</f>
        <v>0</v>
      </c>
    </row>
    <row r="1188" customFormat="false" ht="13.5" hidden="false" customHeight="false" outlineLevel="0" collapsed="false">
      <c r="A1188" s="424"/>
      <c r="B1188" s="424"/>
      <c r="C1188" s="424"/>
      <c r="D1188" s="424"/>
      <c r="E1188" s="424"/>
      <c r="F1188" s="424"/>
      <c r="G1188" s="424"/>
      <c r="H1188" s="424"/>
      <c r="I1188" s="424"/>
      <c r="J1188" s="424"/>
      <c r="K1188" s="424"/>
      <c r="L1188" s="424"/>
      <c r="M1188" s="424"/>
      <c r="N1188" s="424"/>
      <c r="O1188" s="424"/>
      <c r="P1188" s="424"/>
      <c r="Q1188" s="435" t="n">
        <v>87</v>
      </c>
      <c r="R1188" s="434" t="s">
        <v>673</v>
      </c>
      <c r="S1188" s="424"/>
      <c r="T1188" s="434" t="s">
        <v>674</v>
      </c>
      <c r="U1188" s="434" t="s">
        <v>675</v>
      </c>
      <c r="V1188" s="436" t="n">
        <f aca="false">AY1193</f>
        <v>0</v>
      </c>
    </row>
    <row r="1189" customFormat="false" ht="13.5" hidden="false" customHeight="false" outlineLevel="0" collapsed="false">
      <c r="A1189" s="424"/>
      <c r="B1189" s="424"/>
      <c r="C1189" s="424"/>
      <c r="D1189" s="424"/>
      <c r="E1189" s="424"/>
      <c r="F1189" s="424"/>
      <c r="G1189" s="424"/>
      <c r="H1189" s="424"/>
      <c r="I1189" s="424"/>
      <c r="J1189" s="424"/>
      <c r="K1189" s="424"/>
      <c r="L1189" s="424"/>
      <c r="M1189" s="424"/>
      <c r="N1189" s="424"/>
      <c r="O1189" s="424"/>
      <c r="P1189" s="424"/>
      <c r="Q1189" s="435" t="n">
        <v>88</v>
      </c>
      <c r="R1189" s="434" t="s">
        <v>676</v>
      </c>
      <c r="S1189" s="424"/>
      <c r="T1189" s="434" t="s">
        <v>677</v>
      </c>
      <c r="U1189" s="434" t="s">
        <v>678</v>
      </c>
      <c r="V1189" s="436" t="n">
        <f aca="false">AY1194</f>
        <v>0</v>
      </c>
    </row>
    <row r="1190" customFormat="false" ht="13.5" hidden="false" customHeight="false" outlineLevel="0" collapsed="false">
      <c r="A1190" s="424"/>
      <c r="B1190" s="424"/>
      <c r="C1190" s="424"/>
      <c r="D1190" s="424"/>
      <c r="E1190" s="424"/>
      <c r="F1190" s="424"/>
      <c r="G1190" s="424"/>
      <c r="H1190" s="424"/>
      <c r="I1190" s="424"/>
      <c r="J1190" s="424"/>
      <c r="K1190" s="424"/>
      <c r="L1190" s="424"/>
      <c r="M1190" s="424"/>
      <c r="N1190" s="424"/>
      <c r="O1190" s="424"/>
      <c r="P1190" s="424"/>
      <c r="Q1190" s="435" t="n">
        <v>89</v>
      </c>
      <c r="R1190" s="434" t="s">
        <v>679</v>
      </c>
      <c r="S1190" s="424"/>
      <c r="T1190" s="434" t="s">
        <v>680</v>
      </c>
      <c r="U1190" s="434" t="s">
        <v>681</v>
      </c>
      <c r="V1190" s="436" t="n">
        <f aca="false">AY1195</f>
        <v>0</v>
      </c>
    </row>
    <row r="1191" customFormat="false" ht="13.5" hidden="false" customHeight="false" outlineLevel="0" collapsed="false">
      <c r="A1191" s="424"/>
      <c r="B1191" s="424"/>
      <c r="C1191" s="424"/>
      <c r="D1191" s="424"/>
      <c r="E1191" s="424"/>
      <c r="F1191" s="424"/>
      <c r="G1191" s="424"/>
      <c r="H1191" s="424"/>
      <c r="I1191" s="424"/>
      <c r="J1191" s="424"/>
      <c r="K1191" s="424"/>
      <c r="L1191" s="424"/>
      <c r="M1191" s="424"/>
      <c r="N1191" s="424"/>
      <c r="O1191" s="424"/>
      <c r="P1191" s="424"/>
      <c r="Q1191" s="435" t="n">
        <v>90</v>
      </c>
      <c r="R1191" s="434" t="s">
        <v>682</v>
      </c>
      <c r="S1191" s="424"/>
      <c r="T1191" s="434" t="s">
        <v>683</v>
      </c>
      <c r="U1191" s="434" t="s">
        <v>684</v>
      </c>
      <c r="V1191" s="436" t="n">
        <f aca="false">AY1196</f>
        <v>0</v>
      </c>
    </row>
    <row r="1192" customFormat="false" ht="13.5" hidden="false" customHeight="false" outlineLevel="0" collapsed="false">
      <c r="A1192" s="424"/>
      <c r="B1192" s="424"/>
      <c r="C1192" s="424"/>
      <c r="D1192" s="424"/>
      <c r="E1192" s="424"/>
      <c r="F1192" s="424"/>
      <c r="G1192" s="424"/>
      <c r="H1192" s="424"/>
      <c r="I1192" s="424"/>
      <c r="J1192" s="424"/>
      <c r="K1192" s="424"/>
      <c r="L1192" s="424"/>
      <c r="M1192" s="424"/>
      <c r="N1192" s="424"/>
      <c r="O1192" s="424"/>
      <c r="P1192" s="424"/>
      <c r="Q1192" s="435" t="n">
        <v>91</v>
      </c>
      <c r="R1192" s="434" t="s">
        <v>685</v>
      </c>
      <c r="S1192" s="424"/>
      <c r="T1192" s="434" t="s">
        <v>686</v>
      </c>
      <c r="U1192" s="434" t="s">
        <v>687</v>
      </c>
      <c r="V1192" s="436" t="n">
        <f aca="false">AY1197</f>
        <v>0</v>
      </c>
    </row>
    <row r="1193" customFormat="false" ht="13.5" hidden="false" customHeight="false" outlineLevel="0" collapsed="false">
      <c r="A1193" s="424"/>
      <c r="B1193" s="424"/>
      <c r="C1193" s="424"/>
      <c r="D1193" s="424"/>
      <c r="E1193" s="424"/>
      <c r="F1193" s="424"/>
      <c r="G1193" s="424"/>
      <c r="H1193" s="424"/>
      <c r="I1193" s="424"/>
      <c r="J1193" s="424"/>
      <c r="K1193" s="424"/>
      <c r="L1193" s="424"/>
      <c r="M1193" s="424"/>
      <c r="N1193" s="424"/>
      <c r="O1193" s="424"/>
      <c r="P1193" s="424"/>
      <c r="Q1193" s="435" t="n">
        <v>92</v>
      </c>
      <c r="R1193" s="434" t="s">
        <v>688</v>
      </c>
      <c r="S1193" s="424"/>
      <c r="T1193" s="434" t="s">
        <v>689</v>
      </c>
      <c r="U1193" s="434" t="s">
        <v>690</v>
      </c>
      <c r="V1193" s="436" t="n">
        <f aca="false">AY1198</f>
        <v>0</v>
      </c>
    </row>
    <row r="1194" customFormat="false" ht="13.5" hidden="false" customHeight="false" outlineLevel="0" collapsed="false">
      <c r="A1194" s="424"/>
      <c r="B1194" s="424"/>
      <c r="C1194" s="424"/>
      <c r="D1194" s="424"/>
      <c r="E1194" s="424"/>
      <c r="F1194" s="424"/>
      <c r="G1194" s="424"/>
      <c r="H1194" s="424"/>
      <c r="I1194" s="424"/>
      <c r="J1194" s="424"/>
      <c r="K1194" s="424"/>
      <c r="L1194" s="424"/>
      <c r="M1194" s="424"/>
      <c r="N1194" s="424"/>
      <c r="O1194" s="424"/>
      <c r="P1194" s="424"/>
      <c r="Q1194" s="435" t="n">
        <v>93</v>
      </c>
      <c r="R1194" s="434" t="s">
        <v>691</v>
      </c>
      <c r="S1194" s="424"/>
      <c r="T1194" s="434" t="s">
        <v>692</v>
      </c>
      <c r="U1194" s="434" t="s">
        <v>693</v>
      </c>
      <c r="V1194" s="436" t="n">
        <f aca="false">AY1199</f>
        <v>0</v>
      </c>
    </row>
    <row r="1195" customFormat="false" ht="13.5" hidden="false" customHeight="false" outlineLevel="0" collapsed="false">
      <c r="A1195" s="424"/>
      <c r="B1195" s="424"/>
      <c r="C1195" s="424"/>
      <c r="D1195" s="424"/>
      <c r="E1195" s="424"/>
      <c r="F1195" s="424"/>
      <c r="G1195" s="424"/>
      <c r="H1195" s="424"/>
      <c r="I1195" s="424"/>
      <c r="J1195" s="424"/>
      <c r="K1195" s="424"/>
      <c r="L1195" s="424"/>
      <c r="M1195" s="424"/>
      <c r="N1195" s="424"/>
      <c r="O1195" s="424"/>
      <c r="P1195" s="424"/>
      <c r="Q1195" s="435" t="n">
        <v>94</v>
      </c>
      <c r="R1195" s="434" t="s">
        <v>694</v>
      </c>
      <c r="S1195" s="424"/>
      <c r="T1195" s="434" t="s">
        <v>695</v>
      </c>
      <c r="U1195" s="434" t="s">
        <v>696</v>
      </c>
      <c r="V1195" s="436" t="n">
        <f aca="false">AY1200</f>
        <v>0</v>
      </c>
    </row>
    <row r="1196" customFormat="false" ht="13.5" hidden="false" customHeight="false" outlineLevel="0" collapsed="false">
      <c r="A1196" s="424"/>
      <c r="B1196" s="424"/>
      <c r="C1196" s="424"/>
      <c r="D1196" s="424"/>
      <c r="E1196" s="424"/>
      <c r="F1196" s="424"/>
      <c r="G1196" s="424"/>
      <c r="H1196" s="424"/>
      <c r="I1196" s="424"/>
      <c r="J1196" s="424"/>
      <c r="K1196" s="424"/>
      <c r="L1196" s="424"/>
      <c r="M1196" s="424"/>
      <c r="N1196" s="424"/>
      <c r="O1196" s="424"/>
      <c r="P1196" s="424"/>
      <c r="Q1196" s="435" t="n">
        <v>95</v>
      </c>
      <c r="R1196" s="434" t="s">
        <v>697</v>
      </c>
      <c r="S1196" s="424"/>
      <c r="T1196" s="434" t="s">
        <v>698</v>
      </c>
      <c r="U1196" s="434" t="s">
        <v>699</v>
      </c>
      <c r="V1196" s="436" t="n">
        <f aca="false">AY1201</f>
        <v>0</v>
      </c>
    </row>
    <row r="1197" customFormat="false" ht="13.5" hidden="false" customHeight="false" outlineLevel="0" collapsed="false">
      <c r="A1197" s="424"/>
      <c r="B1197" s="424"/>
      <c r="C1197" s="424"/>
      <c r="D1197" s="424"/>
      <c r="E1197" s="424"/>
      <c r="F1197" s="424"/>
      <c r="G1197" s="424"/>
      <c r="H1197" s="424"/>
      <c r="I1197" s="424"/>
      <c r="J1197" s="424"/>
      <c r="K1197" s="424"/>
      <c r="L1197" s="424"/>
      <c r="M1197" s="424"/>
      <c r="N1197" s="424"/>
      <c r="O1197" s="424"/>
      <c r="P1197" s="424"/>
      <c r="Q1197" s="435" t="n">
        <v>96</v>
      </c>
      <c r="R1197" s="434" t="s">
        <v>700</v>
      </c>
      <c r="S1197" s="424"/>
      <c r="T1197" s="434" t="s">
        <v>701</v>
      </c>
      <c r="U1197" s="434" t="s">
        <v>702</v>
      </c>
      <c r="V1197" s="436" t="n">
        <f aca="false">AY1202</f>
        <v>0</v>
      </c>
    </row>
    <row r="1198" customFormat="false" ht="13.5" hidden="false" customHeight="false" outlineLevel="0" collapsed="false">
      <c r="A1198" s="424"/>
      <c r="B1198" s="424"/>
      <c r="C1198" s="424"/>
      <c r="D1198" s="424"/>
      <c r="E1198" s="424"/>
      <c r="F1198" s="424"/>
      <c r="G1198" s="424"/>
      <c r="H1198" s="424"/>
      <c r="I1198" s="424"/>
      <c r="J1198" s="424"/>
      <c r="K1198" s="424"/>
      <c r="L1198" s="424"/>
      <c r="M1198" s="424"/>
      <c r="N1198" s="424"/>
      <c r="O1198" s="424"/>
      <c r="P1198" s="424"/>
      <c r="Q1198" s="435" t="n">
        <v>97</v>
      </c>
      <c r="R1198" s="434" t="s">
        <v>703</v>
      </c>
      <c r="S1198" s="424"/>
      <c r="T1198" s="434" t="s">
        <v>704</v>
      </c>
      <c r="U1198" s="434" t="s">
        <v>705</v>
      </c>
      <c r="V1198" s="436" t="n">
        <f aca="false">AY1203</f>
        <v>0</v>
      </c>
    </row>
    <row r="1199" customFormat="false" ht="13.5" hidden="false" customHeight="false" outlineLevel="0" collapsed="false">
      <c r="A1199" s="424"/>
      <c r="B1199" s="424"/>
      <c r="C1199" s="424"/>
      <c r="D1199" s="424"/>
      <c r="E1199" s="424"/>
      <c r="F1199" s="424"/>
      <c r="G1199" s="424"/>
      <c r="H1199" s="424"/>
      <c r="I1199" s="424"/>
      <c r="J1199" s="424"/>
      <c r="K1199" s="424"/>
      <c r="L1199" s="424"/>
      <c r="M1199" s="424"/>
      <c r="N1199" s="424"/>
      <c r="O1199" s="424"/>
      <c r="P1199" s="424"/>
      <c r="Q1199" s="435" t="n">
        <v>98</v>
      </c>
      <c r="R1199" s="434" t="s">
        <v>706</v>
      </c>
      <c r="S1199" s="424"/>
      <c r="T1199" s="434" t="s">
        <v>707</v>
      </c>
      <c r="U1199" s="434" t="s">
        <v>708</v>
      </c>
      <c r="V1199" s="436" t="n">
        <f aca="false">AY1204</f>
        <v>0</v>
      </c>
    </row>
    <row r="1200" customFormat="false" ht="13.5" hidden="false" customHeight="false" outlineLevel="0" collapsed="false">
      <c r="A1200" s="424"/>
      <c r="B1200" s="424"/>
      <c r="C1200" s="424"/>
      <c r="D1200" s="424"/>
      <c r="E1200" s="424"/>
      <c r="F1200" s="424"/>
      <c r="G1200" s="424"/>
      <c r="H1200" s="424"/>
      <c r="I1200" s="424"/>
      <c r="J1200" s="424"/>
      <c r="K1200" s="424"/>
      <c r="L1200" s="424"/>
      <c r="M1200" s="424"/>
      <c r="N1200" s="424"/>
      <c r="O1200" s="424"/>
      <c r="P1200" s="424"/>
      <c r="Q1200" s="435" t="n">
        <v>99</v>
      </c>
      <c r="R1200" s="434" t="s">
        <v>709</v>
      </c>
      <c r="S1200" s="424"/>
      <c r="T1200" s="434" t="s">
        <v>710</v>
      </c>
      <c r="U1200" s="434" t="s">
        <v>711</v>
      </c>
      <c r="V1200" s="436" t="n">
        <f aca="false">AY1205</f>
        <v>0</v>
      </c>
    </row>
    <row r="1201" customFormat="false" ht="13.5" hidden="false" customHeight="false" outlineLevel="0" collapsed="false">
      <c r="A1201" s="424"/>
      <c r="B1201" s="424"/>
      <c r="C1201" s="424"/>
      <c r="D1201" s="424"/>
      <c r="E1201" s="424"/>
      <c r="F1201" s="424"/>
      <c r="G1201" s="424"/>
      <c r="H1201" s="424"/>
      <c r="I1201" s="424"/>
      <c r="J1201" s="424"/>
      <c r="K1201" s="424"/>
      <c r="L1201" s="424"/>
      <c r="M1201" s="424"/>
      <c r="N1201" s="424"/>
      <c r="O1201" s="424"/>
      <c r="P1201" s="424"/>
      <c r="Q1201" s="424"/>
      <c r="R1201" s="424"/>
      <c r="S1201" s="424"/>
      <c r="T1201" s="424"/>
      <c r="U1201" s="424"/>
      <c r="V1201" s="436" t="n">
        <f aca="false">AY1206</f>
        <v>0</v>
      </c>
    </row>
    <row r="1202" customFormat="false" ht="13.5" hidden="false" customHeight="false" outlineLevel="0" collapsed="false">
      <c r="A1202" s="424"/>
      <c r="B1202" s="424"/>
      <c r="C1202" s="424"/>
      <c r="D1202" s="424"/>
      <c r="E1202" s="424"/>
      <c r="F1202" s="424"/>
      <c r="G1202" s="424"/>
      <c r="H1202" s="424"/>
      <c r="I1202" s="424"/>
      <c r="J1202" s="424"/>
      <c r="K1202" s="424"/>
      <c r="L1202" s="424"/>
      <c r="M1202" s="424"/>
      <c r="N1202" s="424"/>
      <c r="O1202" s="424"/>
      <c r="P1202" s="424"/>
      <c r="Q1202" s="424"/>
      <c r="R1202" s="424"/>
      <c r="S1202" s="424"/>
      <c r="T1202" s="424"/>
      <c r="U1202" s="424"/>
      <c r="V1202" s="436" t="n">
        <f aca="false">AY1207</f>
        <v>0</v>
      </c>
    </row>
    <row r="1203" customFormat="false" ht="13.5" hidden="false" customHeight="false" outlineLevel="0" collapsed="false">
      <c r="A1203" s="424"/>
      <c r="B1203" s="424"/>
      <c r="C1203" s="424"/>
      <c r="D1203" s="424"/>
      <c r="E1203" s="424"/>
      <c r="F1203" s="424"/>
      <c r="G1203" s="424"/>
      <c r="H1203" s="424"/>
      <c r="I1203" s="424"/>
      <c r="J1203" s="424"/>
      <c r="K1203" s="424"/>
      <c r="L1203" s="424"/>
      <c r="M1203" s="424"/>
      <c r="N1203" s="424"/>
      <c r="O1203" s="424"/>
      <c r="P1203" s="424"/>
      <c r="Q1203" s="424"/>
      <c r="R1203" s="424"/>
      <c r="S1203" s="424"/>
      <c r="T1203" s="424"/>
      <c r="U1203" s="424"/>
      <c r="V1203" s="436" t="n">
        <f aca="false">AY1208</f>
        <v>0</v>
      </c>
    </row>
    <row r="1204" customFormat="false" ht="13.5" hidden="false" customHeight="false" outlineLevel="0" collapsed="false">
      <c r="A1204" s="424"/>
      <c r="B1204" s="424"/>
      <c r="C1204" s="424"/>
      <c r="D1204" s="424"/>
      <c r="E1204" s="424"/>
      <c r="F1204" s="424"/>
      <c r="G1204" s="424"/>
      <c r="H1204" s="424"/>
      <c r="I1204" s="424"/>
      <c r="J1204" s="424"/>
      <c r="K1204" s="424"/>
      <c r="L1204" s="424"/>
      <c r="M1204" s="424"/>
      <c r="N1204" s="424"/>
      <c r="O1204" s="424"/>
      <c r="P1204" s="424"/>
      <c r="Q1204" s="424"/>
      <c r="R1204" s="424"/>
      <c r="S1204" s="424"/>
      <c r="T1204" s="424"/>
      <c r="U1204" s="424"/>
      <c r="V1204" s="436" t="n">
        <f aca="false">AY1209</f>
        <v>0</v>
      </c>
    </row>
    <row r="1205" customFormat="false" ht="13.5" hidden="false" customHeight="false" outlineLevel="0" collapsed="false">
      <c r="A1205" s="424"/>
      <c r="B1205" s="424"/>
      <c r="C1205" s="424"/>
      <c r="D1205" s="424"/>
      <c r="E1205" s="424"/>
      <c r="F1205" s="424"/>
      <c r="G1205" s="424"/>
      <c r="H1205" s="424"/>
      <c r="I1205" s="424"/>
      <c r="J1205" s="424"/>
      <c r="K1205" s="424"/>
      <c r="L1205" s="424"/>
      <c r="M1205" s="424"/>
      <c r="N1205" s="424"/>
      <c r="O1205" s="424"/>
      <c r="P1205" s="424"/>
      <c r="Q1205" s="424"/>
      <c r="R1205" s="424"/>
      <c r="S1205" s="424"/>
      <c r="T1205" s="424"/>
      <c r="U1205" s="424"/>
      <c r="V1205" s="436" t="n">
        <f aca="false">AY1210</f>
        <v>0</v>
      </c>
    </row>
    <row r="1206" customFormat="false" ht="13.5" hidden="false" customHeight="false" outlineLevel="0" collapsed="false">
      <c r="A1206" s="424"/>
      <c r="B1206" s="424"/>
      <c r="C1206" s="424"/>
      <c r="D1206" s="424"/>
      <c r="E1206" s="424"/>
      <c r="F1206" s="424"/>
      <c r="G1206" s="424"/>
      <c r="H1206" s="424"/>
      <c r="I1206" s="424"/>
      <c r="J1206" s="424"/>
      <c r="K1206" s="424"/>
      <c r="L1206" s="424"/>
      <c r="M1206" s="424"/>
      <c r="N1206" s="424"/>
      <c r="O1206" s="424"/>
      <c r="P1206" s="424"/>
      <c r="Q1206" s="424"/>
      <c r="R1206" s="424"/>
      <c r="S1206" s="424"/>
      <c r="T1206" s="424"/>
      <c r="U1206" s="424"/>
      <c r="V1206" s="436" t="n">
        <f aca="false">AY1211</f>
        <v>0</v>
      </c>
    </row>
    <row r="1207" customFormat="false" ht="13.5" hidden="false" customHeight="false" outlineLevel="0" collapsed="false">
      <c r="A1207" s="424"/>
      <c r="B1207" s="424"/>
      <c r="C1207" s="424"/>
      <c r="D1207" s="424"/>
      <c r="E1207" s="424"/>
      <c r="F1207" s="424"/>
      <c r="G1207" s="424"/>
      <c r="H1207" s="424"/>
      <c r="I1207" s="424"/>
      <c r="J1207" s="424"/>
      <c r="K1207" s="424"/>
      <c r="L1207" s="424"/>
      <c r="M1207" s="424"/>
      <c r="N1207" s="424"/>
      <c r="O1207" s="424"/>
      <c r="P1207" s="424"/>
      <c r="Q1207" s="424"/>
      <c r="R1207" s="424"/>
      <c r="S1207" s="424"/>
      <c r="T1207" s="424"/>
      <c r="U1207" s="424"/>
      <c r="V1207" s="436" t="n">
        <f aca="false">AY1212</f>
        <v>0</v>
      </c>
    </row>
    <row r="1208" customFormat="false" ht="13.5" hidden="false" customHeight="false" outlineLevel="0" collapsed="false">
      <c r="A1208" s="424"/>
      <c r="B1208" s="424"/>
      <c r="C1208" s="424"/>
      <c r="D1208" s="424"/>
      <c r="E1208" s="424"/>
      <c r="F1208" s="424"/>
      <c r="G1208" s="424"/>
      <c r="H1208" s="424"/>
      <c r="I1208" s="424"/>
      <c r="J1208" s="424"/>
      <c r="K1208" s="424"/>
      <c r="L1208" s="424"/>
      <c r="M1208" s="424"/>
      <c r="N1208" s="424"/>
      <c r="O1208" s="424"/>
      <c r="P1208" s="424"/>
      <c r="Q1208" s="424"/>
      <c r="R1208" s="424"/>
      <c r="S1208" s="424"/>
      <c r="T1208" s="424"/>
      <c r="U1208" s="424"/>
      <c r="V1208" s="436" t="n">
        <f aca="false">AY1213</f>
        <v>0</v>
      </c>
    </row>
    <row r="1209" customFormat="false" ht="13.5" hidden="false" customHeight="false" outlineLevel="0" collapsed="false">
      <c r="A1209" s="424"/>
      <c r="B1209" s="424"/>
      <c r="C1209" s="424"/>
      <c r="D1209" s="424"/>
      <c r="E1209" s="424"/>
      <c r="F1209" s="424"/>
      <c r="G1209" s="424"/>
      <c r="H1209" s="424"/>
      <c r="I1209" s="424"/>
      <c r="J1209" s="424"/>
      <c r="K1209" s="424"/>
      <c r="L1209" s="424"/>
      <c r="M1209" s="424"/>
      <c r="N1209" s="424"/>
      <c r="O1209" s="424"/>
      <c r="P1209" s="424"/>
      <c r="Q1209" s="424"/>
      <c r="R1209" s="424"/>
      <c r="S1209" s="424"/>
      <c r="T1209" s="424"/>
      <c r="U1209" s="424"/>
      <c r="V1209" s="436" t="n">
        <f aca="false">AY1214</f>
        <v>0</v>
      </c>
    </row>
    <row r="1210" customFormat="false" ht="13.5" hidden="false" customHeight="false" outlineLevel="0" collapsed="false">
      <c r="A1210" s="424"/>
      <c r="B1210" s="424"/>
      <c r="C1210" s="424"/>
      <c r="D1210" s="424"/>
      <c r="E1210" s="424"/>
      <c r="F1210" s="424"/>
      <c r="G1210" s="424"/>
      <c r="H1210" s="424"/>
      <c r="I1210" s="424"/>
      <c r="J1210" s="424"/>
      <c r="K1210" s="424"/>
      <c r="L1210" s="424"/>
      <c r="M1210" s="424"/>
      <c r="N1210" s="424"/>
      <c r="O1210" s="424"/>
      <c r="P1210" s="424"/>
      <c r="Q1210" s="424"/>
      <c r="R1210" s="424"/>
      <c r="S1210" s="424"/>
      <c r="T1210" s="424"/>
      <c r="U1210" s="424"/>
      <c r="V1210" s="436" t="n">
        <f aca="false">AY1215</f>
        <v>0</v>
      </c>
    </row>
    <row r="1211" customFormat="false" ht="13.5" hidden="false" customHeight="false" outlineLevel="0" collapsed="false">
      <c r="A1211" s="424"/>
      <c r="B1211" s="424"/>
      <c r="C1211" s="424"/>
      <c r="D1211" s="424"/>
      <c r="E1211" s="424"/>
      <c r="F1211" s="424"/>
      <c r="G1211" s="424"/>
      <c r="H1211" s="424"/>
      <c r="I1211" s="424"/>
      <c r="J1211" s="424"/>
      <c r="K1211" s="424"/>
      <c r="L1211" s="424"/>
      <c r="M1211" s="424"/>
      <c r="N1211" s="424"/>
      <c r="O1211" s="424"/>
      <c r="P1211" s="424"/>
      <c r="Q1211" s="424"/>
      <c r="R1211" s="424"/>
      <c r="S1211" s="424"/>
      <c r="T1211" s="424"/>
      <c r="U1211" s="424"/>
      <c r="V1211" s="436" t="n">
        <f aca="false">AY1216</f>
        <v>0</v>
      </c>
    </row>
    <row r="1212" customFormat="false" ht="13.5" hidden="false" customHeight="false" outlineLevel="0" collapsed="false">
      <c r="A1212" s="424"/>
      <c r="B1212" s="424"/>
      <c r="C1212" s="424"/>
      <c r="D1212" s="424"/>
      <c r="E1212" s="424"/>
      <c r="F1212" s="424"/>
      <c r="G1212" s="424"/>
      <c r="H1212" s="424"/>
      <c r="I1212" s="424"/>
      <c r="J1212" s="424"/>
      <c r="K1212" s="424"/>
      <c r="L1212" s="424"/>
      <c r="M1212" s="424"/>
      <c r="N1212" s="424"/>
      <c r="O1212" s="424"/>
      <c r="P1212" s="424"/>
      <c r="Q1212" s="424"/>
      <c r="R1212" s="424"/>
      <c r="S1212" s="424"/>
      <c r="T1212" s="424"/>
      <c r="U1212" s="424"/>
      <c r="V1212" s="436" t="n">
        <f aca="false">AY1217</f>
        <v>0</v>
      </c>
    </row>
    <row r="1213" customFormat="false" ht="13.5" hidden="false" customHeight="false" outlineLevel="0" collapsed="false">
      <c r="A1213" s="424"/>
      <c r="B1213" s="424"/>
      <c r="C1213" s="424"/>
      <c r="D1213" s="424"/>
      <c r="E1213" s="424"/>
      <c r="F1213" s="424"/>
      <c r="G1213" s="424"/>
      <c r="H1213" s="424"/>
      <c r="I1213" s="424"/>
      <c r="J1213" s="424"/>
      <c r="K1213" s="424"/>
      <c r="L1213" s="424"/>
      <c r="M1213" s="424"/>
      <c r="N1213" s="424"/>
      <c r="O1213" s="424"/>
      <c r="P1213" s="424"/>
      <c r="Q1213" s="424"/>
      <c r="R1213" s="424"/>
      <c r="S1213" s="424"/>
      <c r="T1213" s="424"/>
      <c r="U1213" s="424"/>
      <c r="V1213" s="436" t="n">
        <f aca="false">AY1218</f>
        <v>0</v>
      </c>
    </row>
    <row r="1214" customFormat="false" ht="13.5" hidden="false" customHeight="false" outlineLevel="0" collapsed="false">
      <c r="A1214" s="424"/>
      <c r="B1214" s="424"/>
      <c r="C1214" s="424"/>
      <c r="D1214" s="424"/>
      <c r="E1214" s="424"/>
      <c r="F1214" s="424"/>
      <c r="G1214" s="424"/>
      <c r="H1214" s="424"/>
      <c r="I1214" s="424"/>
      <c r="J1214" s="424"/>
      <c r="K1214" s="424"/>
      <c r="L1214" s="424"/>
      <c r="M1214" s="424"/>
      <c r="N1214" s="424"/>
      <c r="O1214" s="424"/>
      <c r="P1214" s="424"/>
      <c r="Q1214" s="424"/>
      <c r="R1214" s="424"/>
      <c r="S1214" s="424"/>
      <c r="T1214" s="424"/>
      <c r="U1214" s="424"/>
      <c r="V1214" s="436" t="n">
        <f aca="false">AY1219</f>
        <v>0</v>
      </c>
    </row>
    <row r="1215" customFormat="false" ht="13.5" hidden="false" customHeight="false" outlineLevel="0" collapsed="false">
      <c r="A1215" s="424"/>
      <c r="B1215" s="424"/>
      <c r="C1215" s="424"/>
      <c r="D1215" s="424"/>
      <c r="E1215" s="424"/>
      <c r="F1215" s="424"/>
      <c r="G1215" s="424"/>
      <c r="H1215" s="424"/>
      <c r="I1215" s="424"/>
      <c r="J1215" s="424"/>
      <c r="K1215" s="424"/>
      <c r="L1215" s="424"/>
      <c r="M1215" s="424"/>
      <c r="N1215" s="424"/>
      <c r="O1215" s="424"/>
      <c r="P1215" s="424"/>
      <c r="Q1215" s="424"/>
      <c r="R1215" s="424"/>
      <c r="S1215" s="424"/>
      <c r="T1215" s="424"/>
      <c r="U1215" s="424"/>
      <c r="V1215" s="436" t="n">
        <f aca="false">AY1220</f>
        <v>0</v>
      </c>
    </row>
    <row r="1216" customFormat="false" ht="13.5" hidden="false" customHeight="false" outlineLevel="0" collapsed="false">
      <c r="A1216" s="424"/>
      <c r="B1216" s="424"/>
      <c r="C1216" s="424"/>
      <c r="D1216" s="424"/>
      <c r="E1216" s="424"/>
      <c r="F1216" s="424"/>
      <c r="G1216" s="424"/>
      <c r="H1216" s="424"/>
      <c r="I1216" s="424"/>
      <c r="J1216" s="424"/>
      <c r="K1216" s="424"/>
      <c r="L1216" s="424"/>
      <c r="M1216" s="424"/>
      <c r="N1216" s="424"/>
      <c r="O1216" s="424"/>
      <c r="P1216" s="424"/>
      <c r="Q1216" s="424"/>
      <c r="R1216" s="424"/>
      <c r="S1216" s="424"/>
      <c r="T1216" s="424"/>
      <c r="U1216" s="424"/>
      <c r="V1216" s="436" t="n">
        <f aca="false">AY1221</f>
        <v>0</v>
      </c>
    </row>
    <row r="1217" customFormat="false" ht="13.5" hidden="false" customHeight="false" outlineLevel="0" collapsed="false">
      <c r="A1217" s="424"/>
      <c r="B1217" s="424"/>
      <c r="C1217" s="424"/>
      <c r="D1217" s="424"/>
      <c r="E1217" s="424"/>
      <c r="F1217" s="424"/>
      <c r="G1217" s="424"/>
      <c r="H1217" s="424"/>
      <c r="I1217" s="424"/>
      <c r="J1217" s="424"/>
      <c r="K1217" s="424"/>
      <c r="L1217" s="424"/>
      <c r="M1217" s="424"/>
      <c r="N1217" s="424"/>
      <c r="O1217" s="424"/>
      <c r="P1217" s="424"/>
      <c r="Q1217" s="424"/>
      <c r="R1217" s="424"/>
      <c r="S1217" s="424"/>
      <c r="T1217" s="424"/>
      <c r="U1217" s="424"/>
      <c r="V1217" s="436" t="n">
        <f aca="false">AY1222</f>
        <v>0</v>
      </c>
    </row>
    <row r="1218" customFormat="false" ht="13.5" hidden="false" customHeight="false" outlineLevel="0" collapsed="false">
      <c r="A1218" s="424"/>
      <c r="B1218" s="424"/>
      <c r="C1218" s="424"/>
      <c r="D1218" s="424"/>
      <c r="E1218" s="424"/>
      <c r="F1218" s="424"/>
      <c r="G1218" s="424"/>
      <c r="H1218" s="424"/>
      <c r="I1218" s="424"/>
      <c r="J1218" s="424"/>
      <c r="K1218" s="424"/>
      <c r="L1218" s="424"/>
      <c r="M1218" s="424"/>
      <c r="N1218" s="424"/>
      <c r="O1218" s="424"/>
      <c r="P1218" s="424"/>
      <c r="Q1218" s="424"/>
      <c r="R1218" s="424"/>
      <c r="S1218" s="424"/>
      <c r="T1218" s="424"/>
      <c r="U1218" s="424"/>
      <c r="V1218" s="436" t="n">
        <f aca="false">AY1223</f>
        <v>0</v>
      </c>
    </row>
    <row r="1219" customFormat="false" ht="13.5" hidden="false" customHeight="false" outlineLevel="0" collapsed="false">
      <c r="A1219" s="424"/>
      <c r="B1219" s="424"/>
      <c r="C1219" s="424"/>
      <c r="D1219" s="424"/>
      <c r="E1219" s="424"/>
      <c r="F1219" s="424"/>
      <c r="G1219" s="424"/>
      <c r="H1219" s="424"/>
      <c r="I1219" s="424"/>
      <c r="J1219" s="424"/>
      <c r="K1219" s="424"/>
      <c r="L1219" s="424"/>
      <c r="M1219" s="424"/>
      <c r="N1219" s="424"/>
      <c r="O1219" s="424"/>
      <c r="P1219" s="424"/>
      <c r="Q1219" s="424"/>
      <c r="R1219" s="424"/>
      <c r="S1219" s="424"/>
      <c r="T1219" s="424"/>
      <c r="U1219" s="424"/>
      <c r="V1219" s="424"/>
    </row>
    <row r="1220" customFormat="false" ht="13.5" hidden="false" customHeight="false" outlineLevel="0" collapsed="false">
      <c r="A1220" s="424"/>
      <c r="B1220" s="424"/>
      <c r="C1220" s="424"/>
      <c r="D1220" s="424"/>
      <c r="E1220" s="424"/>
      <c r="F1220" s="424"/>
      <c r="G1220" s="424"/>
      <c r="H1220" s="424"/>
      <c r="I1220" s="424"/>
      <c r="J1220" s="424"/>
      <c r="K1220" s="424"/>
      <c r="L1220" s="424"/>
      <c r="M1220" s="424"/>
      <c r="N1220" s="424"/>
      <c r="O1220" s="424"/>
      <c r="P1220" s="424"/>
      <c r="Q1220" s="424"/>
      <c r="R1220" s="424"/>
      <c r="S1220" s="424"/>
      <c r="T1220" s="424"/>
      <c r="U1220" s="424"/>
      <c r="V1220" s="424"/>
    </row>
    <row r="1221" customFormat="false" ht="13.5" hidden="false" customHeight="false" outlineLevel="0" collapsed="false">
      <c r="A1221" s="424"/>
      <c r="B1221" s="424"/>
      <c r="C1221" s="424"/>
      <c r="D1221" s="424"/>
      <c r="E1221" s="424"/>
      <c r="F1221" s="424"/>
      <c r="G1221" s="424"/>
      <c r="H1221" s="424"/>
      <c r="I1221" s="424"/>
      <c r="J1221" s="424"/>
      <c r="K1221" s="424"/>
      <c r="L1221" s="424"/>
      <c r="M1221" s="424"/>
      <c r="N1221" s="424"/>
      <c r="O1221" s="424"/>
      <c r="P1221" s="424"/>
      <c r="Q1221" s="424"/>
      <c r="R1221" s="434" t="s">
        <v>400</v>
      </c>
      <c r="S1221" s="424"/>
      <c r="T1221" s="424"/>
      <c r="U1221" s="424"/>
      <c r="V1221" s="435" t="n">
        <f aca="false">SUM(V1223:V1255)</f>
        <v>0</v>
      </c>
    </row>
    <row r="1222" customFormat="false" ht="13.5" hidden="false" customHeight="false" outlineLevel="0" collapsed="false">
      <c r="A1222" s="424"/>
      <c r="B1222" s="424"/>
      <c r="C1222" s="424"/>
      <c r="D1222" s="424"/>
      <c r="E1222" s="424"/>
      <c r="F1222" s="424"/>
      <c r="G1222" s="424"/>
      <c r="H1222" s="424"/>
      <c r="I1222" s="424"/>
      <c r="J1222" s="424"/>
      <c r="K1222" s="424"/>
      <c r="L1222" s="424"/>
      <c r="M1222" s="424"/>
      <c r="N1222" s="424"/>
      <c r="O1222" s="424"/>
      <c r="P1222" s="424"/>
      <c r="Q1222" s="435" t="n">
        <v>0</v>
      </c>
      <c r="R1222" s="424"/>
      <c r="S1222" s="435" t="n">
        <v>0</v>
      </c>
      <c r="T1222" s="424"/>
      <c r="U1222" s="424"/>
      <c r="V1222" s="436" t="n">
        <f aca="false">AY1222</f>
        <v>0</v>
      </c>
    </row>
    <row r="1223" customFormat="false" ht="13.5" hidden="false" customHeight="false" outlineLevel="0" collapsed="false">
      <c r="A1223" s="424"/>
      <c r="B1223" s="424"/>
      <c r="C1223" s="424"/>
      <c r="D1223" s="424"/>
      <c r="E1223" s="424"/>
      <c r="F1223" s="424"/>
      <c r="G1223" s="424"/>
      <c r="H1223" s="424"/>
      <c r="I1223" s="424"/>
      <c r="J1223" s="424"/>
      <c r="K1223" s="424"/>
      <c r="L1223" s="424"/>
      <c r="M1223" s="424"/>
      <c r="N1223" s="424"/>
      <c r="O1223" s="424"/>
      <c r="P1223" s="424"/>
      <c r="Q1223" s="435" t="n">
        <v>1</v>
      </c>
      <c r="R1223" s="434" t="s">
        <v>401</v>
      </c>
      <c r="S1223" s="434" t="s">
        <v>402</v>
      </c>
      <c r="T1223" s="434" t="s">
        <v>403</v>
      </c>
      <c r="U1223" s="434" t="s">
        <v>404</v>
      </c>
      <c r="V1223" s="436" t="n">
        <f aca="false">AY1223</f>
        <v>0</v>
      </c>
    </row>
    <row r="1224" customFormat="false" ht="13.5" hidden="false" customHeight="false" outlineLevel="0" collapsed="false">
      <c r="A1224" s="424"/>
      <c r="B1224" s="424"/>
      <c r="C1224" s="424"/>
      <c r="D1224" s="424"/>
      <c r="E1224" s="424"/>
      <c r="F1224" s="424"/>
      <c r="G1224" s="424"/>
      <c r="H1224" s="424"/>
      <c r="I1224" s="424"/>
      <c r="J1224" s="424"/>
      <c r="K1224" s="424"/>
      <c r="L1224" s="424"/>
      <c r="M1224" s="424"/>
      <c r="N1224" s="424"/>
      <c r="O1224" s="424"/>
      <c r="P1224" s="424"/>
      <c r="Q1224" s="435" t="n">
        <v>2</v>
      </c>
      <c r="R1224" s="434" t="s">
        <v>405</v>
      </c>
      <c r="S1224" s="434" t="s">
        <v>406</v>
      </c>
      <c r="T1224" s="434" t="s">
        <v>407</v>
      </c>
      <c r="U1224" s="434" t="s">
        <v>408</v>
      </c>
      <c r="V1224" s="436" t="n">
        <f aca="false">AY1224</f>
        <v>0</v>
      </c>
    </row>
    <row r="1225" customFormat="false" ht="13.5" hidden="false" customHeight="false" outlineLevel="0" collapsed="false">
      <c r="A1225" s="424"/>
      <c r="B1225" s="424"/>
      <c r="C1225" s="424"/>
      <c r="D1225" s="424"/>
      <c r="E1225" s="424"/>
      <c r="F1225" s="424"/>
      <c r="G1225" s="424"/>
      <c r="H1225" s="424"/>
      <c r="I1225" s="424"/>
      <c r="J1225" s="424"/>
      <c r="K1225" s="424"/>
      <c r="L1225" s="424"/>
      <c r="M1225" s="424"/>
      <c r="N1225" s="424"/>
      <c r="O1225" s="424"/>
      <c r="P1225" s="424"/>
      <c r="Q1225" s="435" t="n">
        <v>3</v>
      </c>
      <c r="R1225" s="434" t="s">
        <v>409</v>
      </c>
      <c r="S1225" s="434" t="s">
        <v>410</v>
      </c>
      <c r="T1225" s="434" t="s">
        <v>411</v>
      </c>
      <c r="U1225" s="434" t="s">
        <v>412</v>
      </c>
      <c r="V1225" s="436" t="n">
        <f aca="false">AY1225</f>
        <v>0</v>
      </c>
    </row>
    <row r="1226" customFormat="false" ht="13.5" hidden="false" customHeight="false" outlineLevel="0" collapsed="false">
      <c r="A1226" s="424"/>
      <c r="B1226" s="424"/>
      <c r="C1226" s="424"/>
      <c r="D1226" s="424"/>
      <c r="E1226" s="424"/>
      <c r="F1226" s="424"/>
      <c r="G1226" s="424"/>
      <c r="H1226" s="424"/>
      <c r="I1226" s="424"/>
      <c r="J1226" s="424"/>
      <c r="K1226" s="424"/>
      <c r="L1226" s="424"/>
      <c r="M1226" s="424"/>
      <c r="N1226" s="424"/>
      <c r="O1226" s="424"/>
      <c r="P1226" s="424"/>
      <c r="Q1226" s="435" t="n">
        <v>4</v>
      </c>
      <c r="R1226" s="434" t="s">
        <v>413</v>
      </c>
      <c r="S1226" s="434" t="s">
        <v>414</v>
      </c>
      <c r="T1226" s="434" t="s">
        <v>415</v>
      </c>
      <c r="U1226" s="434" t="s">
        <v>416</v>
      </c>
      <c r="V1226" s="436" t="n">
        <f aca="false">AY1226</f>
        <v>0</v>
      </c>
    </row>
    <row r="1227" customFormat="false" ht="13.5" hidden="false" customHeight="false" outlineLevel="0" collapsed="false">
      <c r="A1227" s="424"/>
      <c r="B1227" s="424"/>
      <c r="C1227" s="424"/>
      <c r="D1227" s="424"/>
      <c r="E1227" s="424"/>
      <c r="F1227" s="424"/>
      <c r="G1227" s="424"/>
      <c r="H1227" s="424"/>
      <c r="I1227" s="424"/>
      <c r="J1227" s="424"/>
      <c r="K1227" s="424"/>
      <c r="L1227" s="424"/>
      <c r="M1227" s="424"/>
      <c r="N1227" s="424"/>
      <c r="O1227" s="424"/>
      <c r="P1227" s="438" t="s">
        <v>417</v>
      </c>
      <c r="Q1227" s="435" t="n">
        <v>5</v>
      </c>
      <c r="R1227" s="434" t="s">
        <v>418</v>
      </c>
      <c r="S1227" s="434" t="s">
        <v>419</v>
      </c>
      <c r="T1227" s="434" t="s">
        <v>420</v>
      </c>
      <c r="U1227" s="434" t="s">
        <v>421</v>
      </c>
      <c r="V1227" s="436" t="n">
        <f aca="false">AY1227</f>
        <v>0</v>
      </c>
    </row>
    <row r="1228" customFormat="false" ht="13.5" hidden="false" customHeight="false" outlineLevel="0" collapsed="false">
      <c r="A1228" s="424"/>
      <c r="B1228" s="424"/>
      <c r="C1228" s="424"/>
      <c r="D1228" s="424"/>
      <c r="E1228" s="424"/>
      <c r="F1228" s="424"/>
      <c r="G1228" s="424"/>
      <c r="H1228" s="424"/>
      <c r="I1228" s="424"/>
      <c r="J1228" s="424"/>
      <c r="K1228" s="424"/>
      <c r="L1228" s="424"/>
      <c r="M1228" s="424"/>
      <c r="N1228" s="424"/>
      <c r="O1228" s="424"/>
      <c r="P1228" s="438" t="s">
        <v>417</v>
      </c>
      <c r="Q1228" s="435" t="n">
        <v>6</v>
      </c>
      <c r="R1228" s="434" t="s">
        <v>422</v>
      </c>
      <c r="S1228" s="434" t="s">
        <v>423</v>
      </c>
      <c r="T1228" s="434" t="s">
        <v>424</v>
      </c>
      <c r="U1228" s="434" t="s">
        <v>425</v>
      </c>
      <c r="V1228" s="436" t="n">
        <f aca="false">AY1228</f>
        <v>0</v>
      </c>
    </row>
    <row r="1229" customFormat="false" ht="13.5" hidden="false" customHeight="false" outlineLevel="0" collapsed="false">
      <c r="A1229" s="424"/>
      <c r="B1229" s="424"/>
      <c r="C1229" s="424"/>
      <c r="D1229" s="424"/>
      <c r="E1229" s="424"/>
      <c r="F1229" s="424"/>
      <c r="G1229" s="424"/>
      <c r="H1229" s="424"/>
      <c r="I1229" s="424"/>
      <c r="J1229" s="424"/>
      <c r="K1229" s="424"/>
      <c r="L1229" s="424"/>
      <c r="M1229" s="424"/>
      <c r="N1229" s="424"/>
      <c r="O1229" s="424"/>
      <c r="P1229" s="438" t="s">
        <v>417</v>
      </c>
      <c r="Q1229" s="435" t="n">
        <v>7</v>
      </c>
      <c r="R1229" s="434" t="s">
        <v>426</v>
      </c>
      <c r="S1229" s="434" t="s">
        <v>427</v>
      </c>
      <c r="T1229" s="434" t="s">
        <v>428</v>
      </c>
      <c r="U1229" s="434" t="s">
        <v>429</v>
      </c>
      <c r="V1229" s="436" t="n">
        <f aca="false">AY1229</f>
        <v>0</v>
      </c>
    </row>
    <row r="1230" customFormat="false" ht="13.5" hidden="false" customHeight="false" outlineLevel="0" collapsed="false">
      <c r="A1230" s="424"/>
      <c r="B1230" s="424"/>
      <c r="C1230" s="424"/>
      <c r="D1230" s="424"/>
      <c r="E1230" s="424"/>
      <c r="F1230" s="424"/>
      <c r="G1230" s="424"/>
      <c r="H1230" s="424"/>
      <c r="I1230" s="424"/>
      <c r="J1230" s="424"/>
      <c r="K1230" s="424"/>
      <c r="L1230" s="424"/>
      <c r="M1230" s="424"/>
      <c r="N1230" s="424"/>
      <c r="O1230" s="424"/>
      <c r="P1230" s="438" t="s">
        <v>417</v>
      </c>
      <c r="Q1230" s="435" t="n">
        <v>8</v>
      </c>
      <c r="R1230" s="434" t="s">
        <v>430</v>
      </c>
      <c r="S1230" s="434" t="s">
        <v>431</v>
      </c>
      <c r="T1230" s="434" t="s">
        <v>432</v>
      </c>
      <c r="U1230" s="434" t="s">
        <v>433</v>
      </c>
      <c r="V1230" s="436" t="n">
        <f aca="false">AY1230</f>
        <v>0</v>
      </c>
    </row>
    <row r="1231" customFormat="false" ht="13.5" hidden="false" customHeight="false" outlineLevel="0" collapsed="false">
      <c r="A1231" s="424"/>
      <c r="B1231" s="424"/>
      <c r="C1231" s="424"/>
      <c r="D1231" s="424"/>
      <c r="E1231" s="424"/>
      <c r="F1231" s="424"/>
      <c r="G1231" s="424"/>
      <c r="H1231" s="424"/>
      <c r="I1231" s="424"/>
      <c r="J1231" s="424"/>
      <c r="K1231" s="424"/>
      <c r="L1231" s="424"/>
      <c r="M1231" s="424"/>
      <c r="N1231" s="424"/>
      <c r="O1231" s="424"/>
      <c r="P1231" s="438" t="s">
        <v>417</v>
      </c>
      <c r="Q1231" s="435" t="n">
        <v>9</v>
      </c>
      <c r="R1231" s="434" t="s">
        <v>434</v>
      </c>
      <c r="S1231" s="434" t="s">
        <v>435</v>
      </c>
      <c r="T1231" s="434" t="s">
        <v>436</v>
      </c>
      <c r="U1231" s="434" t="s">
        <v>437</v>
      </c>
      <c r="V1231" s="436" t="n">
        <f aca="false">AY1231</f>
        <v>0</v>
      </c>
    </row>
    <row r="1232" customFormat="false" ht="13.5" hidden="false" customHeight="false" outlineLevel="0" collapsed="false">
      <c r="A1232" s="424"/>
      <c r="B1232" s="424"/>
      <c r="C1232" s="424"/>
      <c r="D1232" s="424"/>
      <c r="E1232" s="424"/>
      <c r="F1232" s="424"/>
      <c r="G1232" s="424"/>
      <c r="H1232" s="424"/>
      <c r="I1232" s="424"/>
      <c r="J1232" s="424"/>
      <c r="K1232" s="424"/>
      <c r="L1232" s="424"/>
      <c r="M1232" s="424"/>
      <c r="N1232" s="424"/>
      <c r="O1232" s="424"/>
      <c r="P1232" s="438" t="s">
        <v>417</v>
      </c>
      <c r="Q1232" s="435" t="n">
        <v>10</v>
      </c>
      <c r="R1232" s="434" t="s">
        <v>438</v>
      </c>
      <c r="S1232" s="424"/>
      <c r="T1232" s="434" t="s">
        <v>439</v>
      </c>
      <c r="U1232" s="434" t="s">
        <v>440</v>
      </c>
      <c r="V1232" s="436" t="n">
        <f aca="false">AY1232</f>
        <v>0</v>
      </c>
    </row>
    <row r="1233" customFormat="false" ht="13.5" hidden="false" customHeight="false" outlineLevel="0" collapsed="false">
      <c r="A1233" s="424"/>
      <c r="B1233" s="424"/>
      <c r="C1233" s="424"/>
      <c r="D1233" s="424"/>
      <c r="E1233" s="424"/>
      <c r="F1233" s="435" t="n">
        <f aca="false">TRUNC(+A1235/1000000)</f>
        <v>0</v>
      </c>
      <c r="G1233" s="424"/>
      <c r="H1233" s="424"/>
      <c r="I1233" s="424"/>
      <c r="J1233" s="424"/>
      <c r="K1233" s="424"/>
      <c r="L1233" s="424"/>
      <c r="M1233" s="424"/>
      <c r="N1233" s="424"/>
      <c r="O1233" s="424"/>
      <c r="P1233" s="438" t="s">
        <v>417</v>
      </c>
      <c r="Q1233" s="435" t="n">
        <v>11</v>
      </c>
      <c r="R1233" s="434" t="s">
        <v>441</v>
      </c>
      <c r="S1233" s="424"/>
      <c r="T1233" s="434" t="s">
        <v>442</v>
      </c>
      <c r="U1233" s="434" t="s">
        <v>443</v>
      </c>
      <c r="V1233" s="436" t="n">
        <f aca="false">AY1233</f>
        <v>0</v>
      </c>
    </row>
    <row r="1234" customFormat="false" ht="13.5" hidden="false" customHeight="false" outlineLevel="0" collapsed="false">
      <c r="A1234" s="424"/>
      <c r="B1234" s="424"/>
      <c r="C1234" s="424"/>
      <c r="D1234" s="424"/>
      <c r="E1234" s="424"/>
      <c r="F1234" s="435" t="e">
        <f aca="false">(+B1238*100000+C1238*1000+E1238*100)</f>
        <v>#VALUE!</v>
      </c>
      <c r="G1234" s="424"/>
      <c r="H1234" s="424"/>
      <c r="I1234" s="424"/>
      <c r="J1234" s="424"/>
      <c r="K1234" s="424"/>
      <c r="L1234" s="434" t="s">
        <v>444</v>
      </c>
      <c r="M1234" s="424"/>
      <c r="N1234" s="424"/>
      <c r="O1234" s="424"/>
      <c r="P1234" s="438" t="s">
        <v>417</v>
      </c>
      <c r="Q1234" s="435" t="n">
        <v>12</v>
      </c>
      <c r="R1234" s="434" t="s">
        <v>445</v>
      </c>
      <c r="S1234" s="424"/>
      <c r="T1234" s="434" t="s">
        <v>446</v>
      </c>
      <c r="U1234" s="434" t="s">
        <v>447</v>
      </c>
      <c r="V1234" s="436" t="n">
        <f aca="false">AY1234</f>
        <v>0</v>
      </c>
    </row>
    <row r="1235" customFormat="false" ht="13.5" hidden="false" customHeight="false" outlineLevel="0" collapsed="false">
      <c r="A1235" s="436" t="n">
        <f aca="false">TRUNC(+A1236)</f>
        <v>12</v>
      </c>
      <c r="B1235" s="424"/>
      <c r="C1235" s="424"/>
      <c r="D1235" s="424"/>
      <c r="E1235" s="440" t="n">
        <f aca="false">TRUNC(+A1235/100000000)</f>
        <v>0</v>
      </c>
      <c r="F1235" s="424"/>
      <c r="G1235" s="424"/>
      <c r="H1235" s="424"/>
      <c r="I1235" s="424"/>
      <c r="J1235" s="424"/>
      <c r="K1235" s="424"/>
      <c r="L1235" s="424"/>
      <c r="M1235" s="424"/>
      <c r="N1235" s="424"/>
      <c r="O1235" s="424"/>
      <c r="P1235" s="438" t="s">
        <v>417</v>
      </c>
      <c r="Q1235" s="435" t="n">
        <v>13</v>
      </c>
      <c r="R1235" s="434" t="s">
        <v>448</v>
      </c>
      <c r="S1235" s="424"/>
      <c r="T1235" s="434" t="s">
        <v>449</v>
      </c>
      <c r="U1235" s="434" t="s">
        <v>450</v>
      </c>
      <c r="V1235" s="436" t="n">
        <f aca="false">AY1235</f>
        <v>0</v>
      </c>
    </row>
    <row r="1236" customFormat="false" ht="13.5" hidden="false" customHeight="false" outlineLevel="0" collapsed="false">
      <c r="A1236" s="441" t="n">
        <v>12</v>
      </c>
      <c r="B1236" s="434" t="s">
        <v>451</v>
      </c>
      <c r="C1236" s="434" t="s">
        <v>452</v>
      </c>
      <c r="D1236" s="424"/>
      <c r="E1236" s="434" t="s">
        <v>452</v>
      </c>
      <c r="F1236" s="424"/>
      <c r="G1236" s="424"/>
      <c r="H1236" s="424"/>
      <c r="I1236" s="440" t="n">
        <f aca="false">TRUNC((+A1235-(+F1233*1000000))/1000)</f>
        <v>0</v>
      </c>
      <c r="J1236" s="424"/>
      <c r="K1236" s="440" t="n">
        <f aca="false">(TRUNC((+A1235-(+F1233*1000000))/1))-I1236*1000</f>
        <v>12</v>
      </c>
      <c r="L1236" s="424"/>
      <c r="M1236" s="424"/>
      <c r="N1236" s="424"/>
      <c r="O1236" s="424"/>
      <c r="P1236" s="438" t="s">
        <v>417</v>
      </c>
      <c r="Q1236" s="435" t="n">
        <v>14</v>
      </c>
      <c r="R1236" s="434" t="s">
        <v>453</v>
      </c>
      <c r="S1236" s="424"/>
      <c r="T1236" s="434" t="s">
        <v>454</v>
      </c>
      <c r="U1236" s="434" t="s">
        <v>455</v>
      </c>
      <c r="V1236" s="436" t="n">
        <f aca="false">AY1236</f>
        <v>0</v>
      </c>
    </row>
    <row r="1237" customFormat="false" ht="13.5" hidden="false" customHeight="false" outlineLevel="0" collapsed="false">
      <c r="A1237" s="424"/>
      <c r="B1237" s="442" t="s">
        <v>712</v>
      </c>
      <c r="C1237" s="442" t="s">
        <v>712</v>
      </c>
      <c r="D1237" s="424"/>
      <c r="E1237" s="442" t="s">
        <v>712</v>
      </c>
      <c r="F1237" s="424"/>
      <c r="G1237" s="424"/>
      <c r="H1237" s="424"/>
      <c r="I1237" s="424"/>
      <c r="J1237" s="424"/>
      <c r="K1237" s="424"/>
      <c r="L1237" s="424"/>
      <c r="M1237" s="424"/>
      <c r="N1237" s="440" t="n">
        <f aca="false">ROUND(((+A1236-A1235)*100),1)</f>
        <v>0</v>
      </c>
      <c r="O1237" s="424"/>
      <c r="P1237" s="438" t="s">
        <v>417</v>
      </c>
      <c r="Q1237" s="435" t="n">
        <v>15</v>
      </c>
      <c r="R1237" s="434" t="s">
        <v>457</v>
      </c>
      <c r="S1237" s="424"/>
      <c r="T1237" s="434" t="s">
        <v>458</v>
      </c>
      <c r="U1237" s="434" t="s">
        <v>459</v>
      </c>
      <c r="V1237" s="436" t="n">
        <f aca="false">AY1237</f>
        <v>0</v>
      </c>
    </row>
    <row r="1238" customFormat="false" ht="13.5" hidden="false" customHeight="false" outlineLevel="0" collapsed="false">
      <c r="A1238" s="424"/>
      <c r="B1238" s="440" t="n">
        <f aca="false">TRUNC(+A1236/100000000000)</f>
        <v>0</v>
      </c>
      <c r="C1238" s="440" t="n">
        <f aca="false">(TRUNC(+A1235/1000000000))-B1238*100</f>
        <v>0</v>
      </c>
      <c r="D1238" s="424"/>
      <c r="E1238" s="435" t="str">
        <f aca="false">IF(E1235&gt;0,TRUNC(+E1235-B1238*1000-C1238*10),"")</f>
        <v/>
      </c>
      <c r="F1238" s="435" t="e">
        <f aca="false">F1233-F1234</f>
        <v>#VALUE!</v>
      </c>
      <c r="G1238" s="435" t="e">
        <f aca="false">G1240</f>
        <v>#VALUE!</v>
      </c>
      <c r="H1238" s="440" t="n">
        <f aca="false">TRUNC((+A1235-(+F1233*1000000))/100000)</f>
        <v>0</v>
      </c>
      <c r="I1238" s="440" t="n">
        <f aca="false">I1236-H1238*100</f>
        <v>0</v>
      </c>
      <c r="J1238" s="424"/>
      <c r="K1238" s="440" t="n">
        <f aca="false">TRUNC(+K1236/100)</f>
        <v>0</v>
      </c>
      <c r="L1238" s="440" t="n">
        <f aca="false">K1236-K1238*100</f>
        <v>12</v>
      </c>
      <c r="M1238" s="440" t="str">
        <f aca="false">IF(N1238&gt;0," &amp; Sen ","")</f>
        <v/>
      </c>
      <c r="N1238" s="435" t="n">
        <f aca="false">N1237</f>
        <v>0</v>
      </c>
      <c r="O1238" s="424"/>
      <c r="P1238" s="438" t="s">
        <v>417</v>
      </c>
      <c r="Q1238" s="435" t="n">
        <v>16</v>
      </c>
      <c r="R1238" s="434" t="s">
        <v>460</v>
      </c>
      <c r="S1238" s="424"/>
      <c r="T1238" s="434" t="s">
        <v>461</v>
      </c>
      <c r="U1238" s="434" t="s">
        <v>462</v>
      </c>
      <c r="V1238" s="436" t="n">
        <f aca="false">AY1238</f>
        <v>0</v>
      </c>
    </row>
    <row r="1239" customFormat="false" ht="13.5" hidden="false" customHeight="false" outlineLevel="0" collapsed="false">
      <c r="A1239" s="424"/>
      <c r="B1239" s="424"/>
      <c r="C1239" s="424"/>
      <c r="D1239" s="424"/>
      <c r="E1239" s="424"/>
      <c r="F1239" s="424"/>
      <c r="G1239" s="424"/>
      <c r="H1239" s="424"/>
      <c r="I1239" s="424"/>
      <c r="J1239" s="424"/>
      <c r="K1239" s="424"/>
      <c r="L1239" s="424"/>
      <c r="M1239" s="424"/>
      <c r="N1239" s="424"/>
      <c r="O1239" s="424"/>
      <c r="P1239" s="438" t="s">
        <v>417</v>
      </c>
      <c r="Q1239" s="435" t="n">
        <v>17</v>
      </c>
      <c r="R1239" s="434" t="s">
        <v>463</v>
      </c>
      <c r="S1239" s="424"/>
      <c r="T1239" s="434" t="s">
        <v>464</v>
      </c>
      <c r="U1239" s="434" t="s">
        <v>465</v>
      </c>
      <c r="V1239" s="436" t="n">
        <f aca="false">AY1239</f>
        <v>0</v>
      </c>
    </row>
    <row r="1240" customFormat="false" ht="13.5" hidden="false" customHeight="false" outlineLevel="0" collapsed="false">
      <c r="A1240" s="440" t="n">
        <f aca="false">B1238*100000000000</f>
        <v>0</v>
      </c>
      <c r="B1240" s="440" t="str">
        <f aca="false">IF(B1238&gt;0,VLOOKUP(B1238,$Q$7:$T$15,3),"")</f>
        <v/>
      </c>
      <c r="C1240" s="440" t="str">
        <f aca="false">IF(C1238&gt;0,VLOOKUP(C1238,Q1223:R1321,2),"")</f>
        <v/>
      </c>
      <c r="D1240" s="440" t="str">
        <f aca="false">IF(B1235+C1238&gt;0,"Milyar","")</f>
        <v/>
      </c>
      <c r="E1240" s="440" t="e">
        <f aca="false">IF(E1238&gt;0,VLOOKUP(E1238,$Q$7:$T$15,3),"")</f>
        <v>#N/A</v>
      </c>
      <c r="F1240" s="440" t="e">
        <f aca="false">IF(F1238&gt;0,VLOOKUP(F1238,Q1223:R1321,2),"")</f>
        <v>#VALUE!</v>
      </c>
      <c r="G1240" s="435" t="e">
        <f aca="false">IF(F1238+E1238&gt;0," Juta","")</f>
        <v>#VALUE!</v>
      </c>
      <c r="H1240" s="440" t="str">
        <f aca="false">IF(H1238&gt;0,VLOOKUP(H1238,$Q$7:$T$15,3),"")</f>
        <v/>
      </c>
      <c r="I1240" s="440" t="str">
        <f aca="false">IF(I1238=1," Se",IF(I1238=0,"",VLOOKUP(I1238,Q1223:R1321,2)))</f>
        <v/>
      </c>
      <c r="J1240" s="435" t="str">
        <f aca="false">IF(I1238+H1238&gt;0," ribu","")</f>
        <v/>
      </c>
      <c r="K1240" s="440" t="str">
        <f aca="false">IF(K1238&gt;0,VLOOKUP(K1238,Q1223:S1231,3),"")</f>
        <v/>
      </c>
      <c r="L1240" s="440" t="str">
        <f aca="false">IF(L1238&gt;0,VLOOKUP(L1238,Q1223:R1321,2),"")</f>
        <v> Dua belas</v>
      </c>
      <c r="M1240" s="440" t="str">
        <f aca="false">IF(N1238&gt;0,VLOOKUP(N1237,Q1222:U1321,5)," Rupiah ")</f>
        <v> Rupiah </v>
      </c>
      <c r="N1240" s="424"/>
      <c r="O1240" s="435" t="str">
        <f aca="false">IF(N1238&gt;0," ====","")</f>
        <v/>
      </c>
      <c r="P1240" s="435" t="str">
        <f aca="false">IF(N1238&gt;0,"-","====")</f>
        <v>====</v>
      </c>
      <c r="Q1240" s="435" t="n">
        <v>18</v>
      </c>
      <c r="R1240" s="434" t="s">
        <v>466</v>
      </c>
      <c r="S1240" s="424"/>
      <c r="T1240" s="434" t="s">
        <v>467</v>
      </c>
      <c r="U1240" s="434" t="s">
        <v>468</v>
      </c>
      <c r="V1240" s="436" t="n">
        <f aca="false">AY1240</f>
        <v>0</v>
      </c>
    </row>
    <row r="1241" customFormat="false" ht="13.5" hidden="false" customHeight="false" outlineLevel="0" collapsed="false">
      <c r="A1241" s="440"/>
      <c r="B1241" s="435" t="str">
        <f aca="false">B1240</f>
        <v/>
      </c>
      <c r="C1241" s="424"/>
      <c r="D1241" s="424"/>
      <c r="E1241" s="424"/>
      <c r="F1241" s="424"/>
      <c r="G1241" s="424"/>
      <c r="H1241" s="424"/>
      <c r="I1241" s="424"/>
      <c r="J1241" s="424"/>
      <c r="K1241" s="424"/>
      <c r="L1241" s="424"/>
      <c r="M1241" s="424"/>
      <c r="N1241" s="424"/>
      <c r="O1241" s="424"/>
      <c r="P1241" s="438" t="s">
        <v>417</v>
      </c>
      <c r="Q1241" s="435" t="n">
        <v>19</v>
      </c>
      <c r="R1241" s="434" t="s">
        <v>469</v>
      </c>
      <c r="S1241" s="424"/>
      <c r="T1241" s="434" t="s">
        <v>470</v>
      </c>
      <c r="U1241" s="434" t="s">
        <v>471</v>
      </c>
      <c r="V1241" s="436" t="n">
        <f aca="false">AY1246</f>
        <v>0</v>
      </c>
    </row>
    <row r="1242" customFormat="false" ht="13.5" hidden="false" customHeight="false" outlineLevel="0" collapsed="false">
      <c r="A1242" s="440"/>
      <c r="B1242" s="435" t="str">
        <f aca="false">C1240</f>
        <v/>
      </c>
      <c r="C1242" s="424"/>
      <c r="D1242" s="424"/>
      <c r="E1242" s="424"/>
      <c r="F1242" s="424"/>
      <c r="G1242" s="424"/>
      <c r="H1242" s="424"/>
      <c r="I1242" s="424"/>
      <c r="J1242" s="424"/>
      <c r="K1242" s="424"/>
      <c r="L1242" s="424"/>
      <c r="M1242" s="424"/>
      <c r="N1242" s="424"/>
      <c r="O1242" s="424"/>
      <c r="P1242" s="438" t="s">
        <v>417</v>
      </c>
      <c r="Q1242" s="435" t="n">
        <v>20</v>
      </c>
      <c r="R1242" s="434" t="s">
        <v>472</v>
      </c>
      <c r="S1242" s="424"/>
      <c r="T1242" s="434" t="s">
        <v>473</v>
      </c>
      <c r="U1242" s="434" t="s">
        <v>474</v>
      </c>
      <c r="V1242" s="436" t="n">
        <f aca="false">AY1247</f>
        <v>0</v>
      </c>
    </row>
    <row r="1243" customFormat="false" ht="13.5" hidden="false" customHeight="false" outlineLevel="0" collapsed="false">
      <c r="A1243" s="440"/>
      <c r="B1243" s="435" t="str">
        <f aca="false">D1240</f>
        <v/>
      </c>
      <c r="C1243" s="424"/>
      <c r="D1243" s="424"/>
      <c r="E1243" s="424"/>
      <c r="F1243" s="424"/>
      <c r="G1243" s="424"/>
      <c r="H1243" s="424"/>
      <c r="I1243" s="424"/>
      <c r="J1243" s="424"/>
      <c r="K1243" s="424"/>
      <c r="L1243" s="424"/>
      <c r="M1243" s="424"/>
      <c r="N1243" s="424"/>
      <c r="O1243" s="424"/>
      <c r="P1243" s="438" t="s">
        <v>417</v>
      </c>
      <c r="Q1243" s="435" t="n">
        <v>21</v>
      </c>
      <c r="R1243" s="434" t="s">
        <v>475</v>
      </c>
      <c r="S1243" s="424"/>
      <c r="T1243" s="434" t="s">
        <v>476</v>
      </c>
      <c r="U1243" s="434" t="s">
        <v>477</v>
      </c>
      <c r="V1243" s="436" t="n">
        <f aca="false">AY1248</f>
        <v>0</v>
      </c>
    </row>
    <row r="1244" customFormat="false" ht="13.5" hidden="false" customHeight="false" outlineLevel="0" collapsed="false">
      <c r="A1244" s="440"/>
      <c r="B1244" s="435" t="e">
        <f aca="false">E1240</f>
        <v>#N/A</v>
      </c>
      <c r="C1244" s="424"/>
      <c r="D1244" s="424"/>
      <c r="E1244" s="424"/>
      <c r="F1244" s="424"/>
      <c r="G1244" s="424"/>
      <c r="H1244" s="424"/>
      <c r="I1244" s="424"/>
      <c r="J1244" s="424"/>
      <c r="K1244" s="424"/>
      <c r="L1244" s="424"/>
      <c r="M1244" s="424"/>
      <c r="N1244" s="424"/>
      <c r="O1244" s="424"/>
      <c r="P1244" s="424"/>
      <c r="Q1244" s="435" t="n">
        <v>22</v>
      </c>
      <c r="R1244" s="434" t="s">
        <v>478</v>
      </c>
      <c r="S1244" s="424"/>
      <c r="T1244" s="434" t="s">
        <v>479</v>
      </c>
      <c r="U1244" s="434" t="s">
        <v>480</v>
      </c>
      <c r="V1244" s="436" t="n">
        <f aca="false">AY1249</f>
        <v>0</v>
      </c>
    </row>
    <row r="1245" customFormat="false" ht="13.5" hidden="false" customHeight="false" outlineLevel="0" collapsed="false">
      <c r="A1245" s="440"/>
      <c r="B1245" s="435" t="e">
        <f aca="false">F1240</f>
        <v>#VALUE!</v>
      </c>
      <c r="C1245" s="424"/>
      <c r="D1245" s="424"/>
      <c r="E1245" s="424"/>
      <c r="F1245" s="424"/>
      <c r="G1245" s="424"/>
      <c r="H1245" s="424"/>
      <c r="I1245" s="424"/>
      <c r="J1245" s="424"/>
      <c r="K1245" s="424"/>
      <c r="L1245" s="424"/>
      <c r="M1245" s="424"/>
      <c r="N1245" s="424"/>
      <c r="O1245" s="424"/>
      <c r="P1245" s="438" t="s">
        <v>417</v>
      </c>
      <c r="Q1245" s="435" t="n">
        <v>23</v>
      </c>
      <c r="R1245" s="434" t="s">
        <v>481</v>
      </c>
      <c r="S1245" s="424"/>
      <c r="T1245" s="434" t="s">
        <v>482</v>
      </c>
      <c r="U1245" s="434" t="s">
        <v>483</v>
      </c>
      <c r="V1245" s="436" t="n">
        <f aca="false">AY1250</f>
        <v>0</v>
      </c>
    </row>
    <row r="1246" customFormat="false" ht="13.5" hidden="false" customHeight="false" outlineLevel="0" collapsed="false">
      <c r="A1246" s="424"/>
      <c r="B1246" s="424"/>
      <c r="C1246" s="424"/>
      <c r="D1246" s="424"/>
      <c r="E1246" s="424"/>
      <c r="F1246" s="424"/>
      <c r="G1246" s="424"/>
      <c r="H1246" s="424"/>
      <c r="I1246" s="424"/>
      <c r="J1246" s="424"/>
      <c r="K1246" s="424"/>
      <c r="L1246" s="424"/>
      <c r="M1246" s="424"/>
      <c r="N1246" s="424"/>
      <c r="O1246" s="424"/>
      <c r="P1246" s="438" t="s">
        <v>417</v>
      </c>
      <c r="Q1246" s="435" t="n">
        <v>24</v>
      </c>
      <c r="R1246" s="434" t="s">
        <v>484</v>
      </c>
      <c r="S1246" s="424"/>
      <c r="T1246" s="434" t="s">
        <v>485</v>
      </c>
      <c r="U1246" s="434" t="s">
        <v>486</v>
      </c>
      <c r="V1246" s="436" t="n">
        <f aca="false">AY1251</f>
        <v>0</v>
      </c>
    </row>
    <row r="1247" customFormat="false" ht="13.5" hidden="false" customHeight="false" outlineLevel="0" collapsed="false">
      <c r="A1247" s="424"/>
      <c r="B1247" s="424"/>
      <c r="C1247" s="424"/>
      <c r="D1247" s="424"/>
      <c r="E1247" s="424"/>
      <c r="F1247" s="424"/>
      <c r="G1247" s="424"/>
      <c r="H1247" s="424"/>
      <c r="I1247" s="424"/>
      <c r="J1247" s="424"/>
      <c r="K1247" s="424"/>
      <c r="L1247" s="424"/>
      <c r="M1247" s="424"/>
      <c r="N1247" s="424"/>
      <c r="O1247" s="424"/>
      <c r="P1247" s="438" t="s">
        <v>417</v>
      </c>
      <c r="Q1247" s="435" t="n">
        <v>25</v>
      </c>
      <c r="R1247" s="434" t="s">
        <v>487</v>
      </c>
      <c r="S1247" s="424"/>
      <c r="T1247" s="434" t="s">
        <v>488</v>
      </c>
      <c r="U1247" s="434" t="s">
        <v>489</v>
      </c>
      <c r="V1247" s="436" t="n">
        <f aca="false">AY1252</f>
        <v>0</v>
      </c>
    </row>
    <row r="1248" customFormat="false" ht="13.5" hidden="false" customHeight="false" outlineLevel="0" collapsed="false">
      <c r="A1248" s="424"/>
      <c r="B1248" s="424"/>
      <c r="C1248" s="424"/>
      <c r="D1248" s="424"/>
      <c r="E1248" s="424"/>
      <c r="F1248" s="424"/>
      <c r="G1248" s="424"/>
      <c r="H1248" s="424"/>
      <c r="I1248" s="424"/>
      <c r="J1248" s="424"/>
      <c r="K1248" s="424"/>
      <c r="L1248" s="424"/>
      <c r="M1248" s="424"/>
      <c r="N1248" s="424"/>
      <c r="O1248" s="424"/>
      <c r="P1248" s="438" t="s">
        <v>417</v>
      </c>
      <c r="Q1248" s="435" t="n">
        <v>26</v>
      </c>
      <c r="R1248" s="434" t="s">
        <v>490</v>
      </c>
      <c r="S1248" s="424"/>
      <c r="T1248" s="434" t="s">
        <v>491</v>
      </c>
      <c r="U1248" s="434" t="s">
        <v>492</v>
      </c>
      <c r="V1248" s="436" t="n">
        <f aca="false">AY1253</f>
        <v>0</v>
      </c>
    </row>
    <row r="1249" customFormat="false" ht="13.5" hidden="false" customHeight="false" outlineLevel="0" collapsed="false">
      <c r="A1249" s="424"/>
      <c r="B1249" s="424"/>
      <c r="C1249" s="424"/>
      <c r="D1249" s="424"/>
      <c r="E1249" s="424"/>
      <c r="F1249" s="424"/>
      <c r="G1249" s="424"/>
      <c r="H1249" s="424"/>
      <c r="I1249" s="424"/>
      <c r="J1249" s="424"/>
      <c r="K1249" s="424"/>
      <c r="L1249" s="424"/>
      <c r="M1249" s="424"/>
      <c r="N1249" s="424"/>
      <c r="O1249" s="424"/>
      <c r="P1249" s="424"/>
      <c r="Q1249" s="435" t="n">
        <v>27</v>
      </c>
      <c r="R1249" s="434" t="s">
        <v>493</v>
      </c>
      <c r="S1249" s="424"/>
      <c r="T1249" s="434" t="s">
        <v>494</v>
      </c>
      <c r="U1249" s="434" t="s">
        <v>495</v>
      </c>
      <c r="V1249" s="436" t="n">
        <f aca="false">AY1254</f>
        <v>0</v>
      </c>
    </row>
    <row r="1250" customFormat="false" ht="13.5" hidden="false" customHeight="false" outlineLevel="0" collapsed="false">
      <c r="A1250" s="424"/>
      <c r="B1250" s="424"/>
      <c r="C1250" s="424"/>
      <c r="D1250" s="424"/>
      <c r="E1250" s="424"/>
      <c r="F1250" s="424"/>
      <c r="G1250" s="424"/>
      <c r="H1250" s="424"/>
      <c r="I1250" s="424"/>
      <c r="J1250" s="424"/>
      <c r="K1250" s="424"/>
      <c r="L1250" s="424"/>
      <c r="M1250" s="424"/>
      <c r="N1250" s="424"/>
      <c r="O1250" s="424"/>
      <c r="P1250" s="424"/>
      <c r="Q1250" s="435" t="n">
        <v>28</v>
      </c>
      <c r="R1250" s="434" t="s">
        <v>496</v>
      </c>
      <c r="S1250" s="424"/>
      <c r="T1250" s="434" t="s">
        <v>497</v>
      </c>
      <c r="U1250" s="434" t="s">
        <v>498</v>
      </c>
      <c r="V1250" s="436" t="n">
        <f aca="false">AY1255</f>
        <v>0</v>
      </c>
    </row>
    <row r="1251" customFormat="false" ht="13.5" hidden="false" customHeight="false" outlineLevel="0" collapsed="false">
      <c r="A1251" s="424"/>
      <c r="B1251" s="424"/>
      <c r="C1251" s="424"/>
      <c r="D1251" s="424"/>
      <c r="E1251" s="424"/>
      <c r="F1251" s="424"/>
      <c r="G1251" s="424"/>
      <c r="H1251" s="424"/>
      <c r="I1251" s="424"/>
      <c r="J1251" s="424"/>
      <c r="K1251" s="424"/>
      <c r="L1251" s="424"/>
      <c r="M1251" s="424"/>
      <c r="N1251" s="424"/>
      <c r="O1251" s="424"/>
      <c r="P1251" s="424"/>
      <c r="Q1251" s="435" t="n">
        <v>29</v>
      </c>
      <c r="R1251" s="434" t="s">
        <v>499</v>
      </c>
      <c r="S1251" s="424"/>
      <c r="T1251" s="434" t="s">
        <v>500</v>
      </c>
      <c r="U1251" s="434" t="s">
        <v>501</v>
      </c>
      <c r="V1251" s="436" t="n">
        <f aca="false">AY1256</f>
        <v>0</v>
      </c>
    </row>
    <row r="1252" customFormat="false" ht="13.5" hidden="false" customHeight="false" outlineLevel="0" collapsed="false">
      <c r="A1252" s="424"/>
      <c r="B1252" s="424"/>
      <c r="C1252" s="424"/>
      <c r="D1252" s="424"/>
      <c r="E1252" s="424"/>
      <c r="F1252" s="424"/>
      <c r="G1252" s="424"/>
      <c r="H1252" s="424"/>
      <c r="I1252" s="424"/>
      <c r="J1252" s="424"/>
      <c r="K1252" s="424"/>
      <c r="L1252" s="424"/>
      <c r="M1252" s="424"/>
      <c r="N1252" s="424"/>
      <c r="O1252" s="424"/>
      <c r="P1252" s="424"/>
      <c r="Q1252" s="435" t="n">
        <v>30</v>
      </c>
      <c r="R1252" s="434" t="s">
        <v>502</v>
      </c>
      <c r="S1252" s="424"/>
      <c r="T1252" s="434" t="s">
        <v>503</v>
      </c>
      <c r="U1252" s="434" t="s">
        <v>504</v>
      </c>
      <c r="V1252" s="436" t="n">
        <f aca="false">AY1257</f>
        <v>0</v>
      </c>
    </row>
    <row r="1253" customFormat="false" ht="13.5" hidden="false" customHeight="false" outlineLevel="0" collapsed="false">
      <c r="A1253" s="424"/>
      <c r="B1253" s="424"/>
      <c r="C1253" s="424"/>
      <c r="D1253" s="424"/>
      <c r="E1253" s="424"/>
      <c r="F1253" s="424"/>
      <c r="G1253" s="424"/>
      <c r="H1253" s="424"/>
      <c r="I1253" s="424"/>
      <c r="J1253" s="424"/>
      <c r="K1253" s="424"/>
      <c r="L1253" s="424"/>
      <c r="M1253" s="424"/>
      <c r="N1253" s="424"/>
      <c r="O1253" s="424"/>
      <c r="P1253" s="424"/>
      <c r="Q1253" s="435" t="n">
        <v>31</v>
      </c>
      <c r="R1253" s="434" t="s">
        <v>505</v>
      </c>
      <c r="S1253" s="424"/>
      <c r="T1253" s="434" t="s">
        <v>506</v>
      </c>
      <c r="U1253" s="434" t="s">
        <v>507</v>
      </c>
      <c r="V1253" s="436" t="n">
        <f aca="false">AY1258</f>
        <v>0</v>
      </c>
    </row>
    <row r="1254" customFormat="false" ht="13.5" hidden="false" customHeight="false" outlineLevel="0" collapsed="false">
      <c r="A1254" s="424"/>
      <c r="B1254" s="424"/>
      <c r="C1254" s="424"/>
      <c r="D1254" s="424"/>
      <c r="E1254" s="424"/>
      <c r="F1254" s="424"/>
      <c r="G1254" s="424"/>
      <c r="H1254" s="424"/>
      <c r="I1254" s="424"/>
      <c r="J1254" s="424"/>
      <c r="K1254" s="424"/>
      <c r="L1254" s="424"/>
      <c r="M1254" s="424"/>
      <c r="N1254" s="424"/>
      <c r="O1254" s="424"/>
      <c r="P1254" s="424"/>
      <c r="Q1254" s="435" t="n">
        <v>32</v>
      </c>
      <c r="R1254" s="434" t="s">
        <v>508</v>
      </c>
      <c r="S1254" s="424"/>
      <c r="T1254" s="434" t="s">
        <v>509</v>
      </c>
      <c r="U1254" s="434" t="s">
        <v>510</v>
      </c>
      <c r="V1254" s="436" t="n">
        <f aca="false">AY1259</f>
        <v>0</v>
      </c>
    </row>
    <row r="1255" customFormat="false" ht="13.5" hidden="false" customHeight="false" outlineLevel="0" collapsed="false">
      <c r="A1255" s="440"/>
      <c r="B1255" s="435" t="e">
        <f aca="false">G1240</f>
        <v>#VALUE!</v>
      </c>
      <c r="C1255" s="424"/>
      <c r="D1255" s="424"/>
      <c r="E1255" s="424"/>
      <c r="F1255" s="424"/>
      <c r="G1255" s="424"/>
      <c r="H1255" s="424"/>
      <c r="I1255" s="424"/>
      <c r="J1255" s="424"/>
      <c r="K1255" s="424"/>
      <c r="L1255" s="424"/>
      <c r="M1255" s="424"/>
      <c r="N1255" s="424"/>
      <c r="O1255" s="424"/>
      <c r="P1255" s="424"/>
      <c r="Q1255" s="435" t="n">
        <v>33</v>
      </c>
      <c r="R1255" s="434" t="s">
        <v>511</v>
      </c>
      <c r="S1255" s="424"/>
      <c r="T1255" s="434" t="s">
        <v>512</v>
      </c>
      <c r="U1255" s="434" t="s">
        <v>513</v>
      </c>
      <c r="V1255" s="436" t="n">
        <f aca="false">AY1260</f>
        <v>0</v>
      </c>
    </row>
    <row r="1256" customFormat="false" ht="13.5" hidden="false" customHeight="false" outlineLevel="0" collapsed="false">
      <c r="A1256" s="440"/>
      <c r="B1256" s="435" t="str">
        <f aca="false">H1240</f>
        <v/>
      </c>
      <c r="C1256" s="424"/>
      <c r="D1256" s="424"/>
      <c r="E1256" s="424"/>
      <c r="F1256" s="424"/>
      <c r="G1256" s="424"/>
      <c r="H1256" s="424"/>
      <c r="I1256" s="424"/>
      <c r="J1256" s="424"/>
      <c r="K1256" s="424"/>
      <c r="L1256" s="424"/>
      <c r="M1256" s="424"/>
      <c r="N1256" s="424"/>
      <c r="O1256" s="424"/>
      <c r="P1256" s="424"/>
      <c r="Q1256" s="435" t="n">
        <v>34</v>
      </c>
      <c r="R1256" s="434" t="s">
        <v>514</v>
      </c>
      <c r="S1256" s="424"/>
      <c r="T1256" s="434" t="s">
        <v>515</v>
      </c>
      <c r="U1256" s="434" t="s">
        <v>516</v>
      </c>
      <c r="V1256" s="436" t="n">
        <f aca="false">AY1261</f>
        <v>0</v>
      </c>
    </row>
    <row r="1257" customFormat="false" ht="13.5" hidden="false" customHeight="false" outlineLevel="0" collapsed="false">
      <c r="A1257" s="440"/>
      <c r="B1257" s="435" t="str">
        <f aca="false">I1240</f>
        <v/>
      </c>
      <c r="C1257" s="424"/>
      <c r="D1257" s="424"/>
      <c r="E1257" s="424"/>
      <c r="F1257" s="424"/>
      <c r="G1257" s="424"/>
      <c r="H1257" s="424"/>
      <c r="I1257" s="424"/>
      <c r="J1257" s="424"/>
      <c r="K1257" s="424"/>
      <c r="L1257" s="424"/>
      <c r="M1257" s="424"/>
      <c r="N1257" s="424"/>
      <c r="O1257" s="424"/>
      <c r="P1257" s="424"/>
      <c r="Q1257" s="435" t="n">
        <v>35</v>
      </c>
      <c r="R1257" s="434" t="s">
        <v>517</v>
      </c>
      <c r="S1257" s="424"/>
      <c r="T1257" s="434" t="s">
        <v>518</v>
      </c>
      <c r="U1257" s="434" t="s">
        <v>519</v>
      </c>
      <c r="V1257" s="436" t="n">
        <f aca="false">AY1262</f>
        <v>0</v>
      </c>
    </row>
    <row r="1258" customFormat="false" ht="13.5" hidden="false" customHeight="false" outlineLevel="0" collapsed="false">
      <c r="A1258" s="440"/>
      <c r="B1258" s="435" t="str">
        <f aca="false">J1240</f>
        <v/>
      </c>
      <c r="C1258" s="424"/>
      <c r="D1258" s="424"/>
      <c r="E1258" s="424"/>
      <c r="F1258" s="424"/>
      <c r="G1258" s="424"/>
      <c r="H1258" s="424"/>
      <c r="I1258" s="424"/>
      <c r="J1258" s="424"/>
      <c r="K1258" s="424"/>
      <c r="L1258" s="424"/>
      <c r="M1258" s="424"/>
      <c r="N1258" s="424"/>
      <c r="O1258" s="424"/>
      <c r="P1258" s="424"/>
      <c r="Q1258" s="435" t="n">
        <v>36</v>
      </c>
      <c r="R1258" s="434" t="s">
        <v>520</v>
      </c>
      <c r="S1258" s="424"/>
      <c r="T1258" s="434" t="s">
        <v>521</v>
      </c>
      <c r="U1258" s="434" t="s">
        <v>522</v>
      </c>
      <c r="V1258" s="436" t="n">
        <f aca="false">AY1263</f>
        <v>0</v>
      </c>
    </row>
    <row r="1259" customFormat="false" ht="13.5" hidden="false" customHeight="false" outlineLevel="0" collapsed="false">
      <c r="A1259" s="440"/>
      <c r="B1259" s="440" t="str">
        <f aca="false">K1240</f>
        <v/>
      </c>
      <c r="C1259" s="424"/>
      <c r="D1259" s="424"/>
      <c r="E1259" s="424"/>
      <c r="F1259" s="424"/>
      <c r="G1259" s="424"/>
      <c r="H1259" s="424"/>
      <c r="I1259" s="424"/>
      <c r="J1259" s="424"/>
      <c r="K1259" s="424"/>
      <c r="L1259" s="424"/>
      <c r="M1259" s="424"/>
      <c r="N1259" s="424"/>
      <c r="O1259" s="424"/>
      <c r="P1259" s="424"/>
      <c r="Q1259" s="435" t="n">
        <v>37</v>
      </c>
      <c r="R1259" s="434" t="s">
        <v>523</v>
      </c>
      <c r="S1259" s="424"/>
      <c r="T1259" s="434" t="s">
        <v>524</v>
      </c>
      <c r="U1259" s="434" t="s">
        <v>525</v>
      </c>
      <c r="V1259" s="436" t="n">
        <f aca="false">AY1264</f>
        <v>0</v>
      </c>
    </row>
    <row r="1260" customFormat="false" ht="13.5" hidden="false" customHeight="false" outlineLevel="0" collapsed="false">
      <c r="A1260" s="440"/>
      <c r="B1260" s="435" t="str">
        <f aca="false">L1240</f>
        <v> Dua belas</v>
      </c>
      <c r="C1260" s="424"/>
      <c r="D1260" s="424"/>
      <c r="E1260" s="424"/>
      <c r="F1260" s="424"/>
      <c r="G1260" s="424"/>
      <c r="H1260" s="424"/>
      <c r="I1260" s="424"/>
      <c r="J1260" s="424"/>
      <c r="K1260" s="424"/>
      <c r="L1260" s="424"/>
      <c r="M1260" s="424"/>
      <c r="N1260" s="424"/>
      <c r="O1260" s="424"/>
      <c r="P1260" s="424"/>
      <c r="Q1260" s="435" t="n">
        <v>38</v>
      </c>
      <c r="R1260" s="434" t="s">
        <v>526</v>
      </c>
      <c r="S1260" s="424"/>
      <c r="T1260" s="434" t="s">
        <v>527</v>
      </c>
      <c r="U1260" s="434" t="s">
        <v>528</v>
      </c>
      <c r="V1260" s="436" t="n">
        <f aca="false">AY1265</f>
        <v>0</v>
      </c>
    </row>
    <row r="1261" customFormat="false" ht="13.5" hidden="false" customHeight="false" outlineLevel="0" collapsed="false">
      <c r="A1261" s="440"/>
      <c r="B1261" s="435" t="str">
        <f aca="false">M1240</f>
        <v> Rupiah </v>
      </c>
      <c r="C1261" s="424"/>
      <c r="D1261" s="424"/>
      <c r="E1261" s="424"/>
      <c r="F1261" s="424"/>
      <c r="G1261" s="424"/>
      <c r="H1261" s="424"/>
      <c r="I1261" s="424"/>
      <c r="J1261" s="424"/>
      <c r="K1261" s="424"/>
      <c r="L1261" s="424"/>
      <c r="M1261" s="424"/>
      <c r="N1261" s="424"/>
      <c r="O1261" s="424"/>
      <c r="P1261" s="424"/>
      <c r="Q1261" s="435" t="n">
        <v>39</v>
      </c>
      <c r="R1261" s="434" t="s">
        <v>529</v>
      </c>
      <c r="S1261" s="424"/>
      <c r="T1261" s="434" t="s">
        <v>530</v>
      </c>
      <c r="U1261" s="434" t="s">
        <v>531</v>
      </c>
      <c r="V1261" s="436" t="n">
        <f aca="false">AY1266</f>
        <v>0</v>
      </c>
    </row>
    <row r="1262" customFormat="false" ht="13.5" hidden="false" customHeight="false" outlineLevel="0" collapsed="false">
      <c r="A1262" s="436" t="e">
        <f aca="false">+#REF!</f>
        <v>#REF!</v>
      </c>
      <c r="B1262" s="435" t="str">
        <f aca="false">O1240</f>
        <v/>
      </c>
      <c r="C1262" s="424"/>
      <c r="D1262" s="424"/>
      <c r="E1262" s="424"/>
      <c r="F1262" s="424"/>
      <c r="G1262" s="424"/>
      <c r="H1262" s="424"/>
      <c r="I1262" s="424"/>
      <c r="J1262" s="424"/>
      <c r="K1262" s="424"/>
      <c r="L1262" s="424"/>
      <c r="M1262" s="424"/>
      <c r="N1262" s="424"/>
      <c r="O1262" s="424"/>
      <c r="P1262" s="424"/>
      <c r="Q1262" s="435" t="n">
        <v>40</v>
      </c>
      <c r="R1262" s="434" t="s">
        <v>532</v>
      </c>
      <c r="S1262" s="424"/>
      <c r="T1262" s="434" t="s">
        <v>533</v>
      </c>
      <c r="U1262" s="434" t="s">
        <v>534</v>
      </c>
      <c r="V1262" s="436" t="n">
        <f aca="false">AY1267</f>
        <v>0</v>
      </c>
    </row>
    <row r="1263" customFormat="false" ht="13.5" hidden="false" customHeight="false" outlineLevel="0" collapsed="false">
      <c r="A1263" s="440"/>
      <c r="B1263" s="435" t="str">
        <f aca="false">IF(N1238&gt;0,"-","====")</f>
        <v>====</v>
      </c>
      <c r="C1263" s="424"/>
      <c r="D1263" s="424"/>
      <c r="E1263" s="424"/>
      <c r="F1263" s="424"/>
      <c r="G1263" s="424"/>
      <c r="H1263" s="424"/>
      <c r="I1263" s="424"/>
      <c r="J1263" s="424"/>
      <c r="K1263" s="424"/>
      <c r="L1263" s="424"/>
      <c r="M1263" s="424"/>
      <c r="N1263" s="424"/>
      <c r="O1263" s="424"/>
      <c r="P1263" s="424"/>
      <c r="Q1263" s="435" t="n">
        <v>41</v>
      </c>
      <c r="R1263" s="434" t="s">
        <v>535</v>
      </c>
      <c r="S1263" s="424"/>
      <c r="T1263" s="434" t="s">
        <v>536</v>
      </c>
      <c r="U1263" s="434" t="s">
        <v>537</v>
      </c>
      <c r="V1263" s="436" t="n">
        <f aca="false">AY1268</f>
        <v>0</v>
      </c>
    </row>
    <row r="1264" customFormat="false" ht="13.5" hidden="false" customHeight="false" outlineLevel="0" collapsed="false">
      <c r="A1264" s="435" t="e">
        <f aca="false">B1240&amp;C1240&amp;D1240&amp;E1240&amp;F1240&amp;G1240&amp;H1240&amp;I1240&amp;J1240&amp;K1240&amp;L1240&amp;M1240&amp;O1240</f>
        <v>#N/A</v>
      </c>
      <c r="B1264" s="424"/>
      <c r="C1264" s="424"/>
      <c r="D1264" s="424"/>
      <c r="E1264" s="424"/>
      <c r="F1264" s="424"/>
      <c r="G1264" s="424"/>
      <c r="H1264" s="424"/>
      <c r="I1264" s="424"/>
      <c r="J1264" s="424"/>
      <c r="K1264" s="424"/>
      <c r="L1264" s="424"/>
      <c r="M1264" s="424"/>
      <c r="N1264" s="424"/>
      <c r="O1264" s="424"/>
      <c r="P1264" s="424"/>
      <c r="Q1264" s="435" t="n">
        <v>42</v>
      </c>
      <c r="R1264" s="434" t="s">
        <v>538</v>
      </c>
      <c r="S1264" s="424"/>
      <c r="T1264" s="434" t="s">
        <v>539</v>
      </c>
      <c r="U1264" s="434" t="s">
        <v>540</v>
      </c>
      <c r="V1264" s="436" t="n">
        <f aca="false">AY1269</f>
        <v>0</v>
      </c>
    </row>
    <row r="1265" customFormat="false" ht="13.5" hidden="false" customHeight="false" outlineLevel="0" collapsed="false">
      <c r="A1265" s="440" t="str">
        <f aca="false">I1240&amp;J1240&amp;K1240&amp;L1240&amp;M1240&amp;O1240</f>
        <v> Dua belas Rupiah </v>
      </c>
      <c r="B1265" s="424"/>
      <c r="C1265" s="424"/>
      <c r="D1265" s="424"/>
      <c r="E1265" s="424"/>
      <c r="F1265" s="424"/>
      <c r="G1265" s="424"/>
      <c r="H1265" s="424"/>
      <c r="I1265" s="424"/>
      <c r="J1265" s="424"/>
      <c r="K1265" s="424"/>
      <c r="L1265" s="424"/>
      <c r="M1265" s="424"/>
      <c r="N1265" s="424"/>
      <c r="O1265" s="424"/>
      <c r="P1265" s="424"/>
      <c r="Q1265" s="435" t="n">
        <v>43</v>
      </c>
      <c r="R1265" s="434" t="s">
        <v>541</v>
      </c>
      <c r="S1265" s="424"/>
      <c r="T1265" s="434" t="s">
        <v>542</v>
      </c>
      <c r="U1265" s="434" t="s">
        <v>543</v>
      </c>
      <c r="V1265" s="436" t="n">
        <f aca="false">AY1270</f>
        <v>0</v>
      </c>
    </row>
    <row r="1266" customFormat="false" ht="13.5" hidden="false" customHeight="false" outlineLevel="0" collapsed="false">
      <c r="A1266" s="440"/>
      <c r="B1266" s="424"/>
      <c r="C1266" s="424"/>
      <c r="D1266" s="424"/>
      <c r="E1266" s="424"/>
      <c r="F1266" s="424"/>
      <c r="G1266" s="424"/>
      <c r="H1266" s="424"/>
      <c r="I1266" s="424"/>
      <c r="J1266" s="424"/>
      <c r="K1266" s="424"/>
      <c r="L1266" s="424"/>
      <c r="M1266" s="424"/>
      <c r="N1266" s="424"/>
      <c r="O1266" s="424"/>
      <c r="P1266" s="424"/>
      <c r="Q1266" s="435" t="n">
        <v>44</v>
      </c>
      <c r="R1266" s="434" t="s">
        <v>544</v>
      </c>
      <c r="S1266" s="424"/>
      <c r="T1266" s="434" t="s">
        <v>545</v>
      </c>
      <c r="U1266" s="434" t="s">
        <v>546</v>
      </c>
      <c r="V1266" s="436" t="n">
        <f aca="false">AY1271</f>
        <v>0</v>
      </c>
    </row>
    <row r="1267" customFormat="false" ht="13.5" hidden="false" customHeight="false" outlineLevel="0" collapsed="false">
      <c r="A1267" s="440"/>
      <c r="B1267" s="424"/>
      <c r="C1267" s="424"/>
      <c r="D1267" s="424"/>
      <c r="E1267" s="424"/>
      <c r="F1267" s="424"/>
      <c r="G1267" s="424"/>
      <c r="H1267" s="424"/>
      <c r="I1267" s="424"/>
      <c r="J1267" s="424"/>
      <c r="K1267" s="424"/>
      <c r="L1267" s="424"/>
      <c r="M1267" s="424"/>
      <c r="N1267" s="424"/>
      <c r="O1267" s="424"/>
      <c r="P1267" s="424"/>
      <c r="Q1267" s="435" t="n">
        <v>45</v>
      </c>
      <c r="R1267" s="434" t="s">
        <v>547</v>
      </c>
      <c r="S1267" s="424"/>
      <c r="T1267" s="434" t="s">
        <v>548</v>
      </c>
      <c r="U1267" s="434" t="s">
        <v>549</v>
      </c>
      <c r="V1267" s="436" t="n">
        <f aca="false">AY1272</f>
        <v>0</v>
      </c>
    </row>
    <row r="1268" customFormat="false" ht="13.5" hidden="false" customHeight="false" outlineLevel="0" collapsed="false">
      <c r="A1268" s="440"/>
      <c r="B1268" s="424"/>
      <c r="C1268" s="424"/>
      <c r="D1268" s="424"/>
      <c r="E1268" s="424"/>
      <c r="F1268" s="424"/>
      <c r="G1268" s="424"/>
      <c r="H1268" s="424"/>
      <c r="I1268" s="424"/>
      <c r="J1268" s="424"/>
      <c r="K1268" s="424"/>
      <c r="L1268" s="424"/>
      <c r="M1268" s="424"/>
      <c r="N1268" s="424"/>
      <c r="O1268" s="424"/>
      <c r="P1268" s="424"/>
      <c r="Q1268" s="435" t="n">
        <v>46</v>
      </c>
      <c r="R1268" s="434" t="s">
        <v>550</v>
      </c>
      <c r="S1268" s="424"/>
      <c r="T1268" s="434" t="s">
        <v>551</v>
      </c>
      <c r="U1268" s="434" t="s">
        <v>552</v>
      </c>
      <c r="V1268" s="436" t="n">
        <f aca="false">AY1273</f>
        <v>0</v>
      </c>
    </row>
    <row r="1269" customFormat="false" ht="13.5" hidden="false" customHeight="false" outlineLevel="0" collapsed="false">
      <c r="A1269" s="440"/>
      <c r="B1269" s="424"/>
      <c r="C1269" s="424"/>
      <c r="D1269" s="424"/>
      <c r="E1269" s="424"/>
      <c r="F1269" s="424"/>
      <c r="G1269" s="424"/>
      <c r="H1269" s="424"/>
      <c r="I1269" s="424"/>
      <c r="J1269" s="424"/>
      <c r="K1269" s="424"/>
      <c r="L1269" s="424"/>
      <c r="M1269" s="424"/>
      <c r="N1269" s="424"/>
      <c r="O1269" s="424"/>
      <c r="P1269" s="424"/>
      <c r="Q1269" s="435" t="n">
        <v>47</v>
      </c>
      <c r="R1269" s="434" t="s">
        <v>553</v>
      </c>
      <c r="S1269" s="424"/>
      <c r="T1269" s="434" t="s">
        <v>554</v>
      </c>
      <c r="U1269" s="434" t="s">
        <v>555</v>
      </c>
      <c r="V1269" s="436" t="n">
        <f aca="false">AY1274</f>
        <v>0</v>
      </c>
    </row>
    <row r="1270" customFormat="false" ht="13.5" hidden="false" customHeight="false" outlineLevel="0" collapsed="false">
      <c r="A1270" s="424"/>
      <c r="B1270" s="424"/>
      <c r="C1270" s="424"/>
      <c r="D1270" s="424"/>
      <c r="E1270" s="424"/>
      <c r="F1270" s="424"/>
      <c r="G1270" s="424"/>
      <c r="H1270" s="424"/>
      <c r="I1270" s="424"/>
      <c r="J1270" s="424"/>
      <c r="K1270" s="424"/>
      <c r="L1270" s="424"/>
      <c r="M1270" s="424"/>
      <c r="N1270" s="424"/>
      <c r="O1270" s="424"/>
      <c r="P1270" s="424"/>
      <c r="Q1270" s="435" t="n">
        <v>48</v>
      </c>
      <c r="R1270" s="434" t="s">
        <v>556</v>
      </c>
      <c r="S1270" s="424"/>
      <c r="T1270" s="434" t="s">
        <v>557</v>
      </c>
      <c r="U1270" s="434" t="s">
        <v>558</v>
      </c>
      <c r="V1270" s="436" t="n">
        <f aca="false">AY1275</f>
        <v>0</v>
      </c>
    </row>
    <row r="1271" customFormat="false" ht="13.5" hidden="false" customHeight="false" outlineLevel="0" collapsed="false">
      <c r="A1271" s="424"/>
      <c r="B1271" s="424"/>
      <c r="C1271" s="424"/>
      <c r="D1271" s="424"/>
      <c r="E1271" s="424"/>
      <c r="F1271" s="424"/>
      <c r="G1271" s="424"/>
      <c r="H1271" s="424"/>
      <c r="I1271" s="424"/>
      <c r="J1271" s="424"/>
      <c r="K1271" s="424"/>
      <c r="L1271" s="424"/>
      <c r="M1271" s="424"/>
      <c r="N1271" s="424"/>
      <c r="O1271" s="424"/>
      <c r="P1271" s="424"/>
      <c r="Q1271" s="435" t="n">
        <v>49</v>
      </c>
      <c r="R1271" s="434" t="s">
        <v>559</v>
      </c>
      <c r="S1271" s="424"/>
      <c r="T1271" s="434" t="s">
        <v>560</v>
      </c>
      <c r="U1271" s="434" t="s">
        <v>561</v>
      </c>
      <c r="V1271" s="436" t="n">
        <f aca="false">AY1276</f>
        <v>0</v>
      </c>
    </row>
    <row r="1272" customFormat="false" ht="13.5" hidden="false" customHeight="false" outlineLevel="0" collapsed="false">
      <c r="A1272" s="424"/>
      <c r="B1272" s="424"/>
      <c r="C1272" s="424"/>
      <c r="D1272" s="424"/>
      <c r="E1272" s="424"/>
      <c r="F1272" s="424"/>
      <c r="G1272" s="424"/>
      <c r="H1272" s="424"/>
      <c r="I1272" s="424"/>
      <c r="J1272" s="424"/>
      <c r="K1272" s="424"/>
      <c r="L1272" s="424"/>
      <c r="M1272" s="424"/>
      <c r="N1272" s="424"/>
      <c r="O1272" s="424"/>
      <c r="P1272" s="424"/>
      <c r="Q1272" s="435" t="n">
        <v>50</v>
      </c>
      <c r="R1272" s="434" t="s">
        <v>562</v>
      </c>
      <c r="S1272" s="424"/>
      <c r="T1272" s="434" t="s">
        <v>563</v>
      </c>
      <c r="U1272" s="434" t="s">
        <v>564</v>
      </c>
      <c r="V1272" s="436" t="n">
        <f aca="false">AY1277</f>
        <v>0</v>
      </c>
    </row>
    <row r="1273" customFormat="false" ht="13.5" hidden="false" customHeight="false" outlineLevel="0" collapsed="false">
      <c r="A1273" s="424"/>
      <c r="B1273" s="424"/>
      <c r="C1273" s="424"/>
      <c r="D1273" s="424"/>
      <c r="E1273" s="424"/>
      <c r="F1273" s="424"/>
      <c r="G1273" s="424"/>
      <c r="H1273" s="424"/>
      <c r="I1273" s="424"/>
      <c r="J1273" s="424"/>
      <c r="K1273" s="424"/>
      <c r="L1273" s="424"/>
      <c r="M1273" s="424"/>
      <c r="N1273" s="424"/>
      <c r="O1273" s="424"/>
      <c r="P1273" s="424"/>
      <c r="Q1273" s="435" t="n">
        <v>51</v>
      </c>
      <c r="R1273" s="434" t="s">
        <v>565</v>
      </c>
      <c r="S1273" s="424"/>
      <c r="T1273" s="434" t="s">
        <v>566</v>
      </c>
      <c r="U1273" s="434" t="s">
        <v>567</v>
      </c>
      <c r="V1273" s="436" t="n">
        <f aca="false">AY1278</f>
        <v>0</v>
      </c>
    </row>
    <row r="1274" customFormat="false" ht="13.5" hidden="false" customHeight="false" outlineLevel="0" collapsed="false">
      <c r="A1274" s="424"/>
      <c r="B1274" s="424"/>
      <c r="C1274" s="424"/>
      <c r="D1274" s="424"/>
      <c r="E1274" s="424"/>
      <c r="F1274" s="424"/>
      <c r="G1274" s="424"/>
      <c r="H1274" s="424"/>
      <c r="I1274" s="424"/>
      <c r="J1274" s="424"/>
      <c r="K1274" s="424"/>
      <c r="L1274" s="424"/>
      <c r="M1274" s="424"/>
      <c r="N1274" s="424"/>
      <c r="O1274" s="424"/>
      <c r="P1274" s="424"/>
      <c r="Q1274" s="435" t="n">
        <v>52</v>
      </c>
      <c r="R1274" s="434" t="s">
        <v>568</v>
      </c>
      <c r="S1274" s="424"/>
      <c r="T1274" s="434" t="s">
        <v>569</v>
      </c>
      <c r="U1274" s="434" t="s">
        <v>570</v>
      </c>
      <c r="V1274" s="436" t="n">
        <f aca="false">AY1279</f>
        <v>0</v>
      </c>
    </row>
    <row r="1275" customFormat="false" ht="13.5" hidden="false" customHeight="false" outlineLevel="0" collapsed="false">
      <c r="A1275" s="424"/>
      <c r="B1275" s="424"/>
      <c r="C1275" s="424"/>
      <c r="D1275" s="424"/>
      <c r="E1275" s="424"/>
      <c r="F1275" s="424"/>
      <c r="G1275" s="424"/>
      <c r="H1275" s="424"/>
      <c r="I1275" s="424"/>
      <c r="J1275" s="424"/>
      <c r="K1275" s="424"/>
      <c r="L1275" s="424"/>
      <c r="M1275" s="424"/>
      <c r="N1275" s="424"/>
      <c r="O1275" s="424"/>
      <c r="P1275" s="424"/>
      <c r="Q1275" s="435" t="n">
        <v>53</v>
      </c>
      <c r="R1275" s="434" t="s">
        <v>571</v>
      </c>
      <c r="S1275" s="424"/>
      <c r="T1275" s="434" t="s">
        <v>572</v>
      </c>
      <c r="U1275" s="434" t="s">
        <v>573</v>
      </c>
      <c r="V1275" s="436" t="n">
        <f aca="false">AY1280</f>
        <v>0</v>
      </c>
    </row>
    <row r="1276" customFormat="false" ht="13.5" hidden="false" customHeight="false" outlineLevel="0" collapsed="false">
      <c r="A1276" s="424"/>
      <c r="B1276" s="424"/>
      <c r="C1276" s="424"/>
      <c r="D1276" s="424"/>
      <c r="E1276" s="424"/>
      <c r="F1276" s="424"/>
      <c r="G1276" s="424"/>
      <c r="H1276" s="424"/>
      <c r="I1276" s="424"/>
      <c r="J1276" s="424"/>
      <c r="K1276" s="424"/>
      <c r="L1276" s="424"/>
      <c r="M1276" s="424"/>
      <c r="N1276" s="424"/>
      <c r="O1276" s="424"/>
      <c r="P1276" s="424"/>
      <c r="Q1276" s="435" t="n">
        <v>54</v>
      </c>
      <c r="R1276" s="434" t="s">
        <v>574</v>
      </c>
      <c r="S1276" s="424"/>
      <c r="T1276" s="434" t="s">
        <v>575</v>
      </c>
      <c r="U1276" s="434" t="s">
        <v>576</v>
      </c>
      <c r="V1276" s="436" t="n">
        <f aca="false">AY1281</f>
        <v>0</v>
      </c>
    </row>
    <row r="1277" customFormat="false" ht="13.5" hidden="false" customHeight="false" outlineLevel="0" collapsed="false">
      <c r="A1277" s="424"/>
      <c r="B1277" s="424"/>
      <c r="C1277" s="424"/>
      <c r="D1277" s="424"/>
      <c r="E1277" s="424"/>
      <c r="F1277" s="424"/>
      <c r="G1277" s="424"/>
      <c r="H1277" s="424"/>
      <c r="I1277" s="424"/>
      <c r="J1277" s="424"/>
      <c r="K1277" s="424"/>
      <c r="L1277" s="424"/>
      <c r="M1277" s="424"/>
      <c r="N1277" s="424"/>
      <c r="O1277" s="424"/>
      <c r="P1277" s="424"/>
      <c r="Q1277" s="435" t="n">
        <v>55</v>
      </c>
      <c r="R1277" s="434" t="s">
        <v>577</v>
      </c>
      <c r="S1277" s="424"/>
      <c r="T1277" s="434" t="s">
        <v>578</v>
      </c>
      <c r="U1277" s="434" t="s">
        <v>579</v>
      </c>
      <c r="V1277" s="436" t="n">
        <f aca="false">AY1282</f>
        <v>0</v>
      </c>
    </row>
    <row r="1278" customFormat="false" ht="13.5" hidden="false" customHeight="false" outlineLevel="0" collapsed="false">
      <c r="A1278" s="424"/>
      <c r="B1278" s="424"/>
      <c r="C1278" s="424"/>
      <c r="D1278" s="424"/>
      <c r="E1278" s="424"/>
      <c r="F1278" s="424"/>
      <c r="G1278" s="424"/>
      <c r="H1278" s="424"/>
      <c r="I1278" s="424"/>
      <c r="J1278" s="424"/>
      <c r="K1278" s="424"/>
      <c r="L1278" s="424"/>
      <c r="M1278" s="424"/>
      <c r="N1278" s="424"/>
      <c r="O1278" s="424"/>
      <c r="P1278" s="424"/>
      <c r="Q1278" s="435" t="n">
        <v>56</v>
      </c>
      <c r="R1278" s="434" t="s">
        <v>580</v>
      </c>
      <c r="S1278" s="424"/>
      <c r="T1278" s="434" t="s">
        <v>581</v>
      </c>
      <c r="U1278" s="434" t="s">
        <v>582</v>
      </c>
      <c r="V1278" s="436" t="n">
        <f aca="false">AY1283</f>
        <v>0</v>
      </c>
    </row>
    <row r="1279" customFormat="false" ht="13.5" hidden="false" customHeight="false" outlineLevel="0" collapsed="false">
      <c r="A1279" s="424"/>
      <c r="B1279" s="424"/>
      <c r="C1279" s="424"/>
      <c r="D1279" s="424"/>
      <c r="E1279" s="424"/>
      <c r="F1279" s="424"/>
      <c r="G1279" s="424"/>
      <c r="H1279" s="424"/>
      <c r="I1279" s="424"/>
      <c r="J1279" s="424"/>
      <c r="K1279" s="424"/>
      <c r="L1279" s="424"/>
      <c r="M1279" s="424"/>
      <c r="N1279" s="424"/>
      <c r="O1279" s="424"/>
      <c r="P1279" s="424"/>
      <c r="Q1279" s="435" t="n">
        <v>57</v>
      </c>
      <c r="R1279" s="434" t="s">
        <v>583</v>
      </c>
      <c r="S1279" s="424"/>
      <c r="T1279" s="434" t="s">
        <v>584</v>
      </c>
      <c r="U1279" s="434" t="s">
        <v>585</v>
      </c>
      <c r="V1279" s="436" t="n">
        <f aca="false">AY1284</f>
        <v>0</v>
      </c>
    </row>
    <row r="1280" customFormat="false" ht="13.5" hidden="false" customHeight="false" outlineLevel="0" collapsed="false">
      <c r="A1280" s="424"/>
      <c r="B1280" s="424"/>
      <c r="C1280" s="424"/>
      <c r="D1280" s="424"/>
      <c r="E1280" s="424"/>
      <c r="F1280" s="424"/>
      <c r="G1280" s="424"/>
      <c r="H1280" s="424"/>
      <c r="I1280" s="424"/>
      <c r="J1280" s="424"/>
      <c r="K1280" s="424"/>
      <c r="L1280" s="424"/>
      <c r="M1280" s="424"/>
      <c r="N1280" s="424"/>
      <c r="O1280" s="424"/>
      <c r="P1280" s="424"/>
      <c r="Q1280" s="435" t="n">
        <v>58</v>
      </c>
      <c r="R1280" s="434" t="s">
        <v>586</v>
      </c>
      <c r="S1280" s="424"/>
      <c r="T1280" s="434" t="s">
        <v>587</v>
      </c>
      <c r="U1280" s="434" t="s">
        <v>588</v>
      </c>
      <c r="V1280" s="436" t="n">
        <f aca="false">AY1285</f>
        <v>0</v>
      </c>
    </row>
    <row r="1281" customFormat="false" ht="13.5" hidden="false" customHeight="false" outlineLevel="0" collapsed="false">
      <c r="A1281" s="424"/>
      <c r="B1281" s="424"/>
      <c r="C1281" s="424"/>
      <c r="D1281" s="424"/>
      <c r="E1281" s="424"/>
      <c r="F1281" s="424"/>
      <c r="G1281" s="424"/>
      <c r="H1281" s="424"/>
      <c r="I1281" s="424"/>
      <c r="J1281" s="424"/>
      <c r="K1281" s="424"/>
      <c r="L1281" s="424"/>
      <c r="M1281" s="424"/>
      <c r="N1281" s="424"/>
      <c r="O1281" s="424"/>
      <c r="P1281" s="424"/>
      <c r="Q1281" s="435" t="n">
        <v>59</v>
      </c>
      <c r="R1281" s="434" t="s">
        <v>589</v>
      </c>
      <c r="S1281" s="424"/>
      <c r="T1281" s="434" t="s">
        <v>590</v>
      </c>
      <c r="U1281" s="434" t="s">
        <v>591</v>
      </c>
      <c r="V1281" s="436" t="n">
        <f aca="false">AY1286</f>
        <v>0</v>
      </c>
    </row>
    <row r="1282" customFormat="false" ht="13.5" hidden="false" customHeight="false" outlineLevel="0" collapsed="false">
      <c r="A1282" s="424"/>
      <c r="B1282" s="424"/>
      <c r="C1282" s="424"/>
      <c r="D1282" s="424"/>
      <c r="E1282" s="424"/>
      <c r="F1282" s="424"/>
      <c r="G1282" s="424"/>
      <c r="H1282" s="424"/>
      <c r="I1282" s="424"/>
      <c r="J1282" s="424"/>
      <c r="K1282" s="424"/>
      <c r="L1282" s="424"/>
      <c r="M1282" s="424"/>
      <c r="N1282" s="424"/>
      <c r="O1282" s="424"/>
      <c r="P1282" s="424"/>
      <c r="Q1282" s="435" t="n">
        <v>60</v>
      </c>
      <c r="R1282" s="434" t="s">
        <v>592</v>
      </c>
      <c r="S1282" s="424"/>
      <c r="T1282" s="434" t="s">
        <v>593</v>
      </c>
      <c r="U1282" s="434" t="s">
        <v>594</v>
      </c>
      <c r="V1282" s="436" t="n">
        <f aca="false">AY1287</f>
        <v>0</v>
      </c>
    </row>
    <row r="1283" customFormat="false" ht="13.5" hidden="false" customHeight="false" outlineLevel="0" collapsed="false">
      <c r="A1283" s="424"/>
      <c r="B1283" s="424"/>
      <c r="C1283" s="424"/>
      <c r="D1283" s="424"/>
      <c r="E1283" s="424"/>
      <c r="F1283" s="424"/>
      <c r="G1283" s="424"/>
      <c r="H1283" s="424"/>
      <c r="I1283" s="424"/>
      <c r="J1283" s="424"/>
      <c r="K1283" s="424"/>
      <c r="L1283" s="424"/>
      <c r="M1283" s="424"/>
      <c r="N1283" s="424"/>
      <c r="O1283" s="424"/>
      <c r="P1283" s="424"/>
      <c r="Q1283" s="435" t="n">
        <v>61</v>
      </c>
      <c r="R1283" s="434" t="s">
        <v>595</v>
      </c>
      <c r="S1283" s="424"/>
      <c r="T1283" s="434" t="s">
        <v>596</v>
      </c>
      <c r="U1283" s="434" t="s">
        <v>597</v>
      </c>
      <c r="V1283" s="436" t="n">
        <f aca="false">AY1288</f>
        <v>0</v>
      </c>
    </row>
    <row r="1284" customFormat="false" ht="13.5" hidden="false" customHeight="false" outlineLevel="0" collapsed="false">
      <c r="A1284" s="424"/>
      <c r="B1284" s="424"/>
      <c r="C1284" s="424"/>
      <c r="D1284" s="424"/>
      <c r="E1284" s="424"/>
      <c r="F1284" s="424"/>
      <c r="G1284" s="424"/>
      <c r="H1284" s="424"/>
      <c r="I1284" s="424"/>
      <c r="J1284" s="424"/>
      <c r="K1284" s="424"/>
      <c r="L1284" s="424"/>
      <c r="M1284" s="424"/>
      <c r="N1284" s="424"/>
      <c r="O1284" s="424"/>
      <c r="P1284" s="424"/>
      <c r="Q1284" s="435" t="n">
        <v>62</v>
      </c>
      <c r="R1284" s="434" t="s">
        <v>598</v>
      </c>
      <c r="S1284" s="424"/>
      <c r="T1284" s="434" t="s">
        <v>599</v>
      </c>
      <c r="U1284" s="434" t="s">
        <v>600</v>
      </c>
      <c r="V1284" s="436" t="n">
        <f aca="false">AY1289</f>
        <v>0</v>
      </c>
    </row>
    <row r="1285" customFormat="false" ht="13.5" hidden="false" customHeight="false" outlineLevel="0" collapsed="false">
      <c r="A1285" s="424"/>
      <c r="B1285" s="424"/>
      <c r="C1285" s="424"/>
      <c r="D1285" s="424"/>
      <c r="E1285" s="424"/>
      <c r="F1285" s="424"/>
      <c r="G1285" s="424"/>
      <c r="H1285" s="424"/>
      <c r="I1285" s="424"/>
      <c r="J1285" s="424"/>
      <c r="K1285" s="424"/>
      <c r="L1285" s="424"/>
      <c r="M1285" s="424"/>
      <c r="N1285" s="424"/>
      <c r="O1285" s="424"/>
      <c r="P1285" s="424"/>
      <c r="Q1285" s="435" t="n">
        <v>63</v>
      </c>
      <c r="R1285" s="434" t="s">
        <v>601</v>
      </c>
      <c r="S1285" s="424"/>
      <c r="T1285" s="434" t="s">
        <v>602</v>
      </c>
      <c r="U1285" s="434" t="s">
        <v>603</v>
      </c>
      <c r="V1285" s="436" t="n">
        <f aca="false">AY1290</f>
        <v>0</v>
      </c>
    </row>
    <row r="1286" customFormat="false" ht="13.5" hidden="false" customHeight="false" outlineLevel="0" collapsed="false">
      <c r="A1286" s="424"/>
      <c r="B1286" s="424"/>
      <c r="C1286" s="424"/>
      <c r="D1286" s="424"/>
      <c r="E1286" s="424"/>
      <c r="F1286" s="424"/>
      <c r="G1286" s="424"/>
      <c r="H1286" s="424"/>
      <c r="I1286" s="424"/>
      <c r="J1286" s="424"/>
      <c r="K1286" s="424"/>
      <c r="L1286" s="424"/>
      <c r="M1286" s="424"/>
      <c r="N1286" s="424"/>
      <c r="O1286" s="424"/>
      <c r="P1286" s="424"/>
      <c r="Q1286" s="435" t="n">
        <v>64</v>
      </c>
      <c r="R1286" s="434" t="s">
        <v>604</v>
      </c>
      <c r="S1286" s="424"/>
      <c r="T1286" s="434" t="s">
        <v>605</v>
      </c>
      <c r="U1286" s="434" t="s">
        <v>606</v>
      </c>
      <c r="V1286" s="436" t="n">
        <f aca="false">AY1291</f>
        <v>0</v>
      </c>
    </row>
    <row r="1287" customFormat="false" ht="13.5" hidden="false" customHeight="false" outlineLevel="0" collapsed="false">
      <c r="A1287" s="424"/>
      <c r="B1287" s="424"/>
      <c r="C1287" s="424"/>
      <c r="D1287" s="424"/>
      <c r="E1287" s="424"/>
      <c r="F1287" s="424"/>
      <c r="G1287" s="424"/>
      <c r="H1287" s="424"/>
      <c r="I1287" s="424"/>
      <c r="J1287" s="424"/>
      <c r="K1287" s="424"/>
      <c r="L1287" s="424"/>
      <c r="M1287" s="424"/>
      <c r="N1287" s="424"/>
      <c r="O1287" s="424"/>
      <c r="P1287" s="424"/>
      <c r="Q1287" s="435" t="n">
        <v>65</v>
      </c>
      <c r="R1287" s="434" t="s">
        <v>607</v>
      </c>
      <c r="S1287" s="424"/>
      <c r="T1287" s="434" t="s">
        <v>608</v>
      </c>
      <c r="U1287" s="434" t="s">
        <v>609</v>
      </c>
      <c r="V1287" s="436" t="n">
        <f aca="false">AY1292</f>
        <v>0</v>
      </c>
    </row>
    <row r="1288" customFormat="false" ht="13.5" hidden="false" customHeight="false" outlineLevel="0" collapsed="false">
      <c r="A1288" s="424"/>
      <c r="B1288" s="424"/>
      <c r="C1288" s="424"/>
      <c r="D1288" s="424"/>
      <c r="E1288" s="424"/>
      <c r="F1288" s="424"/>
      <c r="G1288" s="424"/>
      <c r="H1288" s="424"/>
      <c r="I1288" s="424"/>
      <c r="J1288" s="424"/>
      <c r="K1288" s="424"/>
      <c r="L1288" s="424"/>
      <c r="M1288" s="424"/>
      <c r="N1288" s="424"/>
      <c r="O1288" s="424"/>
      <c r="P1288" s="424"/>
      <c r="Q1288" s="435" t="n">
        <v>66</v>
      </c>
      <c r="R1288" s="434" t="s">
        <v>610</v>
      </c>
      <c r="S1288" s="424"/>
      <c r="T1288" s="434" t="s">
        <v>611</v>
      </c>
      <c r="U1288" s="434" t="s">
        <v>612</v>
      </c>
      <c r="V1288" s="436" t="n">
        <f aca="false">AY1293</f>
        <v>0</v>
      </c>
    </row>
    <row r="1289" customFormat="false" ht="13.5" hidden="false" customHeight="false" outlineLevel="0" collapsed="false">
      <c r="A1289" s="424"/>
      <c r="B1289" s="424"/>
      <c r="C1289" s="424"/>
      <c r="D1289" s="424"/>
      <c r="E1289" s="424"/>
      <c r="F1289" s="424"/>
      <c r="G1289" s="424"/>
      <c r="H1289" s="424"/>
      <c r="I1289" s="424"/>
      <c r="J1289" s="424"/>
      <c r="K1289" s="424"/>
      <c r="L1289" s="424"/>
      <c r="M1289" s="424"/>
      <c r="N1289" s="424"/>
      <c r="O1289" s="424"/>
      <c r="P1289" s="424"/>
      <c r="Q1289" s="435" t="n">
        <v>67</v>
      </c>
      <c r="R1289" s="434" t="s">
        <v>613</v>
      </c>
      <c r="S1289" s="424"/>
      <c r="T1289" s="434" t="s">
        <v>614</v>
      </c>
      <c r="U1289" s="434" t="s">
        <v>615</v>
      </c>
      <c r="V1289" s="436" t="n">
        <f aca="false">AY1294</f>
        <v>0</v>
      </c>
    </row>
    <row r="1290" customFormat="false" ht="13.5" hidden="false" customHeight="false" outlineLevel="0" collapsed="false">
      <c r="A1290" s="424"/>
      <c r="B1290" s="424"/>
      <c r="C1290" s="424"/>
      <c r="D1290" s="424"/>
      <c r="E1290" s="424"/>
      <c r="F1290" s="424"/>
      <c r="G1290" s="424"/>
      <c r="H1290" s="424"/>
      <c r="I1290" s="424"/>
      <c r="J1290" s="424"/>
      <c r="K1290" s="424"/>
      <c r="L1290" s="424"/>
      <c r="M1290" s="424"/>
      <c r="N1290" s="424"/>
      <c r="O1290" s="424"/>
      <c r="P1290" s="424"/>
      <c r="Q1290" s="435" t="n">
        <v>68</v>
      </c>
      <c r="R1290" s="434" t="s">
        <v>616</v>
      </c>
      <c r="S1290" s="424"/>
      <c r="T1290" s="434" t="s">
        <v>617</v>
      </c>
      <c r="U1290" s="434" t="s">
        <v>618</v>
      </c>
      <c r="V1290" s="436" t="n">
        <f aca="false">AY1295</f>
        <v>0</v>
      </c>
    </row>
    <row r="1291" customFormat="false" ht="13.5" hidden="false" customHeight="false" outlineLevel="0" collapsed="false">
      <c r="A1291" s="424"/>
      <c r="B1291" s="424"/>
      <c r="C1291" s="424"/>
      <c r="D1291" s="424"/>
      <c r="E1291" s="424"/>
      <c r="F1291" s="424"/>
      <c r="G1291" s="424"/>
      <c r="H1291" s="424"/>
      <c r="I1291" s="424"/>
      <c r="J1291" s="424"/>
      <c r="K1291" s="424"/>
      <c r="L1291" s="424"/>
      <c r="M1291" s="424"/>
      <c r="N1291" s="424"/>
      <c r="O1291" s="424"/>
      <c r="P1291" s="424"/>
      <c r="Q1291" s="435" t="n">
        <v>69</v>
      </c>
      <c r="R1291" s="434" t="s">
        <v>619</v>
      </c>
      <c r="S1291" s="424"/>
      <c r="T1291" s="434" t="s">
        <v>620</v>
      </c>
      <c r="U1291" s="434" t="s">
        <v>621</v>
      </c>
      <c r="V1291" s="436" t="n">
        <f aca="false">AY1296</f>
        <v>0</v>
      </c>
    </row>
    <row r="1292" customFormat="false" ht="13.5" hidden="false" customHeight="false" outlineLevel="0" collapsed="false">
      <c r="A1292" s="424"/>
      <c r="B1292" s="424"/>
      <c r="C1292" s="424"/>
      <c r="D1292" s="424"/>
      <c r="E1292" s="424"/>
      <c r="F1292" s="424"/>
      <c r="G1292" s="424"/>
      <c r="H1292" s="424"/>
      <c r="I1292" s="424"/>
      <c r="J1292" s="424"/>
      <c r="K1292" s="424"/>
      <c r="L1292" s="424"/>
      <c r="M1292" s="424"/>
      <c r="N1292" s="424"/>
      <c r="O1292" s="424"/>
      <c r="P1292" s="424"/>
      <c r="Q1292" s="435" t="n">
        <v>70</v>
      </c>
      <c r="R1292" s="434" t="s">
        <v>622</v>
      </c>
      <c r="S1292" s="424"/>
      <c r="T1292" s="434" t="s">
        <v>623</v>
      </c>
      <c r="U1292" s="434" t="s">
        <v>624</v>
      </c>
      <c r="V1292" s="436" t="n">
        <f aca="false">AY1297</f>
        <v>0</v>
      </c>
    </row>
    <row r="1293" customFormat="false" ht="13.5" hidden="false" customHeight="false" outlineLevel="0" collapsed="false">
      <c r="A1293" s="424"/>
      <c r="B1293" s="424"/>
      <c r="C1293" s="424"/>
      <c r="D1293" s="424"/>
      <c r="E1293" s="424"/>
      <c r="F1293" s="424"/>
      <c r="G1293" s="424"/>
      <c r="H1293" s="424"/>
      <c r="I1293" s="424"/>
      <c r="J1293" s="424"/>
      <c r="K1293" s="424"/>
      <c r="L1293" s="424"/>
      <c r="M1293" s="424"/>
      <c r="N1293" s="424"/>
      <c r="O1293" s="424"/>
      <c r="P1293" s="424"/>
      <c r="Q1293" s="435" t="n">
        <v>71</v>
      </c>
      <c r="R1293" s="434" t="s">
        <v>625</v>
      </c>
      <c r="S1293" s="424"/>
      <c r="T1293" s="434" t="s">
        <v>626</v>
      </c>
      <c r="U1293" s="434" t="s">
        <v>627</v>
      </c>
      <c r="V1293" s="436" t="n">
        <f aca="false">AY1298</f>
        <v>0</v>
      </c>
    </row>
    <row r="1294" customFormat="false" ht="13.5" hidden="false" customHeight="false" outlineLevel="0" collapsed="false">
      <c r="A1294" s="424"/>
      <c r="B1294" s="424"/>
      <c r="C1294" s="424"/>
      <c r="D1294" s="424"/>
      <c r="E1294" s="424"/>
      <c r="F1294" s="424"/>
      <c r="G1294" s="424"/>
      <c r="H1294" s="424"/>
      <c r="I1294" s="424"/>
      <c r="J1294" s="424"/>
      <c r="K1294" s="424"/>
      <c r="L1294" s="424"/>
      <c r="M1294" s="424"/>
      <c r="N1294" s="424"/>
      <c r="O1294" s="424"/>
      <c r="P1294" s="424"/>
      <c r="Q1294" s="435" t="n">
        <v>72</v>
      </c>
      <c r="R1294" s="434" t="s">
        <v>628</v>
      </c>
      <c r="S1294" s="424"/>
      <c r="T1294" s="434" t="s">
        <v>629</v>
      </c>
      <c r="U1294" s="434" t="s">
        <v>630</v>
      </c>
      <c r="V1294" s="436" t="n">
        <f aca="false">AY1299</f>
        <v>0</v>
      </c>
    </row>
    <row r="1295" customFormat="false" ht="13.5" hidden="false" customHeight="false" outlineLevel="0" collapsed="false">
      <c r="A1295" s="424"/>
      <c r="B1295" s="424"/>
      <c r="C1295" s="424"/>
      <c r="D1295" s="424"/>
      <c r="E1295" s="424"/>
      <c r="F1295" s="424"/>
      <c r="G1295" s="424"/>
      <c r="H1295" s="424"/>
      <c r="I1295" s="424"/>
      <c r="J1295" s="424"/>
      <c r="K1295" s="424"/>
      <c r="L1295" s="424"/>
      <c r="M1295" s="424"/>
      <c r="N1295" s="424"/>
      <c r="O1295" s="424"/>
      <c r="P1295" s="424"/>
      <c r="Q1295" s="435" t="n">
        <v>73</v>
      </c>
      <c r="R1295" s="434" t="s">
        <v>631</v>
      </c>
      <c r="S1295" s="424"/>
      <c r="T1295" s="434" t="s">
        <v>632</v>
      </c>
      <c r="U1295" s="434" t="s">
        <v>633</v>
      </c>
      <c r="V1295" s="436" t="n">
        <f aca="false">AY1300</f>
        <v>0</v>
      </c>
    </row>
    <row r="1296" customFormat="false" ht="13.5" hidden="false" customHeight="false" outlineLevel="0" collapsed="false">
      <c r="A1296" s="424"/>
      <c r="B1296" s="424"/>
      <c r="C1296" s="424"/>
      <c r="D1296" s="424"/>
      <c r="E1296" s="424"/>
      <c r="F1296" s="424"/>
      <c r="G1296" s="424"/>
      <c r="H1296" s="424"/>
      <c r="I1296" s="424"/>
      <c r="J1296" s="424"/>
      <c r="K1296" s="424"/>
      <c r="L1296" s="424"/>
      <c r="M1296" s="424"/>
      <c r="N1296" s="424"/>
      <c r="O1296" s="424"/>
      <c r="P1296" s="424"/>
      <c r="Q1296" s="435" t="n">
        <v>74</v>
      </c>
      <c r="R1296" s="434" t="s">
        <v>634</v>
      </c>
      <c r="S1296" s="424"/>
      <c r="T1296" s="434" t="s">
        <v>635</v>
      </c>
      <c r="U1296" s="434" t="s">
        <v>636</v>
      </c>
      <c r="V1296" s="436" t="n">
        <f aca="false">AY1301</f>
        <v>0</v>
      </c>
    </row>
    <row r="1297" customFormat="false" ht="13.5" hidden="false" customHeight="false" outlineLevel="0" collapsed="false">
      <c r="A1297" s="424"/>
      <c r="B1297" s="424"/>
      <c r="C1297" s="424"/>
      <c r="D1297" s="424"/>
      <c r="E1297" s="424"/>
      <c r="F1297" s="424"/>
      <c r="G1297" s="424"/>
      <c r="H1297" s="424"/>
      <c r="I1297" s="424"/>
      <c r="J1297" s="424"/>
      <c r="K1297" s="424"/>
      <c r="L1297" s="424"/>
      <c r="M1297" s="424"/>
      <c r="N1297" s="424"/>
      <c r="O1297" s="424"/>
      <c r="P1297" s="424"/>
      <c r="Q1297" s="435" t="n">
        <v>75</v>
      </c>
      <c r="R1297" s="434" t="s">
        <v>637</v>
      </c>
      <c r="S1297" s="424"/>
      <c r="T1297" s="434" t="s">
        <v>638</v>
      </c>
      <c r="U1297" s="434" t="s">
        <v>639</v>
      </c>
      <c r="V1297" s="436" t="n">
        <f aca="false">AY1302</f>
        <v>0</v>
      </c>
    </row>
    <row r="1298" customFormat="false" ht="13.5" hidden="false" customHeight="false" outlineLevel="0" collapsed="false">
      <c r="A1298" s="424"/>
      <c r="B1298" s="424"/>
      <c r="C1298" s="424"/>
      <c r="D1298" s="424"/>
      <c r="E1298" s="424"/>
      <c r="F1298" s="424"/>
      <c r="G1298" s="424"/>
      <c r="H1298" s="424"/>
      <c r="I1298" s="424"/>
      <c r="J1298" s="424"/>
      <c r="K1298" s="424"/>
      <c r="L1298" s="424"/>
      <c r="M1298" s="424"/>
      <c r="N1298" s="424"/>
      <c r="O1298" s="424"/>
      <c r="P1298" s="424"/>
      <c r="Q1298" s="435" t="n">
        <v>76</v>
      </c>
      <c r="R1298" s="434" t="s">
        <v>640</v>
      </c>
      <c r="S1298" s="424"/>
      <c r="T1298" s="434" t="s">
        <v>641</v>
      </c>
      <c r="U1298" s="434" t="s">
        <v>642</v>
      </c>
      <c r="V1298" s="436" t="n">
        <f aca="false">AY1303</f>
        <v>0</v>
      </c>
    </row>
    <row r="1299" customFormat="false" ht="13.5" hidden="false" customHeight="false" outlineLevel="0" collapsed="false">
      <c r="A1299" s="424"/>
      <c r="B1299" s="424"/>
      <c r="C1299" s="424"/>
      <c r="D1299" s="424"/>
      <c r="E1299" s="424"/>
      <c r="F1299" s="424"/>
      <c r="G1299" s="424"/>
      <c r="H1299" s="424"/>
      <c r="I1299" s="424"/>
      <c r="J1299" s="424"/>
      <c r="K1299" s="424"/>
      <c r="L1299" s="424"/>
      <c r="M1299" s="424"/>
      <c r="N1299" s="424"/>
      <c r="O1299" s="424"/>
      <c r="P1299" s="424"/>
      <c r="Q1299" s="435" t="n">
        <v>77</v>
      </c>
      <c r="R1299" s="434" t="s">
        <v>643</v>
      </c>
      <c r="S1299" s="424"/>
      <c r="T1299" s="434" t="s">
        <v>644</v>
      </c>
      <c r="U1299" s="434" t="s">
        <v>645</v>
      </c>
      <c r="V1299" s="436" t="n">
        <f aca="false">AY1304</f>
        <v>0</v>
      </c>
    </row>
    <row r="1300" customFormat="false" ht="13.5" hidden="false" customHeight="false" outlineLevel="0" collapsed="false">
      <c r="A1300" s="424"/>
      <c r="B1300" s="424"/>
      <c r="C1300" s="424"/>
      <c r="D1300" s="424"/>
      <c r="E1300" s="424"/>
      <c r="F1300" s="424"/>
      <c r="G1300" s="424"/>
      <c r="H1300" s="424"/>
      <c r="I1300" s="424"/>
      <c r="J1300" s="424"/>
      <c r="K1300" s="424"/>
      <c r="L1300" s="424"/>
      <c r="M1300" s="424"/>
      <c r="N1300" s="424"/>
      <c r="O1300" s="424"/>
      <c r="P1300" s="424"/>
      <c r="Q1300" s="435" t="n">
        <v>78</v>
      </c>
      <c r="R1300" s="434" t="s">
        <v>646</v>
      </c>
      <c r="S1300" s="424"/>
      <c r="T1300" s="434" t="s">
        <v>647</v>
      </c>
      <c r="U1300" s="434" t="s">
        <v>648</v>
      </c>
      <c r="V1300" s="436" t="n">
        <f aca="false">AY1305</f>
        <v>0</v>
      </c>
    </row>
    <row r="1301" customFormat="false" ht="13.5" hidden="false" customHeight="false" outlineLevel="0" collapsed="false">
      <c r="A1301" s="424"/>
      <c r="B1301" s="424"/>
      <c r="C1301" s="424"/>
      <c r="D1301" s="424"/>
      <c r="E1301" s="424"/>
      <c r="F1301" s="424"/>
      <c r="G1301" s="424"/>
      <c r="H1301" s="424"/>
      <c r="I1301" s="424"/>
      <c r="J1301" s="424"/>
      <c r="K1301" s="424"/>
      <c r="L1301" s="424"/>
      <c r="M1301" s="424"/>
      <c r="N1301" s="424"/>
      <c r="O1301" s="424"/>
      <c r="P1301" s="424"/>
      <c r="Q1301" s="435" t="n">
        <v>79</v>
      </c>
      <c r="R1301" s="434" t="s">
        <v>649</v>
      </c>
      <c r="S1301" s="424"/>
      <c r="T1301" s="434" t="s">
        <v>650</v>
      </c>
      <c r="U1301" s="434" t="s">
        <v>651</v>
      </c>
      <c r="V1301" s="436" t="n">
        <f aca="false">AY1306</f>
        <v>0</v>
      </c>
    </row>
    <row r="1302" customFormat="false" ht="13.5" hidden="false" customHeight="false" outlineLevel="0" collapsed="false">
      <c r="A1302" s="424"/>
      <c r="B1302" s="424"/>
      <c r="C1302" s="424"/>
      <c r="D1302" s="424"/>
      <c r="E1302" s="424"/>
      <c r="F1302" s="424"/>
      <c r="G1302" s="424"/>
      <c r="H1302" s="424"/>
      <c r="I1302" s="424"/>
      <c r="J1302" s="424"/>
      <c r="K1302" s="424"/>
      <c r="L1302" s="424"/>
      <c r="M1302" s="424"/>
      <c r="N1302" s="424"/>
      <c r="O1302" s="424"/>
      <c r="P1302" s="424"/>
      <c r="Q1302" s="435" t="n">
        <v>80</v>
      </c>
      <c r="R1302" s="434" t="s">
        <v>652</v>
      </c>
      <c r="S1302" s="424"/>
      <c r="T1302" s="434" t="s">
        <v>653</v>
      </c>
      <c r="U1302" s="434" t="s">
        <v>654</v>
      </c>
      <c r="V1302" s="436" t="n">
        <f aca="false">AY1307</f>
        <v>0</v>
      </c>
    </row>
    <row r="1303" customFormat="false" ht="13.5" hidden="false" customHeight="false" outlineLevel="0" collapsed="false">
      <c r="A1303" s="424"/>
      <c r="B1303" s="424"/>
      <c r="C1303" s="424"/>
      <c r="D1303" s="424"/>
      <c r="E1303" s="424"/>
      <c r="F1303" s="424"/>
      <c r="G1303" s="424"/>
      <c r="H1303" s="424"/>
      <c r="I1303" s="424"/>
      <c r="J1303" s="424"/>
      <c r="K1303" s="424"/>
      <c r="L1303" s="424"/>
      <c r="M1303" s="424"/>
      <c r="N1303" s="424"/>
      <c r="O1303" s="424"/>
      <c r="P1303" s="424"/>
      <c r="Q1303" s="435" t="n">
        <v>81</v>
      </c>
      <c r="R1303" s="434" t="s">
        <v>655</v>
      </c>
      <c r="S1303" s="424"/>
      <c r="T1303" s="434" t="s">
        <v>656</v>
      </c>
      <c r="U1303" s="434" t="s">
        <v>657</v>
      </c>
      <c r="V1303" s="436" t="n">
        <f aca="false">AY1308</f>
        <v>0</v>
      </c>
    </row>
    <row r="1304" customFormat="false" ht="13.5" hidden="false" customHeight="false" outlineLevel="0" collapsed="false">
      <c r="A1304" s="424"/>
      <c r="B1304" s="424"/>
      <c r="C1304" s="424"/>
      <c r="D1304" s="424"/>
      <c r="E1304" s="424"/>
      <c r="F1304" s="424"/>
      <c r="G1304" s="424"/>
      <c r="H1304" s="424"/>
      <c r="I1304" s="424"/>
      <c r="J1304" s="424"/>
      <c r="K1304" s="424"/>
      <c r="L1304" s="424"/>
      <c r="M1304" s="424"/>
      <c r="N1304" s="424"/>
      <c r="O1304" s="424"/>
      <c r="P1304" s="424"/>
      <c r="Q1304" s="435" t="n">
        <v>82</v>
      </c>
      <c r="R1304" s="434" t="s">
        <v>658</v>
      </c>
      <c r="S1304" s="424"/>
      <c r="T1304" s="434" t="s">
        <v>659</v>
      </c>
      <c r="U1304" s="434" t="s">
        <v>660</v>
      </c>
      <c r="V1304" s="436" t="n">
        <f aca="false">AY1309</f>
        <v>0</v>
      </c>
    </row>
    <row r="1305" customFormat="false" ht="13.5" hidden="false" customHeight="false" outlineLevel="0" collapsed="false">
      <c r="A1305" s="424"/>
      <c r="B1305" s="424"/>
      <c r="C1305" s="424"/>
      <c r="D1305" s="424"/>
      <c r="E1305" s="424"/>
      <c r="F1305" s="424"/>
      <c r="G1305" s="424"/>
      <c r="H1305" s="424"/>
      <c r="I1305" s="424"/>
      <c r="J1305" s="424"/>
      <c r="K1305" s="424"/>
      <c r="L1305" s="424"/>
      <c r="M1305" s="424"/>
      <c r="N1305" s="424"/>
      <c r="O1305" s="424"/>
      <c r="P1305" s="424"/>
      <c r="Q1305" s="435" t="n">
        <v>83</v>
      </c>
      <c r="R1305" s="434" t="s">
        <v>661</v>
      </c>
      <c r="S1305" s="424"/>
      <c r="T1305" s="434" t="s">
        <v>662</v>
      </c>
      <c r="U1305" s="434" t="s">
        <v>663</v>
      </c>
      <c r="V1305" s="436" t="n">
        <f aca="false">AY1310</f>
        <v>0</v>
      </c>
    </row>
    <row r="1306" customFormat="false" ht="13.5" hidden="false" customHeight="false" outlineLevel="0" collapsed="false">
      <c r="A1306" s="424"/>
      <c r="B1306" s="424"/>
      <c r="C1306" s="424"/>
      <c r="D1306" s="424"/>
      <c r="E1306" s="424"/>
      <c r="F1306" s="424"/>
      <c r="G1306" s="424"/>
      <c r="H1306" s="424"/>
      <c r="I1306" s="424"/>
      <c r="J1306" s="424"/>
      <c r="K1306" s="424"/>
      <c r="L1306" s="424"/>
      <c r="M1306" s="424"/>
      <c r="N1306" s="424"/>
      <c r="O1306" s="424"/>
      <c r="P1306" s="424"/>
      <c r="Q1306" s="435" t="n">
        <v>84</v>
      </c>
      <c r="R1306" s="434" t="s">
        <v>664</v>
      </c>
      <c r="S1306" s="424"/>
      <c r="T1306" s="434" t="s">
        <v>665</v>
      </c>
      <c r="U1306" s="434" t="s">
        <v>666</v>
      </c>
      <c r="V1306" s="436" t="n">
        <f aca="false">AY1311</f>
        <v>0</v>
      </c>
    </row>
    <row r="1307" customFormat="false" ht="13.5" hidden="false" customHeight="false" outlineLevel="0" collapsed="false">
      <c r="A1307" s="424"/>
      <c r="B1307" s="424"/>
      <c r="C1307" s="424"/>
      <c r="D1307" s="424"/>
      <c r="E1307" s="424"/>
      <c r="F1307" s="424"/>
      <c r="G1307" s="424"/>
      <c r="H1307" s="424"/>
      <c r="I1307" s="424"/>
      <c r="J1307" s="424"/>
      <c r="K1307" s="424"/>
      <c r="L1307" s="424"/>
      <c r="M1307" s="424"/>
      <c r="N1307" s="424"/>
      <c r="O1307" s="424"/>
      <c r="P1307" s="424"/>
      <c r="Q1307" s="435" t="n">
        <v>85</v>
      </c>
      <c r="R1307" s="434" t="s">
        <v>667</v>
      </c>
      <c r="S1307" s="424"/>
      <c r="T1307" s="434" t="s">
        <v>668</v>
      </c>
      <c r="U1307" s="434" t="s">
        <v>669</v>
      </c>
      <c r="V1307" s="436" t="n">
        <f aca="false">AY1312</f>
        <v>0</v>
      </c>
    </row>
    <row r="1308" customFormat="false" ht="13.5" hidden="false" customHeight="false" outlineLevel="0" collapsed="false">
      <c r="A1308" s="424"/>
      <c r="B1308" s="424"/>
      <c r="C1308" s="424"/>
      <c r="D1308" s="424"/>
      <c r="E1308" s="424"/>
      <c r="F1308" s="424"/>
      <c r="G1308" s="424"/>
      <c r="H1308" s="424"/>
      <c r="I1308" s="424"/>
      <c r="J1308" s="424"/>
      <c r="K1308" s="424"/>
      <c r="L1308" s="424"/>
      <c r="M1308" s="424"/>
      <c r="N1308" s="424"/>
      <c r="O1308" s="424"/>
      <c r="P1308" s="424"/>
      <c r="Q1308" s="435" t="n">
        <v>86</v>
      </c>
      <c r="R1308" s="434" t="s">
        <v>670</v>
      </c>
      <c r="S1308" s="424"/>
      <c r="T1308" s="434" t="s">
        <v>671</v>
      </c>
      <c r="U1308" s="434" t="s">
        <v>672</v>
      </c>
      <c r="V1308" s="436" t="n">
        <f aca="false">AY1313</f>
        <v>0</v>
      </c>
    </row>
    <row r="1309" customFormat="false" ht="13.5" hidden="false" customHeight="false" outlineLevel="0" collapsed="false">
      <c r="A1309" s="424"/>
      <c r="B1309" s="424"/>
      <c r="C1309" s="424"/>
      <c r="D1309" s="424"/>
      <c r="E1309" s="424"/>
      <c r="F1309" s="424"/>
      <c r="G1309" s="424"/>
      <c r="H1309" s="424"/>
      <c r="I1309" s="424"/>
      <c r="J1309" s="424"/>
      <c r="K1309" s="424"/>
      <c r="L1309" s="424"/>
      <c r="M1309" s="424"/>
      <c r="N1309" s="424"/>
      <c r="O1309" s="424"/>
      <c r="P1309" s="424"/>
      <c r="Q1309" s="435" t="n">
        <v>87</v>
      </c>
      <c r="R1309" s="434" t="s">
        <v>673</v>
      </c>
      <c r="S1309" s="424"/>
      <c r="T1309" s="434" t="s">
        <v>674</v>
      </c>
      <c r="U1309" s="434" t="s">
        <v>675</v>
      </c>
      <c r="V1309" s="436" t="n">
        <f aca="false">AY1314</f>
        <v>0</v>
      </c>
    </row>
    <row r="1310" customFormat="false" ht="13.5" hidden="false" customHeight="false" outlineLevel="0" collapsed="false">
      <c r="A1310" s="424"/>
      <c r="B1310" s="424"/>
      <c r="C1310" s="424"/>
      <c r="D1310" s="424"/>
      <c r="E1310" s="424"/>
      <c r="F1310" s="424"/>
      <c r="G1310" s="424"/>
      <c r="H1310" s="424"/>
      <c r="I1310" s="424"/>
      <c r="J1310" s="424"/>
      <c r="K1310" s="424"/>
      <c r="L1310" s="424"/>
      <c r="M1310" s="424"/>
      <c r="N1310" s="424"/>
      <c r="O1310" s="424"/>
      <c r="P1310" s="424"/>
      <c r="Q1310" s="435" t="n">
        <v>88</v>
      </c>
      <c r="R1310" s="434" t="s">
        <v>676</v>
      </c>
      <c r="S1310" s="424"/>
      <c r="T1310" s="434" t="s">
        <v>677</v>
      </c>
      <c r="U1310" s="434" t="s">
        <v>678</v>
      </c>
      <c r="V1310" s="436" t="n">
        <f aca="false">AY1315</f>
        <v>0</v>
      </c>
    </row>
    <row r="1311" customFormat="false" ht="13.5" hidden="false" customHeight="false" outlineLevel="0" collapsed="false">
      <c r="A1311" s="424"/>
      <c r="B1311" s="424"/>
      <c r="C1311" s="424"/>
      <c r="D1311" s="424"/>
      <c r="E1311" s="424"/>
      <c r="F1311" s="424"/>
      <c r="G1311" s="424"/>
      <c r="H1311" s="424"/>
      <c r="I1311" s="424"/>
      <c r="J1311" s="424"/>
      <c r="K1311" s="424"/>
      <c r="L1311" s="424"/>
      <c r="M1311" s="424"/>
      <c r="N1311" s="424"/>
      <c r="O1311" s="424"/>
      <c r="P1311" s="424"/>
      <c r="Q1311" s="435" t="n">
        <v>89</v>
      </c>
      <c r="R1311" s="434" t="s">
        <v>679</v>
      </c>
      <c r="S1311" s="424"/>
      <c r="T1311" s="434" t="s">
        <v>680</v>
      </c>
      <c r="U1311" s="434" t="s">
        <v>681</v>
      </c>
      <c r="V1311" s="436" t="n">
        <f aca="false">AY1316</f>
        <v>0</v>
      </c>
    </row>
    <row r="1312" customFormat="false" ht="13.5" hidden="false" customHeight="false" outlineLevel="0" collapsed="false">
      <c r="A1312" s="424"/>
      <c r="B1312" s="424"/>
      <c r="C1312" s="424"/>
      <c r="D1312" s="424"/>
      <c r="E1312" s="424"/>
      <c r="F1312" s="424"/>
      <c r="G1312" s="424"/>
      <c r="H1312" s="424"/>
      <c r="I1312" s="424"/>
      <c r="J1312" s="424"/>
      <c r="K1312" s="424"/>
      <c r="L1312" s="424"/>
      <c r="M1312" s="424"/>
      <c r="N1312" s="424"/>
      <c r="O1312" s="424"/>
      <c r="P1312" s="424"/>
      <c r="Q1312" s="435" t="n">
        <v>90</v>
      </c>
      <c r="R1312" s="434" t="s">
        <v>682</v>
      </c>
      <c r="S1312" s="424"/>
      <c r="T1312" s="434" t="s">
        <v>683</v>
      </c>
      <c r="U1312" s="434" t="s">
        <v>684</v>
      </c>
      <c r="V1312" s="436" t="n">
        <f aca="false">AY1317</f>
        <v>0</v>
      </c>
    </row>
    <row r="1313" customFormat="false" ht="13.5" hidden="false" customHeight="false" outlineLevel="0" collapsed="false">
      <c r="A1313" s="424"/>
      <c r="B1313" s="424"/>
      <c r="C1313" s="424"/>
      <c r="D1313" s="424"/>
      <c r="E1313" s="424"/>
      <c r="F1313" s="424"/>
      <c r="G1313" s="424"/>
      <c r="H1313" s="424"/>
      <c r="I1313" s="424"/>
      <c r="J1313" s="424"/>
      <c r="K1313" s="424"/>
      <c r="L1313" s="424"/>
      <c r="M1313" s="424"/>
      <c r="N1313" s="424"/>
      <c r="O1313" s="424"/>
      <c r="P1313" s="424"/>
      <c r="Q1313" s="435" t="n">
        <v>91</v>
      </c>
      <c r="R1313" s="434" t="s">
        <v>685</v>
      </c>
      <c r="S1313" s="424"/>
      <c r="T1313" s="434" t="s">
        <v>686</v>
      </c>
      <c r="U1313" s="434" t="s">
        <v>687</v>
      </c>
      <c r="V1313" s="436" t="n">
        <f aca="false">AY1318</f>
        <v>0</v>
      </c>
    </row>
    <row r="1314" customFormat="false" ht="13.5" hidden="false" customHeight="false" outlineLevel="0" collapsed="false">
      <c r="A1314" s="424"/>
      <c r="B1314" s="424"/>
      <c r="C1314" s="424"/>
      <c r="D1314" s="424"/>
      <c r="E1314" s="424"/>
      <c r="F1314" s="424"/>
      <c r="G1314" s="424"/>
      <c r="H1314" s="424"/>
      <c r="I1314" s="424"/>
      <c r="J1314" s="424"/>
      <c r="K1314" s="424"/>
      <c r="L1314" s="424"/>
      <c r="M1314" s="424"/>
      <c r="N1314" s="424"/>
      <c r="O1314" s="424"/>
      <c r="P1314" s="424"/>
      <c r="Q1314" s="435" t="n">
        <v>92</v>
      </c>
      <c r="R1314" s="434" t="s">
        <v>688</v>
      </c>
      <c r="S1314" s="424"/>
      <c r="T1314" s="434" t="s">
        <v>689</v>
      </c>
      <c r="U1314" s="434" t="s">
        <v>690</v>
      </c>
      <c r="V1314" s="436" t="n">
        <f aca="false">AY1319</f>
        <v>0</v>
      </c>
    </row>
    <row r="1315" customFormat="false" ht="13.5" hidden="false" customHeight="false" outlineLevel="0" collapsed="false">
      <c r="A1315" s="424"/>
      <c r="B1315" s="424"/>
      <c r="C1315" s="424"/>
      <c r="D1315" s="424"/>
      <c r="E1315" s="424"/>
      <c r="F1315" s="424"/>
      <c r="G1315" s="424"/>
      <c r="H1315" s="424"/>
      <c r="I1315" s="424"/>
      <c r="J1315" s="424"/>
      <c r="K1315" s="424"/>
      <c r="L1315" s="424"/>
      <c r="M1315" s="424"/>
      <c r="N1315" s="424"/>
      <c r="O1315" s="424"/>
      <c r="P1315" s="424"/>
      <c r="Q1315" s="435" t="n">
        <v>93</v>
      </c>
      <c r="R1315" s="434" t="s">
        <v>691</v>
      </c>
      <c r="S1315" s="424"/>
      <c r="T1315" s="434" t="s">
        <v>692</v>
      </c>
      <c r="U1315" s="434" t="s">
        <v>693</v>
      </c>
      <c r="V1315" s="436" t="n">
        <f aca="false">AY1320</f>
        <v>0</v>
      </c>
    </row>
    <row r="1316" customFormat="false" ht="13.5" hidden="false" customHeight="false" outlineLevel="0" collapsed="false">
      <c r="A1316" s="424"/>
      <c r="B1316" s="424"/>
      <c r="C1316" s="424"/>
      <c r="D1316" s="424"/>
      <c r="E1316" s="424"/>
      <c r="F1316" s="424"/>
      <c r="G1316" s="424"/>
      <c r="H1316" s="424"/>
      <c r="I1316" s="424"/>
      <c r="J1316" s="424"/>
      <c r="K1316" s="424"/>
      <c r="L1316" s="424"/>
      <c r="M1316" s="424"/>
      <c r="N1316" s="424"/>
      <c r="O1316" s="424"/>
      <c r="P1316" s="424"/>
      <c r="Q1316" s="435" t="n">
        <v>94</v>
      </c>
      <c r="R1316" s="434" t="s">
        <v>694</v>
      </c>
      <c r="S1316" s="424"/>
      <c r="T1316" s="434" t="s">
        <v>695</v>
      </c>
      <c r="U1316" s="434" t="s">
        <v>696</v>
      </c>
      <c r="V1316" s="436" t="n">
        <f aca="false">AY1321</f>
        <v>0</v>
      </c>
    </row>
    <row r="1317" customFormat="false" ht="13.5" hidden="false" customHeight="false" outlineLevel="0" collapsed="false">
      <c r="A1317" s="424"/>
      <c r="B1317" s="424"/>
      <c r="C1317" s="424"/>
      <c r="D1317" s="424"/>
      <c r="E1317" s="424"/>
      <c r="F1317" s="424"/>
      <c r="G1317" s="424"/>
      <c r="H1317" s="424"/>
      <c r="I1317" s="424"/>
      <c r="J1317" s="424"/>
      <c r="K1317" s="424"/>
      <c r="L1317" s="424"/>
      <c r="M1317" s="424"/>
      <c r="N1317" s="424"/>
      <c r="O1317" s="424"/>
      <c r="P1317" s="424"/>
      <c r="Q1317" s="435" t="n">
        <v>95</v>
      </c>
      <c r="R1317" s="434" t="s">
        <v>697</v>
      </c>
      <c r="S1317" s="424"/>
      <c r="T1317" s="434" t="s">
        <v>698</v>
      </c>
      <c r="U1317" s="434" t="s">
        <v>699</v>
      </c>
      <c r="V1317" s="436" t="n">
        <f aca="false">AY1322</f>
        <v>0</v>
      </c>
    </row>
    <row r="1318" customFormat="false" ht="13.5" hidden="false" customHeight="false" outlineLevel="0" collapsed="false">
      <c r="A1318" s="424"/>
      <c r="B1318" s="424"/>
      <c r="C1318" s="424"/>
      <c r="D1318" s="424"/>
      <c r="E1318" s="424"/>
      <c r="F1318" s="424"/>
      <c r="G1318" s="424"/>
      <c r="H1318" s="424"/>
      <c r="I1318" s="424"/>
      <c r="J1318" s="424"/>
      <c r="K1318" s="424"/>
      <c r="L1318" s="424"/>
      <c r="M1318" s="424"/>
      <c r="N1318" s="424"/>
      <c r="O1318" s="424"/>
      <c r="P1318" s="424"/>
      <c r="Q1318" s="435" t="n">
        <v>96</v>
      </c>
      <c r="R1318" s="434" t="s">
        <v>700</v>
      </c>
      <c r="S1318" s="424"/>
      <c r="T1318" s="434" t="s">
        <v>701</v>
      </c>
      <c r="U1318" s="434" t="s">
        <v>702</v>
      </c>
      <c r="V1318" s="436" t="n">
        <f aca="false">AY1323</f>
        <v>0</v>
      </c>
    </row>
    <row r="1319" customFormat="false" ht="13.5" hidden="false" customHeight="false" outlineLevel="0" collapsed="false">
      <c r="A1319" s="424"/>
      <c r="B1319" s="424"/>
      <c r="C1319" s="424"/>
      <c r="D1319" s="424"/>
      <c r="E1319" s="424"/>
      <c r="F1319" s="424"/>
      <c r="G1319" s="424"/>
      <c r="H1319" s="424"/>
      <c r="I1319" s="424"/>
      <c r="J1319" s="424"/>
      <c r="K1319" s="424"/>
      <c r="L1319" s="424"/>
      <c r="M1319" s="424"/>
      <c r="N1319" s="424"/>
      <c r="O1319" s="424"/>
      <c r="P1319" s="424"/>
      <c r="Q1319" s="435" t="n">
        <v>97</v>
      </c>
      <c r="R1319" s="434" t="s">
        <v>703</v>
      </c>
      <c r="S1319" s="424"/>
      <c r="T1319" s="434" t="s">
        <v>704</v>
      </c>
      <c r="U1319" s="434" t="s">
        <v>705</v>
      </c>
      <c r="V1319" s="436" t="n">
        <f aca="false">AY1324</f>
        <v>0</v>
      </c>
    </row>
    <row r="1320" customFormat="false" ht="13.5" hidden="false" customHeight="false" outlineLevel="0" collapsed="false">
      <c r="A1320" s="424"/>
      <c r="B1320" s="424"/>
      <c r="C1320" s="424"/>
      <c r="D1320" s="424"/>
      <c r="E1320" s="424"/>
      <c r="F1320" s="424"/>
      <c r="G1320" s="424"/>
      <c r="H1320" s="424"/>
      <c r="I1320" s="424"/>
      <c r="J1320" s="424"/>
      <c r="K1320" s="424"/>
      <c r="L1320" s="424"/>
      <c r="M1320" s="424"/>
      <c r="N1320" s="424"/>
      <c r="O1320" s="424"/>
      <c r="P1320" s="424"/>
      <c r="Q1320" s="435" t="n">
        <v>98</v>
      </c>
      <c r="R1320" s="434" t="s">
        <v>706</v>
      </c>
      <c r="S1320" s="424"/>
      <c r="T1320" s="434" t="s">
        <v>707</v>
      </c>
      <c r="U1320" s="434" t="s">
        <v>708</v>
      </c>
      <c r="V1320" s="436" t="n">
        <f aca="false">AY1325</f>
        <v>0</v>
      </c>
    </row>
    <row r="1321" customFormat="false" ht="13.5" hidden="false" customHeight="false" outlineLevel="0" collapsed="false">
      <c r="A1321" s="424"/>
      <c r="B1321" s="424"/>
      <c r="C1321" s="424"/>
      <c r="D1321" s="424"/>
      <c r="E1321" s="424"/>
      <c r="F1321" s="424"/>
      <c r="G1321" s="424"/>
      <c r="H1321" s="424"/>
      <c r="I1321" s="424"/>
      <c r="J1321" s="424"/>
      <c r="K1321" s="424"/>
      <c r="L1321" s="424"/>
      <c r="M1321" s="424"/>
      <c r="N1321" s="424"/>
      <c r="O1321" s="424"/>
      <c r="P1321" s="424"/>
      <c r="Q1321" s="435" t="n">
        <v>99</v>
      </c>
      <c r="R1321" s="434" t="s">
        <v>709</v>
      </c>
      <c r="S1321" s="424"/>
      <c r="T1321" s="434" t="s">
        <v>710</v>
      </c>
      <c r="U1321" s="434" t="s">
        <v>711</v>
      </c>
      <c r="V1321" s="436" t="n">
        <f aca="false">AY1326</f>
        <v>0</v>
      </c>
    </row>
    <row r="1322" customFormat="false" ht="13.5" hidden="false" customHeight="false" outlineLevel="0" collapsed="false">
      <c r="A1322" s="424"/>
      <c r="B1322" s="424"/>
      <c r="C1322" s="424"/>
      <c r="D1322" s="424"/>
      <c r="E1322" s="424"/>
      <c r="F1322" s="424"/>
      <c r="G1322" s="424"/>
      <c r="H1322" s="424"/>
      <c r="I1322" s="424"/>
      <c r="J1322" s="424"/>
      <c r="K1322" s="424"/>
      <c r="L1322" s="424"/>
      <c r="M1322" s="424"/>
      <c r="N1322" s="424"/>
      <c r="O1322" s="424"/>
      <c r="P1322" s="424"/>
      <c r="Q1322" s="424"/>
      <c r="R1322" s="424"/>
      <c r="S1322" s="424"/>
      <c r="T1322" s="424"/>
      <c r="U1322" s="424"/>
      <c r="V1322" s="436" t="n">
        <f aca="false">AY1327</f>
        <v>0</v>
      </c>
    </row>
    <row r="1323" customFormat="false" ht="13.5" hidden="false" customHeight="false" outlineLevel="0" collapsed="false">
      <c r="A1323" s="424"/>
      <c r="B1323" s="424"/>
      <c r="C1323" s="424"/>
      <c r="D1323" s="424"/>
      <c r="E1323" s="424"/>
      <c r="F1323" s="424"/>
      <c r="G1323" s="424"/>
      <c r="H1323" s="424"/>
      <c r="I1323" s="424"/>
      <c r="J1323" s="424"/>
      <c r="K1323" s="424"/>
      <c r="L1323" s="424"/>
      <c r="M1323" s="424"/>
      <c r="N1323" s="424"/>
      <c r="O1323" s="424"/>
      <c r="P1323" s="424"/>
      <c r="Q1323" s="424"/>
      <c r="R1323" s="424"/>
      <c r="S1323" s="424"/>
      <c r="T1323" s="424"/>
      <c r="U1323" s="424"/>
      <c r="V1323" s="436" t="n">
        <f aca="false">AY1328</f>
        <v>0</v>
      </c>
    </row>
    <row r="1324" customFormat="false" ht="13.5" hidden="false" customHeight="false" outlineLevel="0" collapsed="false">
      <c r="A1324" s="424"/>
      <c r="B1324" s="424"/>
      <c r="C1324" s="424"/>
      <c r="D1324" s="424"/>
      <c r="E1324" s="424"/>
      <c r="F1324" s="424"/>
      <c r="G1324" s="424"/>
      <c r="H1324" s="424"/>
      <c r="I1324" s="424"/>
      <c r="J1324" s="424"/>
      <c r="K1324" s="424"/>
      <c r="L1324" s="424"/>
      <c r="M1324" s="424"/>
      <c r="N1324" s="424"/>
      <c r="O1324" s="424"/>
      <c r="P1324" s="424"/>
      <c r="Q1324" s="424"/>
      <c r="R1324" s="424"/>
      <c r="S1324" s="424"/>
      <c r="T1324" s="424"/>
      <c r="U1324" s="424"/>
      <c r="V1324" s="436" t="n">
        <f aca="false">AY1329</f>
        <v>0</v>
      </c>
    </row>
    <row r="1325" customFormat="false" ht="13.5" hidden="false" customHeight="false" outlineLevel="0" collapsed="false">
      <c r="A1325" s="424"/>
      <c r="B1325" s="424"/>
      <c r="C1325" s="424"/>
      <c r="D1325" s="424"/>
      <c r="E1325" s="424"/>
      <c r="F1325" s="424"/>
      <c r="G1325" s="424"/>
      <c r="H1325" s="424"/>
      <c r="I1325" s="424"/>
      <c r="J1325" s="424"/>
      <c r="K1325" s="424"/>
      <c r="L1325" s="424"/>
      <c r="M1325" s="424"/>
      <c r="N1325" s="424"/>
      <c r="O1325" s="424"/>
      <c r="P1325" s="424"/>
      <c r="Q1325" s="424"/>
      <c r="R1325" s="424"/>
      <c r="S1325" s="424"/>
      <c r="T1325" s="424"/>
      <c r="U1325" s="424"/>
      <c r="V1325" s="436" t="n">
        <f aca="false">AY1330</f>
        <v>0</v>
      </c>
    </row>
    <row r="1326" customFormat="false" ht="13.5" hidden="false" customHeight="false" outlineLevel="0" collapsed="false">
      <c r="A1326" s="424"/>
      <c r="B1326" s="424"/>
      <c r="C1326" s="424"/>
      <c r="D1326" s="424"/>
      <c r="E1326" s="424"/>
      <c r="F1326" s="424"/>
      <c r="G1326" s="424"/>
      <c r="H1326" s="424"/>
      <c r="I1326" s="424"/>
      <c r="J1326" s="424"/>
      <c r="K1326" s="424"/>
      <c r="L1326" s="424"/>
      <c r="M1326" s="424"/>
      <c r="N1326" s="424"/>
      <c r="O1326" s="424"/>
      <c r="P1326" s="424"/>
      <c r="Q1326" s="424"/>
      <c r="R1326" s="424"/>
      <c r="S1326" s="424"/>
      <c r="T1326" s="424"/>
      <c r="U1326" s="424"/>
      <c r="V1326" s="436" t="n">
        <f aca="false">AY1331</f>
        <v>0</v>
      </c>
    </row>
    <row r="1327" customFormat="false" ht="13.5" hidden="false" customHeight="false" outlineLevel="0" collapsed="false">
      <c r="A1327" s="424"/>
      <c r="B1327" s="424"/>
      <c r="C1327" s="424"/>
      <c r="D1327" s="424"/>
      <c r="E1327" s="424"/>
      <c r="F1327" s="424"/>
      <c r="G1327" s="424"/>
      <c r="H1327" s="424"/>
      <c r="I1327" s="424"/>
      <c r="J1327" s="424"/>
      <c r="K1327" s="424"/>
      <c r="L1327" s="424"/>
      <c r="M1327" s="424"/>
      <c r="N1327" s="424"/>
      <c r="O1327" s="424"/>
      <c r="P1327" s="424"/>
      <c r="Q1327" s="424"/>
      <c r="R1327" s="424"/>
      <c r="S1327" s="424"/>
      <c r="T1327" s="424"/>
      <c r="U1327" s="424"/>
      <c r="V1327" s="436" t="n">
        <f aca="false">AY1332</f>
        <v>0</v>
      </c>
    </row>
    <row r="1328" customFormat="false" ht="13.5" hidden="false" customHeight="false" outlineLevel="0" collapsed="false">
      <c r="A1328" s="424"/>
      <c r="B1328" s="424"/>
      <c r="C1328" s="424"/>
      <c r="D1328" s="424"/>
      <c r="E1328" s="424"/>
      <c r="F1328" s="424"/>
      <c r="G1328" s="424"/>
      <c r="H1328" s="424"/>
      <c r="I1328" s="424"/>
      <c r="J1328" s="424"/>
      <c r="K1328" s="424"/>
      <c r="L1328" s="424"/>
      <c r="M1328" s="424"/>
      <c r="N1328" s="424"/>
      <c r="O1328" s="424"/>
      <c r="P1328" s="424"/>
      <c r="Q1328" s="424"/>
      <c r="R1328" s="424"/>
      <c r="S1328" s="424"/>
      <c r="T1328" s="424"/>
      <c r="U1328" s="424"/>
      <c r="V1328" s="436" t="n">
        <f aca="false">AY1333</f>
        <v>0</v>
      </c>
    </row>
    <row r="1329" customFormat="false" ht="13.5" hidden="false" customHeight="false" outlineLevel="0" collapsed="false">
      <c r="A1329" s="424"/>
      <c r="B1329" s="424"/>
      <c r="C1329" s="424"/>
      <c r="D1329" s="424"/>
      <c r="E1329" s="424"/>
      <c r="F1329" s="424"/>
      <c r="G1329" s="424"/>
      <c r="H1329" s="424"/>
      <c r="I1329" s="424"/>
      <c r="J1329" s="424"/>
      <c r="K1329" s="424"/>
      <c r="L1329" s="424"/>
      <c r="M1329" s="424"/>
      <c r="N1329" s="424"/>
      <c r="O1329" s="424"/>
      <c r="P1329" s="424"/>
      <c r="Q1329" s="424"/>
      <c r="R1329" s="424"/>
      <c r="S1329" s="424"/>
      <c r="T1329" s="424"/>
      <c r="U1329" s="424"/>
      <c r="V1329" s="436" t="n">
        <f aca="false">AY1334</f>
        <v>0</v>
      </c>
    </row>
    <row r="1330" customFormat="false" ht="13.5" hidden="false" customHeight="false" outlineLevel="0" collapsed="false">
      <c r="A1330" s="424"/>
      <c r="B1330" s="424"/>
      <c r="C1330" s="424"/>
      <c r="D1330" s="424"/>
      <c r="E1330" s="424"/>
      <c r="F1330" s="424"/>
      <c r="G1330" s="424"/>
      <c r="H1330" s="424"/>
      <c r="I1330" s="424"/>
      <c r="J1330" s="424"/>
      <c r="K1330" s="424"/>
      <c r="L1330" s="424"/>
      <c r="M1330" s="424"/>
      <c r="N1330" s="424"/>
      <c r="O1330" s="424"/>
      <c r="P1330" s="424"/>
      <c r="Q1330" s="424"/>
      <c r="R1330" s="424"/>
      <c r="S1330" s="424"/>
      <c r="T1330" s="424"/>
      <c r="U1330" s="424"/>
      <c r="V1330" s="436" t="n">
        <f aca="false">AY1335</f>
        <v>0</v>
      </c>
    </row>
    <row r="1331" customFormat="false" ht="13.5" hidden="false" customHeight="false" outlineLevel="0" collapsed="false">
      <c r="A1331" s="424"/>
      <c r="B1331" s="424"/>
      <c r="C1331" s="424"/>
      <c r="D1331" s="424"/>
      <c r="E1331" s="424"/>
      <c r="F1331" s="424"/>
      <c r="G1331" s="424"/>
      <c r="H1331" s="424"/>
      <c r="I1331" s="424"/>
      <c r="J1331" s="424"/>
      <c r="K1331" s="424"/>
      <c r="L1331" s="424"/>
      <c r="M1331" s="424"/>
      <c r="N1331" s="424"/>
      <c r="O1331" s="424"/>
      <c r="P1331" s="424"/>
      <c r="Q1331" s="424"/>
      <c r="R1331" s="424"/>
      <c r="S1331" s="424"/>
      <c r="T1331" s="424"/>
      <c r="U1331" s="424"/>
      <c r="V1331" s="436" t="n">
        <f aca="false">AY1336</f>
        <v>0</v>
      </c>
    </row>
    <row r="1332" customFormat="false" ht="13.5" hidden="false" customHeight="false" outlineLevel="0" collapsed="false">
      <c r="A1332" s="424"/>
      <c r="B1332" s="424"/>
      <c r="C1332" s="424"/>
      <c r="D1332" s="424"/>
      <c r="E1332" s="424"/>
      <c r="F1332" s="424"/>
      <c r="G1332" s="424"/>
      <c r="H1332" s="424"/>
      <c r="I1332" s="424"/>
      <c r="J1332" s="424"/>
      <c r="K1332" s="424"/>
      <c r="L1332" s="424"/>
      <c r="M1332" s="424"/>
      <c r="N1332" s="424"/>
      <c r="O1332" s="424"/>
      <c r="P1332" s="424"/>
      <c r="Q1332" s="424"/>
      <c r="R1332" s="424"/>
      <c r="S1332" s="424"/>
      <c r="T1332" s="424"/>
      <c r="U1332" s="424"/>
      <c r="V1332" s="436" t="n">
        <f aca="false">AY1337</f>
        <v>0</v>
      </c>
    </row>
    <row r="1333" customFormat="false" ht="13.5" hidden="false" customHeight="false" outlineLevel="0" collapsed="false">
      <c r="A1333" s="424"/>
      <c r="B1333" s="424"/>
      <c r="C1333" s="424"/>
      <c r="D1333" s="424"/>
      <c r="E1333" s="424"/>
      <c r="F1333" s="424"/>
      <c r="G1333" s="424"/>
      <c r="H1333" s="424"/>
      <c r="I1333" s="424"/>
      <c r="J1333" s="424"/>
      <c r="K1333" s="424"/>
      <c r="L1333" s="424"/>
      <c r="M1333" s="424"/>
      <c r="N1333" s="424"/>
      <c r="O1333" s="424"/>
      <c r="P1333" s="424"/>
      <c r="Q1333" s="424"/>
      <c r="R1333" s="424"/>
      <c r="S1333" s="424"/>
      <c r="T1333" s="424"/>
      <c r="U1333" s="424"/>
      <c r="V1333" s="436" t="n">
        <f aca="false">AY1338</f>
        <v>0</v>
      </c>
    </row>
    <row r="1334" customFormat="false" ht="13.5" hidden="false" customHeight="false" outlineLevel="0" collapsed="false">
      <c r="A1334" s="424"/>
      <c r="B1334" s="424"/>
      <c r="C1334" s="424"/>
      <c r="D1334" s="424"/>
      <c r="E1334" s="424"/>
      <c r="F1334" s="424"/>
      <c r="G1334" s="424"/>
      <c r="H1334" s="424"/>
      <c r="I1334" s="424"/>
      <c r="J1334" s="424"/>
      <c r="K1334" s="424"/>
      <c r="L1334" s="424"/>
      <c r="M1334" s="424"/>
      <c r="N1334" s="424"/>
      <c r="O1334" s="424"/>
      <c r="P1334" s="424"/>
      <c r="Q1334" s="424"/>
      <c r="R1334" s="424"/>
      <c r="S1334" s="424"/>
      <c r="T1334" s="424"/>
      <c r="U1334" s="424"/>
      <c r="V1334" s="436" t="n">
        <f aca="false">AY1339</f>
        <v>0</v>
      </c>
    </row>
    <row r="1335" customFormat="false" ht="13.5" hidden="false" customHeight="false" outlineLevel="0" collapsed="false">
      <c r="A1335" s="424"/>
      <c r="B1335" s="424"/>
      <c r="C1335" s="424"/>
      <c r="D1335" s="424"/>
      <c r="E1335" s="424"/>
      <c r="F1335" s="424"/>
      <c r="G1335" s="424"/>
      <c r="H1335" s="424"/>
      <c r="I1335" s="424"/>
      <c r="J1335" s="424"/>
      <c r="K1335" s="424"/>
      <c r="L1335" s="424"/>
      <c r="M1335" s="424"/>
      <c r="N1335" s="424"/>
      <c r="O1335" s="424"/>
      <c r="P1335" s="424"/>
      <c r="Q1335" s="424"/>
      <c r="R1335" s="424"/>
      <c r="S1335" s="424"/>
      <c r="T1335" s="424"/>
      <c r="U1335" s="424"/>
      <c r="V1335" s="436" t="n">
        <f aca="false">AY1340</f>
        <v>0</v>
      </c>
    </row>
    <row r="1336" customFormat="false" ht="13.5" hidden="false" customHeight="false" outlineLevel="0" collapsed="false">
      <c r="A1336" s="424"/>
      <c r="B1336" s="424"/>
      <c r="C1336" s="424"/>
      <c r="D1336" s="424"/>
      <c r="E1336" s="424"/>
      <c r="F1336" s="424"/>
      <c r="G1336" s="424"/>
      <c r="H1336" s="424"/>
      <c r="I1336" s="424"/>
      <c r="J1336" s="424"/>
      <c r="K1336" s="424"/>
      <c r="L1336" s="424"/>
      <c r="M1336" s="424"/>
      <c r="N1336" s="424"/>
      <c r="O1336" s="424"/>
      <c r="P1336" s="424"/>
      <c r="Q1336" s="424"/>
      <c r="R1336" s="424"/>
      <c r="S1336" s="424"/>
      <c r="T1336" s="424"/>
      <c r="U1336" s="424"/>
      <c r="V1336" s="436" t="n">
        <f aca="false">AY1341</f>
        <v>0</v>
      </c>
    </row>
    <row r="1337" customFormat="false" ht="13.5" hidden="false" customHeight="false" outlineLevel="0" collapsed="false">
      <c r="A1337" s="424"/>
      <c r="B1337" s="424"/>
      <c r="C1337" s="424"/>
      <c r="D1337" s="424"/>
      <c r="E1337" s="424"/>
      <c r="F1337" s="424"/>
      <c r="G1337" s="424"/>
      <c r="H1337" s="424"/>
      <c r="I1337" s="424"/>
      <c r="J1337" s="424"/>
      <c r="K1337" s="424"/>
      <c r="L1337" s="424"/>
      <c r="M1337" s="424"/>
      <c r="N1337" s="424"/>
      <c r="O1337" s="424"/>
      <c r="P1337" s="424"/>
      <c r="Q1337" s="424"/>
      <c r="R1337" s="424"/>
      <c r="S1337" s="424"/>
      <c r="T1337" s="424"/>
      <c r="U1337" s="424"/>
      <c r="V1337" s="436" t="n">
        <f aca="false">AY1342</f>
        <v>0</v>
      </c>
    </row>
    <row r="1338" customFormat="false" ht="13.5" hidden="false" customHeight="false" outlineLevel="0" collapsed="false">
      <c r="A1338" s="424"/>
      <c r="B1338" s="424"/>
      <c r="C1338" s="424"/>
      <c r="D1338" s="424"/>
      <c r="E1338" s="424"/>
      <c r="F1338" s="424"/>
      <c r="G1338" s="424"/>
      <c r="H1338" s="424"/>
      <c r="I1338" s="424"/>
      <c r="J1338" s="424"/>
      <c r="K1338" s="424"/>
      <c r="L1338" s="424"/>
      <c r="M1338" s="424"/>
      <c r="N1338" s="424"/>
      <c r="O1338" s="424"/>
      <c r="P1338" s="424"/>
      <c r="Q1338" s="424"/>
      <c r="R1338" s="424"/>
      <c r="S1338" s="424"/>
      <c r="T1338" s="424"/>
      <c r="U1338" s="424"/>
      <c r="V1338" s="436" t="n">
        <f aca="false">AY1343</f>
        <v>0</v>
      </c>
    </row>
    <row r="1339" customFormat="false" ht="13.5" hidden="false" customHeight="false" outlineLevel="0" collapsed="false">
      <c r="A1339" s="424"/>
      <c r="B1339" s="424"/>
      <c r="C1339" s="424"/>
      <c r="D1339" s="424"/>
      <c r="E1339" s="424"/>
      <c r="F1339" s="424"/>
      <c r="G1339" s="424"/>
      <c r="H1339" s="424"/>
      <c r="I1339" s="424"/>
      <c r="J1339" s="424"/>
      <c r="K1339" s="424"/>
      <c r="L1339" s="424"/>
      <c r="M1339" s="424"/>
      <c r="N1339" s="424"/>
      <c r="O1339" s="424"/>
      <c r="P1339" s="424"/>
      <c r="Q1339" s="424"/>
      <c r="R1339" s="424"/>
      <c r="S1339" s="424"/>
      <c r="T1339" s="424"/>
      <c r="U1339" s="424"/>
      <c r="V1339" s="436" t="n">
        <f aca="false">AY1344</f>
        <v>0</v>
      </c>
    </row>
    <row r="1341" customFormat="false" ht="13.5" hidden="false" customHeight="false" outlineLevel="0" collapsed="false">
      <c r="A1341" s="424"/>
      <c r="B1341" s="424"/>
      <c r="C1341" s="424"/>
      <c r="D1341" s="424"/>
      <c r="E1341" s="424"/>
      <c r="F1341" s="424"/>
      <c r="G1341" s="424"/>
      <c r="H1341" s="424"/>
      <c r="I1341" s="424"/>
      <c r="J1341" s="424"/>
      <c r="K1341" s="424"/>
      <c r="L1341" s="424"/>
      <c r="M1341" s="424"/>
      <c r="N1341" s="424"/>
      <c r="O1341" s="424"/>
      <c r="P1341" s="424"/>
      <c r="Q1341" s="424"/>
      <c r="R1341" s="434" t="s">
        <v>400</v>
      </c>
      <c r="S1341" s="424"/>
      <c r="T1341" s="424"/>
      <c r="U1341" s="424"/>
      <c r="V1341" s="435" t="n">
        <f aca="false">SUM(V1343:V1375)</f>
        <v>0</v>
      </c>
    </row>
    <row r="1342" customFormat="false" ht="13.5" hidden="false" customHeight="false" outlineLevel="0" collapsed="false">
      <c r="A1342" s="424"/>
      <c r="B1342" s="424"/>
      <c r="C1342" s="424"/>
      <c r="D1342" s="424"/>
      <c r="E1342" s="424"/>
      <c r="F1342" s="424"/>
      <c r="G1342" s="424"/>
      <c r="H1342" s="424"/>
      <c r="I1342" s="424"/>
      <c r="J1342" s="424"/>
      <c r="K1342" s="424"/>
      <c r="L1342" s="424"/>
      <c r="M1342" s="424"/>
      <c r="N1342" s="424"/>
      <c r="O1342" s="424"/>
      <c r="P1342" s="424"/>
      <c r="Q1342" s="435" t="n">
        <v>0</v>
      </c>
      <c r="R1342" s="424"/>
      <c r="S1342" s="435" t="n">
        <v>0</v>
      </c>
      <c r="T1342" s="424"/>
      <c r="U1342" s="424"/>
      <c r="V1342" s="436" t="n">
        <f aca="false">AY1342</f>
        <v>0</v>
      </c>
    </row>
    <row r="1343" customFormat="false" ht="13.5" hidden="false" customHeight="false" outlineLevel="0" collapsed="false">
      <c r="A1343" s="424"/>
      <c r="B1343" s="424"/>
      <c r="C1343" s="424"/>
      <c r="D1343" s="424"/>
      <c r="E1343" s="424"/>
      <c r="F1343" s="424"/>
      <c r="G1343" s="424"/>
      <c r="H1343" s="424"/>
      <c r="I1343" s="424"/>
      <c r="J1343" s="424"/>
      <c r="K1343" s="424"/>
      <c r="L1343" s="424"/>
      <c r="M1343" s="424"/>
      <c r="N1343" s="424"/>
      <c r="O1343" s="424"/>
      <c r="P1343" s="424"/>
      <c r="Q1343" s="435" t="n">
        <v>1</v>
      </c>
      <c r="R1343" s="434" t="s">
        <v>401</v>
      </c>
      <c r="S1343" s="434" t="s">
        <v>402</v>
      </c>
      <c r="T1343" s="434" t="s">
        <v>403</v>
      </c>
      <c r="U1343" s="434" t="s">
        <v>404</v>
      </c>
      <c r="V1343" s="436" t="n">
        <f aca="false">AY1343</f>
        <v>0</v>
      </c>
    </row>
    <row r="1344" customFormat="false" ht="13.5" hidden="false" customHeight="false" outlineLevel="0" collapsed="false">
      <c r="A1344" s="424"/>
      <c r="B1344" s="424"/>
      <c r="C1344" s="424"/>
      <c r="D1344" s="424"/>
      <c r="E1344" s="424"/>
      <c r="F1344" s="424"/>
      <c r="G1344" s="424"/>
      <c r="H1344" s="424"/>
      <c r="I1344" s="424"/>
      <c r="J1344" s="424"/>
      <c r="K1344" s="424"/>
      <c r="L1344" s="424"/>
      <c r="M1344" s="424"/>
      <c r="N1344" s="424"/>
      <c r="O1344" s="424"/>
      <c r="P1344" s="424"/>
      <c r="Q1344" s="435" t="n">
        <v>2</v>
      </c>
      <c r="R1344" s="434" t="s">
        <v>405</v>
      </c>
      <c r="S1344" s="434" t="s">
        <v>406</v>
      </c>
      <c r="T1344" s="434" t="s">
        <v>407</v>
      </c>
      <c r="U1344" s="434" t="s">
        <v>408</v>
      </c>
      <c r="V1344" s="436" t="n">
        <f aca="false">AY1344</f>
        <v>0</v>
      </c>
    </row>
    <row r="1345" customFormat="false" ht="13.5" hidden="false" customHeight="false" outlineLevel="0" collapsed="false">
      <c r="A1345" s="424"/>
      <c r="B1345" s="424"/>
      <c r="C1345" s="424"/>
      <c r="D1345" s="424"/>
      <c r="E1345" s="424"/>
      <c r="F1345" s="424"/>
      <c r="G1345" s="424"/>
      <c r="H1345" s="424"/>
      <c r="I1345" s="424"/>
      <c r="J1345" s="424"/>
      <c r="K1345" s="424"/>
      <c r="L1345" s="424"/>
      <c r="M1345" s="424"/>
      <c r="N1345" s="424"/>
      <c r="O1345" s="424"/>
      <c r="P1345" s="424"/>
      <c r="Q1345" s="435" t="n">
        <v>3</v>
      </c>
      <c r="R1345" s="434" t="s">
        <v>409</v>
      </c>
      <c r="S1345" s="434" t="s">
        <v>410</v>
      </c>
      <c r="T1345" s="434" t="s">
        <v>411</v>
      </c>
      <c r="U1345" s="434" t="s">
        <v>412</v>
      </c>
      <c r="V1345" s="436" t="n">
        <f aca="false">AY1345</f>
        <v>0</v>
      </c>
    </row>
    <row r="1346" customFormat="false" ht="13.5" hidden="false" customHeight="false" outlineLevel="0" collapsed="false">
      <c r="A1346" s="424"/>
      <c r="B1346" s="424"/>
      <c r="C1346" s="424"/>
      <c r="D1346" s="424"/>
      <c r="E1346" s="424"/>
      <c r="F1346" s="424"/>
      <c r="G1346" s="424"/>
      <c r="H1346" s="424"/>
      <c r="I1346" s="424"/>
      <c r="J1346" s="424"/>
      <c r="K1346" s="424"/>
      <c r="L1346" s="424"/>
      <c r="M1346" s="424"/>
      <c r="N1346" s="424"/>
      <c r="O1346" s="424"/>
      <c r="P1346" s="424"/>
      <c r="Q1346" s="435" t="n">
        <v>4</v>
      </c>
      <c r="R1346" s="434" t="s">
        <v>413</v>
      </c>
      <c r="S1346" s="434" t="s">
        <v>414</v>
      </c>
      <c r="T1346" s="434" t="s">
        <v>415</v>
      </c>
      <c r="U1346" s="434" t="s">
        <v>416</v>
      </c>
      <c r="V1346" s="436" t="n">
        <f aca="false">AY1346</f>
        <v>0</v>
      </c>
    </row>
    <row r="1347" customFormat="false" ht="13.5" hidden="false" customHeight="false" outlineLevel="0" collapsed="false">
      <c r="A1347" s="424"/>
      <c r="B1347" s="424"/>
      <c r="C1347" s="424"/>
      <c r="D1347" s="424"/>
      <c r="E1347" s="424"/>
      <c r="F1347" s="424"/>
      <c r="G1347" s="424"/>
      <c r="H1347" s="424"/>
      <c r="I1347" s="424"/>
      <c r="J1347" s="424"/>
      <c r="K1347" s="424"/>
      <c r="L1347" s="424"/>
      <c r="M1347" s="424"/>
      <c r="N1347" s="424"/>
      <c r="O1347" s="424"/>
      <c r="P1347" s="438" t="s">
        <v>417</v>
      </c>
      <c r="Q1347" s="435" t="n">
        <v>5</v>
      </c>
      <c r="R1347" s="434" t="s">
        <v>418</v>
      </c>
      <c r="S1347" s="434" t="s">
        <v>419</v>
      </c>
      <c r="T1347" s="434" t="s">
        <v>420</v>
      </c>
      <c r="U1347" s="434" t="s">
        <v>421</v>
      </c>
      <c r="V1347" s="436" t="n">
        <f aca="false">AY1347</f>
        <v>0</v>
      </c>
    </row>
    <row r="1348" customFormat="false" ht="13.5" hidden="false" customHeight="false" outlineLevel="0" collapsed="false">
      <c r="A1348" s="424"/>
      <c r="B1348" s="424"/>
      <c r="C1348" s="424"/>
      <c r="D1348" s="424"/>
      <c r="E1348" s="424"/>
      <c r="F1348" s="424"/>
      <c r="G1348" s="424"/>
      <c r="H1348" s="424"/>
      <c r="I1348" s="424"/>
      <c r="J1348" s="424"/>
      <c r="K1348" s="424"/>
      <c r="L1348" s="424"/>
      <c r="M1348" s="424"/>
      <c r="N1348" s="424"/>
      <c r="O1348" s="424"/>
      <c r="P1348" s="438" t="s">
        <v>417</v>
      </c>
      <c r="Q1348" s="435" t="n">
        <v>6</v>
      </c>
      <c r="R1348" s="434" t="s">
        <v>422</v>
      </c>
      <c r="S1348" s="434" t="s">
        <v>423</v>
      </c>
      <c r="T1348" s="434" t="s">
        <v>424</v>
      </c>
      <c r="U1348" s="434" t="s">
        <v>425</v>
      </c>
      <c r="V1348" s="436" t="n">
        <f aca="false">AY1348</f>
        <v>0</v>
      </c>
    </row>
    <row r="1349" customFormat="false" ht="13.5" hidden="false" customHeight="false" outlineLevel="0" collapsed="false">
      <c r="A1349" s="424"/>
      <c r="B1349" s="424"/>
      <c r="C1349" s="424"/>
      <c r="D1349" s="424"/>
      <c r="E1349" s="424"/>
      <c r="F1349" s="424"/>
      <c r="G1349" s="424"/>
      <c r="H1349" s="424"/>
      <c r="I1349" s="424"/>
      <c r="J1349" s="424"/>
      <c r="K1349" s="424"/>
      <c r="L1349" s="424"/>
      <c r="M1349" s="424"/>
      <c r="N1349" s="424"/>
      <c r="O1349" s="424"/>
      <c r="P1349" s="438" t="s">
        <v>417</v>
      </c>
      <c r="Q1349" s="435" t="n">
        <v>7</v>
      </c>
      <c r="R1349" s="434" t="s">
        <v>426</v>
      </c>
      <c r="S1349" s="434" t="s">
        <v>427</v>
      </c>
      <c r="T1349" s="434" t="s">
        <v>428</v>
      </c>
      <c r="U1349" s="434" t="s">
        <v>429</v>
      </c>
      <c r="V1349" s="436" t="n">
        <f aca="false">AY1349</f>
        <v>0</v>
      </c>
    </row>
    <row r="1350" customFormat="false" ht="13.5" hidden="false" customHeight="false" outlineLevel="0" collapsed="false">
      <c r="A1350" s="424"/>
      <c r="B1350" s="424"/>
      <c r="C1350" s="424"/>
      <c r="D1350" s="424"/>
      <c r="E1350" s="424"/>
      <c r="F1350" s="424"/>
      <c r="G1350" s="424"/>
      <c r="H1350" s="424"/>
      <c r="I1350" s="424"/>
      <c r="J1350" s="424"/>
      <c r="K1350" s="424"/>
      <c r="L1350" s="424"/>
      <c r="M1350" s="424"/>
      <c r="N1350" s="424"/>
      <c r="O1350" s="424"/>
      <c r="P1350" s="438" t="s">
        <v>417</v>
      </c>
      <c r="Q1350" s="435" t="n">
        <v>8</v>
      </c>
      <c r="R1350" s="434" t="s">
        <v>430</v>
      </c>
      <c r="S1350" s="434" t="s">
        <v>431</v>
      </c>
      <c r="T1350" s="434" t="s">
        <v>432</v>
      </c>
      <c r="U1350" s="434" t="s">
        <v>433</v>
      </c>
      <c r="V1350" s="436" t="n">
        <f aca="false">AY1350</f>
        <v>0</v>
      </c>
    </row>
    <row r="1351" customFormat="false" ht="13.5" hidden="false" customHeight="false" outlineLevel="0" collapsed="false">
      <c r="A1351" s="424"/>
      <c r="B1351" s="424"/>
      <c r="C1351" s="424"/>
      <c r="D1351" s="424"/>
      <c r="E1351" s="424"/>
      <c r="F1351" s="424"/>
      <c r="G1351" s="424"/>
      <c r="H1351" s="424"/>
      <c r="I1351" s="424"/>
      <c r="J1351" s="424"/>
      <c r="K1351" s="424"/>
      <c r="L1351" s="424"/>
      <c r="M1351" s="424"/>
      <c r="N1351" s="424"/>
      <c r="O1351" s="424"/>
      <c r="P1351" s="438" t="s">
        <v>417</v>
      </c>
      <c r="Q1351" s="435" t="n">
        <v>9</v>
      </c>
      <c r="R1351" s="434" t="s">
        <v>434</v>
      </c>
      <c r="S1351" s="434" t="s">
        <v>435</v>
      </c>
      <c r="T1351" s="434" t="s">
        <v>436</v>
      </c>
      <c r="U1351" s="434" t="s">
        <v>437</v>
      </c>
      <c r="V1351" s="436" t="n">
        <f aca="false">AY1351</f>
        <v>0</v>
      </c>
    </row>
    <row r="1352" customFormat="false" ht="13.5" hidden="false" customHeight="false" outlineLevel="0" collapsed="false">
      <c r="A1352" s="424"/>
      <c r="B1352" s="424"/>
      <c r="C1352" s="424"/>
      <c r="D1352" s="424"/>
      <c r="E1352" s="424"/>
      <c r="F1352" s="424"/>
      <c r="G1352" s="424"/>
      <c r="H1352" s="424"/>
      <c r="I1352" s="424"/>
      <c r="J1352" s="424"/>
      <c r="K1352" s="424"/>
      <c r="L1352" s="424"/>
      <c r="M1352" s="424"/>
      <c r="N1352" s="424"/>
      <c r="O1352" s="424"/>
      <c r="P1352" s="438" t="s">
        <v>417</v>
      </c>
      <c r="Q1352" s="435" t="n">
        <v>10</v>
      </c>
      <c r="R1352" s="434" t="s">
        <v>438</v>
      </c>
      <c r="S1352" s="424"/>
      <c r="T1352" s="434" t="s">
        <v>439</v>
      </c>
      <c r="U1352" s="434" t="s">
        <v>440</v>
      </c>
      <c r="V1352" s="436" t="n">
        <f aca="false">AY1352</f>
        <v>0</v>
      </c>
    </row>
    <row r="1353" customFormat="false" ht="13.5" hidden="false" customHeight="false" outlineLevel="0" collapsed="false">
      <c r="A1353" s="424"/>
      <c r="B1353" s="424"/>
      <c r="C1353" s="424"/>
      <c r="D1353" s="424"/>
      <c r="E1353" s="424"/>
      <c r="F1353" s="435" t="n">
        <f aca="false">TRUNC(+A1355/1000000)</f>
        <v>0</v>
      </c>
      <c r="G1353" s="424"/>
      <c r="H1353" s="424"/>
      <c r="I1353" s="424"/>
      <c r="J1353" s="424"/>
      <c r="K1353" s="424"/>
      <c r="L1353" s="424"/>
      <c r="M1353" s="424"/>
      <c r="N1353" s="424"/>
      <c r="O1353" s="424"/>
      <c r="P1353" s="438" t="s">
        <v>417</v>
      </c>
      <c r="Q1353" s="435" t="n">
        <v>11</v>
      </c>
      <c r="R1353" s="434" t="s">
        <v>441</v>
      </c>
      <c r="S1353" s="424"/>
      <c r="T1353" s="434" t="s">
        <v>442</v>
      </c>
      <c r="U1353" s="434" t="s">
        <v>443</v>
      </c>
      <c r="V1353" s="436" t="n">
        <f aca="false">AY1353</f>
        <v>0</v>
      </c>
    </row>
    <row r="1354" customFormat="false" ht="13.5" hidden="false" customHeight="false" outlineLevel="0" collapsed="false">
      <c r="A1354" s="424"/>
      <c r="B1354" s="424"/>
      <c r="C1354" s="424"/>
      <c r="D1354" s="424"/>
      <c r="E1354" s="424"/>
      <c r="F1354" s="435" t="e">
        <f aca="false">(+B1358*100000+C1358*1000+E1358*100)</f>
        <v>#VALUE!</v>
      </c>
      <c r="G1354" s="424"/>
      <c r="H1354" s="424"/>
      <c r="I1354" s="424"/>
      <c r="J1354" s="424"/>
      <c r="K1354" s="424"/>
      <c r="L1354" s="434" t="s">
        <v>444</v>
      </c>
      <c r="M1354" s="424"/>
      <c r="N1354" s="424"/>
      <c r="O1354" s="424"/>
      <c r="P1354" s="438" t="s">
        <v>417</v>
      </c>
      <c r="Q1354" s="435" t="n">
        <v>12</v>
      </c>
      <c r="R1354" s="434" t="s">
        <v>445</v>
      </c>
      <c r="S1354" s="424"/>
      <c r="T1354" s="434" t="s">
        <v>446</v>
      </c>
      <c r="U1354" s="434" t="s">
        <v>447</v>
      </c>
      <c r="V1354" s="436" t="n">
        <f aca="false">AY1354</f>
        <v>0</v>
      </c>
    </row>
    <row r="1355" customFormat="false" ht="13.5" hidden="false" customHeight="false" outlineLevel="0" collapsed="false">
      <c r="A1355" s="436" t="n">
        <f aca="false">TRUNC(+A1356)</f>
        <v>12</v>
      </c>
      <c r="B1355" s="424"/>
      <c r="C1355" s="424"/>
      <c r="D1355" s="424"/>
      <c r="E1355" s="440" t="n">
        <f aca="false">TRUNC(+A1355/100000000)</f>
        <v>0</v>
      </c>
      <c r="F1355" s="424"/>
      <c r="G1355" s="424"/>
      <c r="H1355" s="424"/>
      <c r="I1355" s="424"/>
      <c r="J1355" s="424"/>
      <c r="K1355" s="424"/>
      <c r="L1355" s="424"/>
      <c r="M1355" s="424"/>
      <c r="N1355" s="424"/>
      <c r="O1355" s="424"/>
      <c r="P1355" s="438" t="s">
        <v>417</v>
      </c>
      <c r="Q1355" s="435" t="n">
        <v>13</v>
      </c>
      <c r="R1355" s="434" t="s">
        <v>448</v>
      </c>
      <c r="S1355" s="424"/>
      <c r="T1355" s="434" t="s">
        <v>449</v>
      </c>
      <c r="U1355" s="434" t="s">
        <v>450</v>
      </c>
      <c r="V1355" s="436" t="n">
        <f aca="false">AY1355</f>
        <v>0</v>
      </c>
    </row>
    <row r="1356" customFormat="false" ht="13.5" hidden="false" customHeight="false" outlineLevel="0" collapsed="false">
      <c r="A1356" s="441" t="n">
        <v>12</v>
      </c>
      <c r="B1356" s="434" t="s">
        <v>451</v>
      </c>
      <c r="C1356" s="434" t="s">
        <v>452</v>
      </c>
      <c r="D1356" s="424"/>
      <c r="E1356" s="434" t="s">
        <v>452</v>
      </c>
      <c r="F1356" s="424"/>
      <c r="G1356" s="424"/>
      <c r="H1356" s="424"/>
      <c r="I1356" s="440" t="n">
        <f aca="false">TRUNC((+A1355-(+F1353*1000000))/1000)</f>
        <v>0</v>
      </c>
      <c r="J1356" s="424"/>
      <c r="K1356" s="440" t="n">
        <f aca="false">(TRUNC((+A1355-(+F1353*1000000))/1))-I1356*1000</f>
        <v>12</v>
      </c>
      <c r="L1356" s="424"/>
      <c r="M1356" s="424"/>
      <c r="N1356" s="424"/>
      <c r="O1356" s="424"/>
      <c r="P1356" s="438" t="s">
        <v>417</v>
      </c>
      <c r="Q1356" s="435" t="n">
        <v>14</v>
      </c>
      <c r="R1356" s="434" t="s">
        <v>453</v>
      </c>
      <c r="S1356" s="424"/>
      <c r="T1356" s="434" t="s">
        <v>454</v>
      </c>
      <c r="U1356" s="434" t="s">
        <v>455</v>
      </c>
      <c r="V1356" s="436" t="n">
        <f aca="false">AY1356</f>
        <v>0</v>
      </c>
    </row>
    <row r="1357" customFormat="false" ht="13.5" hidden="false" customHeight="false" outlineLevel="0" collapsed="false">
      <c r="A1357" s="424"/>
      <c r="B1357" s="442" t="s">
        <v>712</v>
      </c>
      <c r="C1357" s="442" t="s">
        <v>712</v>
      </c>
      <c r="D1357" s="424"/>
      <c r="E1357" s="442" t="s">
        <v>712</v>
      </c>
      <c r="F1357" s="424"/>
      <c r="G1357" s="424"/>
      <c r="H1357" s="424"/>
      <c r="I1357" s="424"/>
      <c r="J1357" s="424"/>
      <c r="K1357" s="424"/>
      <c r="L1357" s="424"/>
      <c r="M1357" s="424"/>
      <c r="N1357" s="440" t="n">
        <f aca="false">ROUND(((+A1356-A1355)*100),1)</f>
        <v>0</v>
      </c>
      <c r="O1357" s="424"/>
      <c r="P1357" s="438" t="s">
        <v>417</v>
      </c>
      <c r="Q1357" s="435" t="n">
        <v>15</v>
      </c>
      <c r="R1357" s="434" t="s">
        <v>457</v>
      </c>
      <c r="S1357" s="424"/>
      <c r="T1357" s="434" t="s">
        <v>458</v>
      </c>
      <c r="U1357" s="434" t="s">
        <v>459</v>
      </c>
      <c r="V1357" s="436" t="n">
        <f aca="false">AY1357</f>
        <v>0</v>
      </c>
    </row>
    <row r="1358" customFormat="false" ht="13.5" hidden="false" customHeight="false" outlineLevel="0" collapsed="false">
      <c r="A1358" s="424"/>
      <c r="B1358" s="440" t="n">
        <f aca="false">TRUNC(+A1356/100000000000)</f>
        <v>0</v>
      </c>
      <c r="C1358" s="440" t="n">
        <f aca="false">(TRUNC(+A1355/1000000000))-B1358*100</f>
        <v>0</v>
      </c>
      <c r="D1358" s="424"/>
      <c r="E1358" s="435" t="str">
        <f aca="false">IF(E1355&gt;0,TRUNC(+E1355-B1358*1000-C1358*10),"")</f>
        <v/>
      </c>
      <c r="F1358" s="435" t="e">
        <f aca="false">F1353-F1354</f>
        <v>#VALUE!</v>
      </c>
      <c r="G1358" s="435" t="e">
        <f aca="false">G1360</f>
        <v>#VALUE!</v>
      </c>
      <c r="H1358" s="440" t="n">
        <f aca="false">TRUNC((+A1355-(+F1353*1000000))/100000)</f>
        <v>0</v>
      </c>
      <c r="I1358" s="440" t="n">
        <f aca="false">I1356-H1358*100</f>
        <v>0</v>
      </c>
      <c r="J1358" s="424"/>
      <c r="K1358" s="440" t="n">
        <f aca="false">TRUNC(+K1356/100)</f>
        <v>0</v>
      </c>
      <c r="L1358" s="440" t="n">
        <f aca="false">K1356-K1358*100</f>
        <v>12</v>
      </c>
      <c r="M1358" s="440" t="str">
        <f aca="false">IF(N1358&gt;0," &amp; Sen ","")</f>
        <v/>
      </c>
      <c r="N1358" s="435" t="n">
        <f aca="false">N1357</f>
        <v>0</v>
      </c>
      <c r="O1358" s="424"/>
      <c r="P1358" s="438" t="s">
        <v>417</v>
      </c>
      <c r="Q1358" s="435" t="n">
        <v>16</v>
      </c>
      <c r="R1358" s="434" t="s">
        <v>460</v>
      </c>
      <c r="S1358" s="424"/>
      <c r="T1358" s="434" t="s">
        <v>461</v>
      </c>
      <c r="U1358" s="434" t="s">
        <v>462</v>
      </c>
      <c r="V1358" s="436" t="n">
        <f aca="false">AY1358</f>
        <v>0</v>
      </c>
    </row>
    <row r="1359" customFormat="false" ht="13.5" hidden="false" customHeight="false" outlineLevel="0" collapsed="false">
      <c r="A1359" s="424"/>
      <c r="B1359" s="424"/>
      <c r="C1359" s="424"/>
      <c r="D1359" s="424"/>
      <c r="E1359" s="424"/>
      <c r="F1359" s="424"/>
      <c r="G1359" s="424"/>
      <c r="H1359" s="424"/>
      <c r="I1359" s="424"/>
      <c r="J1359" s="424"/>
      <c r="K1359" s="424"/>
      <c r="L1359" s="424"/>
      <c r="M1359" s="424"/>
      <c r="N1359" s="424"/>
      <c r="O1359" s="424"/>
      <c r="P1359" s="438" t="s">
        <v>417</v>
      </c>
      <c r="Q1359" s="435" t="n">
        <v>17</v>
      </c>
      <c r="R1359" s="434" t="s">
        <v>463</v>
      </c>
      <c r="S1359" s="424"/>
      <c r="T1359" s="434" t="s">
        <v>464</v>
      </c>
      <c r="U1359" s="434" t="s">
        <v>465</v>
      </c>
      <c r="V1359" s="436" t="n">
        <f aca="false">AY1359</f>
        <v>0</v>
      </c>
    </row>
    <row r="1360" customFormat="false" ht="13.5" hidden="false" customHeight="false" outlineLevel="0" collapsed="false">
      <c r="A1360" s="440" t="n">
        <f aca="false">B1358*100000000000</f>
        <v>0</v>
      </c>
      <c r="B1360" s="440" t="str">
        <f aca="false">IF(B1358&gt;0,VLOOKUP(B1358,$Q$7:$T$15,3),"")</f>
        <v/>
      </c>
      <c r="C1360" s="440" t="str">
        <f aca="false">IF(C1358&gt;0,VLOOKUP(C1358,Q1343:R1441,2),"")</f>
        <v/>
      </c>
      <c r="D1360" s="440" t="str">
        <f aca="false">IF(B1355+C1358&gt;0," Milyar","")</f>
        <v/>
      </c>
      <c r="E1360" s="440" t="e">
        <f aca="false">IF(E1358&gt;0,VLOOKUP(E1358,$Q$7:$T$15,3),"")</f>
        <v>#N/A</v>
      </c>
      <c r="F1360" s="440" t="e">
        <f aca="false">IF(F1358&gt;0,VLOOKUP(F1358,Q1343:R1441,2),"")</f>
        <v>#VALUE!</v>
      </c>
      <c r="G1360" s="435" t="e">
        <f aca="false">IF(F1358+E1358&gt;0," Juta","")</f>
        <v>#VALUE!</v>
      </c>
      <c r="H1360" s="440" t="str">
        <f aca="false">IF(H1358&gt;0,VLOOKUP(H1358,$Q$7:$T$15,3),"")</f>
        <v/>
      </c>
      <c r="I1360" s="440" t="str">
        <f aca="false">IF(I1358=1," Se",IF(I1358=0,"",VLOOKUP(I1358,Q1343:R1441,2)))</f>
        <v/>
      </c>
      <c r="J1360" s="435" t="str">
        <f aca="false">IF(I1358+H1358&gt;0," ribu","")</f>
        <v/>
      </c>
      <c r="K1360" s="440" t="str">
        <f aca="false">IF(K1358&gt;0,VLOOKUP(K1358,Q1343:S1351,3),"")</f>
        <v/>
      </c>
      <c r="L1360" s="440" t="str">
        <f aca="false">IF(L1358&gt;0,VLOOKUP(L1358,Q1343:R1441,2),"")</f>
        <v> Dua belas</v>
      </c>
      <c r="M1360" s="440" t="str">
        <f aca="false">IF(N1358&gt;0,VLOOKUP(N1357,Q1342:U1441,5)," Rupiah ")</f>
        <v> Rupiah </v>
      </c>
      <c r="N1360" s="424"/>
      <c r="O1360" s="435" t="str">
        <f aca="false">IF(N1358&gt;0," ====","")</f>
        <v/>
      </c>
      <c r="P1360" s="435" t="str">
        <f aca="false">IF(N1358&gt;0,"-","====")</f>
        <v>====</v>
      </c>
      <c r="Q1360" s="435" t="n">
        <v>18</v>
      </c>
      <c r="R1360" s="434" t="s">
        <v>466</v>
      </c>
      <c r="S1360" s="424"/>
      <c r="T1360" s="434" t="s">
        <v>467</v>
      </c>
      <c r="U1360" s="434" t="s">
        <v>468</v>
      </c>
      <c r="V1360" s="436" t="n">
        <f aca="false">AY1360</f>
        <v>0</v>
      </c>
    </row>
    <row r="1361" customFormat="false" ht="13.5" hidden="false" customHeight="false" outlineLevel="0" collapsed="false">
      <c r="A1361" s="440"/>
      <c r="B1361" s="435" t="str">
        <f aca="false">B1360</f>
        <v/>
      </c>
      <c r="C1361" s="424"/>
      <c r="D1361" s="424"/>
      <c r="E1361" s="424"/>
      <c r="F1361" s="424"/>
      <c r="G1361" s="424"/>
      <c r="H1361" s="424"/>
      <c r="I1361" s="424"/>
      <c r="J1361" s="424"/>
      <c r="K1361" s="424"/>
      <c r="L1361" s="424"/>
      <c r="M1361" s="424"/>
      <c r="N1361" s="424"/>
      <c r="O1361" s="424"/>
      <c r="P1361" s="438" t="s">
        <v>417</v>
      </c>
      <c r="Q1361" s="435" t="n">
        <v>19</v>
      </c>
      <c r="R1361" s="434" t="s">
        <v>469</v>
      </c>
      <c r="S1361" s="424"/>
      <c r="T1361" s="434" t="s">
        <v>470</v>
      </c>
      <c r="U1361" s="434" t="s">
        <v>471</v>
      </c>
      <c r="V1361" s="436" t="n">
        <f aca="false">AY1366</f>
        <v>0</v>
      </c>
    </row>
    <row r="1362" customFormat="false" ht="13.5" hidden="false" customHeight="false" outlineLevel="0" collapsed="false">
      <c r="A1362" s="440"/>
      <c r="B1362" s="435" t="str">
        <f aca="false">C1360</f>
        <v/>
      </c>
      <c r="C1362" s="424"/>
      <c r="D1362" s="424"/>
      <c r="E1362" s="424"/>
      <c r="F1362" s="424"/>
      <c r="G1362" s="424"/>
      <c r="H1362" s="424"/>
      <c r="I1362" s="424"/>
      <c r="J1362" s="424"/>
      <c r="K1362" s="424"/>
      <c r="L1362" s="424"/>
      <c r="M1362" s="424"/>
      <c r="N1362" s="424"/>
      <c r="O1362" s="424"/>
      <c r="P1362" s="438" t="s">
        <v>417</v>
      </c>
      <c r="Q1362" s="435" t="n">
        <v>20</v>
      </c>
      <c r="R1362" s="434" t="s">
        <v>472</v>
      </c>
      <c r="S1362" s="424"/>
      <c r="T1362" s="434" t="s">
        <v>473</v>
      </c>
      <c r="U1362" s="434" t="s">
        <v>474</v>
      </c>
      <c r="V1362" s="436" t="n">
        <f aca="false">AY1367</f>
        <v>0</v>
      </c>
    </row>
    <row r="1363" customFormat="false" ht="13.5" hidden="false" customHeight="false" outlineLevel="0" collapsed="false">
      <c r="A1363" s="440"/>
      <c r="B1363" s="435" t="str">
        <f aca="false">D1360</f>
        <v/>
      </c>
      <c r="C1363" s="424"/>
      <c r="D1363" s="424"/>
      <c r="E1363" s="424"/>
      <c r="F1363" s="424"/>
      <c r="G1363" s="424"/>
      <c r="H1363" s="424"/>
      <c r="I1363" s="424"/>
      <c r="J1363" s="424"/>
      <c r="K1363" s="424"/>
      <c r="L1363" s="424"/>
      <c r="M1363" s="424"/>
      <c r="N1363" s="424"/>
      <c r="O1363" s="424"/>
      <c r="P1363" s="438" t="s">
        <v>417</v>
      </c>
      <c r="Q1363" s="435" t="n">
        <v>21</v>
      </c>
      <c r="R1363" s="434" t="s">
        <v>475</v>
      </c>
      <c r="S1363" s="424"/>
      <c r="T1363" s="434" t="s">
        <v>476</v>
      </c>
      <c r="U1363" s="434" t="s">
        <v>477</v>
      </c>
      <c r="V1363" s="436" t="n">
        <f aca="false">AY1368</f>
        <v>0</v>
      </c>
    </row>
    <row r="1364" customFormat="false" ht="13.5" hidden="false" customHeight="false" outlineLevel="0" collapsed="false">
      <c r="A1364" s="440"/>
      <c r="B1364" s="435" t="e">
        <f aca="false">E1360</f>
        <v>#N/A</v>
      </c>
      <c r="C1364" s="424"/>
      <c r="D1364" s="424"/>
      <c r="E1364" s="424"/>
      <c r="F1364" s="424"/>
      <c r="G1364" s="424"/>
      <c r="H1364" s="424"/>
      <c r="I1364" s="424"/>
      <c r="J1364" s="424"/>
      <c r="K1364" s="424"/>
      <c r="L1364" s="424"/>
      <c r="M1364" s="424"/>
      <c r="N1364" s="424"/>
      <c r="O1364" s="424"/>
      <c r="P1364" s="424"/>
      <c r="Q1364" s="435" t="n">
        <v>22</v>
      </c>
      <c r="R1364" s="434" t="s">
        <v>478</v>
      </c>
      <c r="S1364" s="424"/>
      <c r="T1364" s="434" t="s">
        <v>479</v>
      </c>
      <c r="U1364" s="434" t="s">
        <v>480</v>
      </c>
      <c r="V1364" s="436" t="n">
        <f aca="false">AY1369</f>
        <v>0</v>
      </c>
    </row>
    <row r="1365" customFormat="false" ht="13.5" hidden="false" customHeight="false" outlineLevel="0" collapsed="false">
      <c r="A1365" s="440"/>
      <c r="B1365" s="435" t="e">
        <f aca="false">F1360</f>
        <v>#VALUE!</v>
      </c>
      <c r="C1365" s="424"/>
      <c r="D1365" s="424"/>
      <c r="E1365" s="424"/>
      <c r="F1365" s="424"/>
      <c r="G1365" s="424"/>
      <c r="H1365" s="424"/>
      <c r="I1365" s="424"/>
      <c r="J1365" s="424"/>
      <c r="K1365" s="424"/>
      <c r="L1365" s="424"/>
      <c r="M1365" s="424"/>
      <c r="N1365" s="424"/>
      <c r="O1365" s="424"/>
      <c r="P1365" s="438" t="s">
        <v>417</v>
      </c>
      <c r="Q1365" s="435" t="n">
        <v>23</v>
      </c>
      <c r="R1365" s="434" t="s">
        <v>481</v>
      </c>
      <c r="S1365" s="424"/>
      <c r="T1365" s="434" t="s">
        <v>482</v>
      </c>
      <c r="U1365" s="434" t="s">
        <v>483</v>
      </c>
      <c r="V1365" s="436" t="n">
        <f aca="false">AY1370</f>
        <v>0</v>
      </c>
    </row>
    <row r="1366" customFormat="false" ht="13.5" hidden="false" customHeight="false" outlineLevel="0" collapsed="false">
      <c r="A1366" s="424"/>
      <c r="B1366" s="424"/>
      <c r="C1366" s="424"/>
      <c r="D1366" s="424"/>
      <c r="E1366" s="424"/>
      <c r="F1366" s="424"/>
      <c r="G1366" s="424"/>
      <c r="H1366" s="424"/>
      <c r="I1366" s="424"/>
      <c r="J1366" s="424"/>
      <c r="K1366" s="424"/>
      <c r="L1366" s="424"/>
      <c r="M1366" s="424"/>
      <c r="N1366" s="424"/>
      <c r="O1366" s="424"/>
      <c r="P1366" s="438" t="s">
        <v>417</v>
      </c>
      <c r="Q1366" s="435" t="n">
        <v>24</v>
      </c>
      <c r="R1366" s="434" t="s">
        <v>484</v>
      </c>
      <c r="S1366" s="424"/>
      <c r="T1366" s="434" t="s">
        <v>485</v>
      </c>
      <c r="U1366" s="434" t="s">
        <v>486</v>
      </c>
      <c r="V1366" s="436" t="n">
        <f aca="false">AY1371</f>
        <v>0</v>
      </c>
    </row>
    <row r="1367" customFormat="false" ht="13.5" hidden="false" customHeight="false" outlineLevel="0" collapsed="false">
      <c r="A1367" s="424"/>
      <c r="B1367" s="424"/>
      <c r="C1367" s="424"/>
      <c r="D1367" s="424"/>
      <c r="E1367" s="424"/>
      <c r="F1367" s="424"/>
      <c r="G1367" s="424"/>
      <c r="H1367" s="424"/>
      <c r="I1367" s="424"/>
      <c r="J1367" s="424"/>
      <c r="K1367" s="424"/>
      <c r="L1367" s="424"/>
      <c r="M1367" s="424"/>
      <c r="N1367" s="424"/>
      <c r="O1367" s="424"/>
      <c r="P1367" s="438" t="s">
        <v>417</v>
      </c>
      <c r="Q1367" s="435" t="n">
        <v>25</v>
      </c>
      <c r="R1367" s="434" t="s">
        <v>487</v>
      </c>
      <c r="S1367" s="424"/>
      <c r="T1367" s="434" t="s">
        <v>488</v>
      </c>
      <c r="U1367" s="434" t="s">
        <v>489</v>
      </c>
      <c r="V1367" s="436" t="n">
        <f aca="false">AY1372</f>
        <v>0</v>
      </c>
    </row>
    <row r="1368" customFormat="false" ht="13.5" hidden="false" customHeight="false" outlineLevel="0" collapsed="false">
      <c r="A1368" s="424"/>
      <c r="B1368" s="424"/>
      <c r="C1368" s="424"/>
      <c r="D1368" s="424"/>
      <c r="E1368" s="424"/>
      <c r="F1368" s="424"/>
      <c r="G1368" s="424"/>
      <c r="H1368" s="424"/>
      <c r="I1368" s="424"/>
      <c r="J1368" s="424"/>
      <c r="K1368" s="424"/>
      <c r="L1368" s="424"/>
      <c r="M1368" s="424"/>
      <c r="N1368" s="424"/>
      <c r="O1368" s="424"/>
      <c r="P1368" s="438" t="s">
        <v>417</v>
      </c>
      <c r="Q1368" s="435" t="n">
        <v>26</v>
      </c>
      <c r="R1368" s="434" t="s">
        <v>490</v>
      </c>
      <c r="S1368" s="424"/>
      <c r="T1368" s="434" t="s">
        <v>491</v>
      </c>
      <c r="U1368" s="434" t="s">
        <v>492</v>
      </c>
      <c r="V1368" s="436" t="n">
        <f aca="false">AY1373</f>
        <v>0</v>
      </c>
    </row>
    <row r="1369" customFormat="false" ht="13.5" hidden="false" customHeight="false" outlineLevel="0" collapsed="false">
      <c r="A1369" s="424"/>
      <c r="B1369" s="424"/>
      <c r="C1369" s="424"/>
      <c r="D1369" s="424"/>
      <c r="E1369" s="424"/>
      <c r="F1369" s="424"/>
      <c r="G1369" s="424"/>
      <c r="H1369" s="424"/>
      <c r="I1369" s="424"/>
      <c r="J1369" s="424"/>
      <c r="K1369" s="424"/>
      <c r="L1369" s="424"/>
      <c r="M1369" s="424"/>
      <c r="N1369" s="424"/>
      <c r="O1369" s="424"/>
      <c r="P1369" s="424"/>
      <c r="Q1369" s="435" t="n">
        <v>27</v>
      </c>
      <c r="R1369" s="434" t="s">
        <v>493</v>
      </c>
      <c r="S1369" s="424"/>
      <c r="T1369" s="434" t="s">
        <v>494</v>
      </c>
      <c r="U1369" s="434" t="s">
        <v>495</v>
      </c>
      <c r="V1369" s="436" t="n">
        <f aca="false">AY1374</f>
        <v>0</v>
      </c>
    </row>
    <row r="1370" customFormat="false" ht="13.5" hidden="false" customHeight="false" outlineLevel="0" collapsed="false">
      <c r="A1370" s="424"/>
      <c r="B1370" s="424"/>
      <c r="C1370" s="424"/>
      <c r="D1370" s="424"/>
      <c r="E1370" s="424"/>
      <c r="F1370" s="424"/>
      <c r="G1370" s="424"/>
      <c r="H1370" s="424"/>
      <c r="I1370" s="424"/>
      <c r="J1370" s="424"/>
      <c r="K1370" s="424"/>
      <c r="L1370" s="424"/>
      <c r="M1370" s="424"/>
      <c r="N1370" s="424"/>
      <c r="O1370" s="424"/>
      <c r="P1370" s="424"/>
      <c r="Q1370" s="435" t="n">
        <v>28</v>
      </c>
      <c r="R1370" s="434" t="s">
        <v>496</v>
      </c>
      <c r="S1370" s="424"/>
      <c r="T1370" s="434" t="s">
        <v>497</v>
      </c>
      <c r="U1370" s="434" t="s">
        <v>498</v>
      </c>
      <c r="V1370" s="436" t="n">
        <f aca="false">AY1375</f>
        <v>0</v>
      </c>
    </row>
    <row r="1371" customFormat="false" ht="13.5" hidden="false" customHeight="false" outlineLevel="0" collapsed="false">
      <c r="A1371" s="424"/>
      <c r="B1371" s="424"/>
      <c r="C1371" s="424"/>
      <c r="D1371" s="424"/>
      <c r="E1371" s="424"/>
      <c r="F1371" s="424"/>
      <c r="G1371" s="424"/>
      <c r="H1371" s="424"/>
      <c r="I1371" s="424"/>
      <c r="J1371" s="424"/>
      <c r="K1371" s="424"/>
      <c r="L1371" s="424"/>
      <c r="M1371" s="424"/>
      <c r="N1371" s="424"/>
      <c r="O1371" s="424"/>
      <c r="P1371" s="424"/>
      <c r="Q1371" s="435" t="n">
        <v>29</v>
      </c>
      <c r="R1371" s="434" t="s">
        <v>499</v>
      </c>
      <c r="S1371" s="424"/>
      <c r="T1371" s="434" t="s">
        <v>500</v>
      </c>
      <c r="U1371" s="434" t="s">
        <v>501</v>
      </c>
      <c r="V1371" s="436" t="n">
        <f aca="false">AY1376</f>
        <v>0</v>
      </c>
    </row>
    <row r="1372" customFormat="false" ht="13.5" hidden="false" customHeight="false" outlineLevel="0" collapsed="false">
      <c r="A1372" s="424"/>
      <c r="B1372" s="424"/>
      <c r="C1372" s="424"/>
      <c r="D1372" s="424"/>
      <c r="E1372" s="424"/>
      <c r="F1372" s="424"/>
      <c r="G1372" s="424"/>
      <c r="H1372" s="424"/>
      <c r="I1372" s="424"/>
      <c r="J1372" s="424"/>
      <c r="K1372" s="424"/>
      <c r="L1372" s="424"/>
      <c r="M1372" s="424"/>
      <c r="N1372" s="424"/>
      <c r="O1372" s="424"/>
      <c r="P1372" s="424"/>
      <c r="Q1372" s="435" t="n">
        <v>30</v>
      </c>
      <c r="R1372" s="434" t="s">
        <v>502</v>
      </c>
      <c r="S1372" s="424"/>
      <c r="T1372" s="434" t="s">
        <v>503</v>
      </c>
      <c r="U1372" s="434" t="s">
        <v>504</v>
      </c>
      <c r="V1372" s="436" t="n">
        <f aca="false">AY1377</f>
        <v>0</v>
      </c>
    </row>
    <row r="1373" customFormat="false" ht="13.5" hidden="false" customHeight="false" outlineLevel="0" collapsed="false">
      <c r="A1373" s="424"/>
      <c r="B1373" s="424"/>
      <c r="C1373" s="424"/>
      <c r="D1373" s="424"/>
      <c r="E1373" s="424"/>
      <c r="F1373" s="424"/>
      <c r="G1373" s="424"/>
      <c r="H1373" s="424"/>
      <c r="I1373" s="424"/>
      <c r="J1373" s="424"/>
      <c r="K1373" s="424"/>
      <c r="L1373" s="424"/>
      <c r="M1373" s="424"/>
      <c r="N1373" s="424"/>
      <c r="O1373" s="424"/>
      <c r="P1373" s="424"/>
      <c r="Q1373" s="435" t="n">
        <v>31</v>
      </c>
      <c r="R1373" s="434" t="s">
        <v>505</v>
      </c>
      <c r="S1373" s="424"/>
      <c r="T1373" s="434" t="s">
        <v>506</v>
      </c>
      <c r="U1373" s="434" t="s">
        <v>507</v>
      </c>
      <c r="V1373" s="436" t="n">
        <f aca="false">AY1378</f>
        <v>0</v>
      </c>
    </row>
    <row r="1374" customFormat="false" ht="13.5" hidden="false" customHeight="false" outlineLevel="0" collapsed="false">
      <c r="A1374" s="424"/>
      <c r="B1374" s="424"/>
      <c r="C1374" s="424"/>
      <c r="D1374" s="424"/>
      <c r="E1374" s="424"/>
      <c r="F1374" s="424"/>
      <c r="G1374" s="424"/>
      <c r="H1374" s="424"/>
      <c r="I1374" s="424"/>
      <c r="J1374" s="424"/>
      <c r="K1374" s="424"/>
      <c r="L1374" s="424"/>
      <c r="M1374" s="424"/>
      <c r="N1374" s="424"/>
      <c r="O1374" s="424"/>
      <c r="P1374" s="424"/>
      <c r="Q1374" s="435" t="n">
        <v>32</v>
      </c>
      <c r="R1374" s="434" t="s">
        <v>508</v>
      </c>
      <c r="S1374" s="424"/>
      <c r="T1374" s="434" t="s">
        <v>509</v>
      </c>
      <c r="U1374" s="434" t="s">
        <v>510</v>
      </c>
      <c r="V1374" s="436" t="n">
        <f aca="false">AY1379</f>
        <v>0</v>
      </c>
    </row>
    <row r="1375" customFormat="false" ht="13.5" hidden="false" customHeight="false" outlineLevel="0" collapsed="false">
      <c r="A1375" s="440"/>
      <c r="B1375" s="435" t="e">
        <f aca="false">G1360</f>
        <v>#VALUE!</v>
      </c>
      <c r="C1375" s="424"/>
      <c r="D1375" s="424"/>
      <c r="E1375" s="424"/>
      <c r="F1375" s="424"/>
      <c r="G1375" s="424"/>
      <c r="H1375" s="424"/>
      <c r="I1375" s="424"/>
      <c r="J1375" s="424"/>
      <c r="K1375" s="424"/>
      <c r="L1375" s="424"/>
      <c r="M1375" s="424"/>
      <c r="N1375" s="424"/>
      <c r="O1375" s="424"/>
      <c r="P1375" s="424"/>
      <c r="Q1375" s="435" t="n">
        <v>33</v>
      </c>
      <c r="R1375" s="434" t="s">
        <v>511</v>
      </c>
      <c r="S1375" s="424"/>
      <c r="T1375" s="434" t="s">
        <v>512</v>
      </c>
      <c r="U1375" s="434" t="s">
        <v>513</v>
      </c>
      <c r="V1375" s="436" t="n">
        <f aca="false">AY1380</f>
        <v>0</v>
      </c>
    </row>
    <row r="1376" customFormat="false" ht="13.5" hidden="false" customHeight="false" outlineLevel="0" collapsed="false">
      <c r="A1376" s="440"/>
      <c r="B1376" s="435" t="str">
        <f aca="false">H1360</f>
        <v/>
      </c>
      <c r="C1376" s="424"/>
      <c r="D1376" s="424"/>
      <c r="E1376" s="424"/>
      <c r="F1376" s="424"/>
      <c r="G1376" s="424"/>
      <c r="H1376" s="424"/>
      <c r="I1376" s="424"/>
      <c r="J1376" s="424"/>
      <c r="K1376" s="424"/>
      <c r="L1376" s="424"/>
      <c r="M1376" s="424"/>
      <c r="N1376" s="424"/>
      <c r="O1376" s="424"/>
      <c r="P1376" s="424"/>
      <c r="Q1376" s="435" t="n">
        <v>34</v>
      </c>
      <c r="R1376" s="434" t="s">
        <v>514</v>
      </c>
      <c r="S1376" s="424"/>
      <c r="T1376" s="434" t="s">
        <v>515</v>
      </c>
      <c r="U1376" s="434" t="s">
        <v>516</v>
      </c>
      <c r="V1376" s="436" t="n">
        <f aca="false">AY1381</f>
        <v>0</v>
      </c>
    </row>
    <row r="1377" customFormat="false" ht="13.5" hidden="false" customHeight="false" outlineLevel="0" collapsed="false">
      <c r="A1377" s="440"/>
      <c r="B1377" s="435" t="str">
        <f aca="false">I1360</f>
        <v/>
      </c>
      <c r="C1377" s="424"/>
      <c r="D1377" s="424"/>
      <c r="E1377" s="424"/>
      <c r="F1377" s="424"/>
      <c r="G1377" s="424"/>
      <c r="H1377" s="424"/>
      <c r="I1377" s="424"/>
      <c r="J1377" s="424"/>
      <c r="K1377" s="424"/>
      <c r="L1377" s="424"/>
      <c r="M1377" s="424"/>
      <c r="N1377" s="424"/>
      <c r="O1377" s="424"/>
      <c r="P1377" s="424"/>
      <c r="Q1377" s="435" t="n">
        <v>35</v>
      </c>
      <c r="R1377" s="434" t="s">
        <v>517</v>
      </c>
      <c r="S1377" s="424"/>
      <c r="T1377" s="434" t="s">
        <v>518</v>
      </c>
      <c r="U1377" s="434" t="s">
        <v>519</v>
      </c>
      <c r="V1377" s="436" t="n">
        <f aca="false">AY1382</f>
        <v>0</v>
      </c>
    </row>
    <row r="1378" customFormat="false" ht="13.5" hidden="false" customHeight="false" outlineLevel="0" collapsed="false">
      <c r="A1378" s="440"/>
      <c r="B1378" s="435" t="str">
        <f aca="false">J1360</f>
        <v/>
      </c>
      <c r="C1378" s="424"/>
      <c r="D1378" s="424"/>
      <c r="E1378" s="424"/>
      <c r="F1378" s="424"/>
      <c r="G1378" s="424"/>
      <c r="H1378" s="424"/>
      <c r="I1378" s="424"/>
      <c r="J1378" s="424"/>
      <c r="K1378" s="424"/>
      <c r="L1378" s="424"/>
      <c r="M1378" s="424"/>
      <c r="N1378" s="424"/>
      <c r="O1378" s="424"/>
      <c r="P1378" s="424"/>
      <c r="Q1378" s="435" t="n">
        <v>36</v>
      </c>
      <c r="R1378" s="434" t="s">
        <v>520</v>
      </c>
      <c r="S1378" s="424"/>
      <c r="T1378" s="434" t="s">
        <v>521</v>
      </c>
      <c r="U1378" s="434" t="s">
        <v>522</v>
      </c>
      <c r="V1378" s="436" t="n">
        <f aca="false">AY1383</f>
        <v>0</v>
      </c>
    </row>
    <row r="1379" customFormat="false" ht="13.5" hidden="false" customHeight="false" outlineLevel="0" collapsed="false">
      <c r="A1379" s="440"/>
      <c r="B1379" s="440" t="str">
        <f aca="false">K1360</f>
        <v/>
      </c>
      <c r="C1379" s="424"/>
      <c r="D1379" s="424"/>
      <c r="E1379" s="424"/>
      <c r="F1379" s="424"/>
      <c r="G1379" s="424"/>
      <c r="H1379" s="424"/>
      <c r="I1379" s="424"/>
      <c r="J1379" s="424"/>
      <c r="K1379" s="424"/>
      <c r="L1379" s="424"/>
      <c r="M1379" s="424"/>
      <c r="N1379" s="424"/>
      <c r="O1379" s="424"/>
      <c r="P1379" s="424"/>
      <c r="Q1379" s="435" t="n">
        <v>37</v>
      </c>
      <c r="R1379" s="434" t="s">
        <v>523</v>
      </c>
      <c r="S1379" s="424"/>
      <c r="T1379" s="434" t="s">
        <v>524</v>
      </c>
      <c r="U1379" s="434" t="s">
        <v>525</v>
      </c>
      <c r="V1379" s="436" t="n">
        <f aca="false">AY1384</f>
        <v>0</v>
      </c>
    </row>
    <row r="1380" customFormat="false" ht="13.5" hidden="false" customHeight="false" outlineLevel="0" collapsed="false">
      <c r="A1380" s="440"/>
      <c r="B1380" s="435" t="str">
        <f aca="false">L1360</f>
        <v> Dua belas</v>
      </c>
      <c r="C1380" s="424"/>
      <c r="D1380" s="424"/>
      <c r="E1380" s="424"/>
      <c r="F1380" s="424"/>
      <c r="G1380" s="424"/>
      <c r="H1380" s="424"/>
      <c r="I1380" s="424"/>
      <c r="J1380" s="424"/>
      <c r="K1380" s="424"/>
      <c r="L1380" s="424"/>
      <c r="M1380" s="424"/>
      <c r="N1380" s="424"/>
      <c r="O1380" s="424"/>
      <c r="P1380" s="424"/>
      <c r="Q1380" s="435" t="n">
        <v>38</v>
      </c>
      <c r="R1380" s="434" t="s">
        <v>526</v>
      </c>
      <c r="S1380" s="424"/>
      <c r="T1380" s="434" t="s">
        <v>527</v>
      </c>
      <c r="U1380" s="434" t="s">
        <v>528</v>
      </c>
      <c r="V1380" s="436" t="n">
        <f aca="false">AY1385</f>
        <v>0</v>
      </c>
    </row>
    <row r="1381" customFormat="false" ht="13.5" hidden="false" customHeight="false" outlineLevel="0" collapsed="false">
      <c r="A1381" s="440"/>
      <c r="B1381" s="435" t="str">
        <f aca="false">M1360</f>
        <v> Rupiah </v>
      </c>
      <c r="C1381" s="424"/>
      <c r="D1381" s="424"/>
      <c r="E1381" s="424"/>
      <c r="F1381" s="424"/>
      <c r="G1381" s="424"/>
      <c r="H1381" s="424"/>
      <c r="I1381" s="424"/>
      <c r="J1381" s="424"/>
      <c r="K1381" s="424"/>
      <c r="L1381" s="424"/>
      <c r="M1381" s="424"/>
      <c r="N1381" s="424"/>
      <c r="O1381" s="424"/>
      <c r="P1381" s="424"/>
      <c r="Q1381" s="435" t="n">
        <v>39</v>
      </c>
      <c r="R1381" s="434" t="s">
        <v>529</v>
      </c>
      <c r="S1381" s="424"/>
      <c r="T1381" s="434" t="s">
        <v>530</v>
      </c>
      <c r="U1381" s="434" t="s">
        <v>531</v>
      </c>
      <c r="V1381" s="436" t="n">
        <f aca="false">AY1386</f>
        <v>0</v>
      </c>
    </row>
    <row r="1382" customFormat="false" ht="13.5" hidden="false" customHeight="false" outlineLevel="0" collapsed="false">
      <c r="A1382" s="436" t="e">
        <f aca="false">+#REF!</f>
        <v>#REF!</v>
      </c>
      <c r="B1382" s="435" t="str">
        <f aca="false">O1360</f>
        <v/>
      </c>
      <c r="C1382" s="424"/>
      <c r="D1382" s="424"/>
      <c r="E1382" s="424"/>
      <c r="F1382" s="424"/>
      <c r="G1382" s="424"/>
      <c r="H1382" s="424"/>
      <c r="I1382" s="424"/>
      <c r="J1382" s="424"/>
      <c r="K1382" s="424"/>
      <c r="L1382" s="424"/>
      <c r="M1382" s="424"/>
      <c r="N1382" s="424"/>
      <c r="O1382" s="424"/>
      <c r="P1382" s="424"/>
      <c r="Q1382" s="435" t="n">
        <v>40</v>
      </c>
      <c r="R1382" s="434" t="s">
        <v>532</v>
      </c>
      <c r="S1382" s="424"/>
      <c r="T1382" s="434" t="s">
        <v>533</v>
      </c>
      <c r="U1382" s="434" t="s">
        <v>534</v>
      </c>
      <c r="V1382" s="436" t="n">
        <f aca="false">AY1387</f>
        <v>0</v>
      </c>
    </row>
    <row r="1383" customFormat="false" ht="13.5" hidden="false" customHeight="false" outlineLevel="0" collapsed="false">
      <c r="A1383" s="440"/>
      <c r="B1383" s="435" t="str">
        <f aca="false">IF(N1358&gt;0,"-","====")</f>
        <v>====</v>
      </c>
      <c r="C1383" s="424"/>
      <c r="D1383" s="424"/>
      <c r="E1383" s="424"/>
      <c r="F1383" s="424"/>
      <c r="G1383" s="424"/>
      <c r="H1383" s="424"/>
      <c r="I1383" s="424"/>
      <c r="J1383" s="424"/>
      <c r="K1383" s="424"/>
      <c r="L1383" s="424"/>
      <c r="M1383" s="424"/>
      <c r="N1383" s="424"/>
      <c r="O1383" s="424"/>
      <c r="P1383" s="424"/>
      <c r="Q1383" s="435" t="n">
        <v>41</v>
      </c>
      <c r="R1383" s="434" t="s">
        <v>535</v>
      </c>
      <c r="S1383" s="424"/>
      <c r="T1383" s="434" t="s">
        <v>536</v>
      </c>
      <c r="U1383" s="434" t="s">
        <v>537</v>
      </c>
      <c r="V1383" s="436" t="n">
        <f aca="false">AY1388</f>
        <v>0</v>
      </c>
    </row>
    <row r="1384" customFormat="false" ht="13.5" hidden="false" customHeight="false" outlineLevel="0" collapsed="false">
      <c r="A1384" s="435" t="e">
        <f aca="false">B1360&amp;C1360&amp;D1360&amp;E1360&amp;F1360&amp;G1360&amp;H1360&amp;I1360&amp;J1360&amp;K1360&amp;L1360&amp;M1360&amp;O1360</f>
        <v>#N/A</v>
      </c>
      <c r="B1384" s="424"/>
      <c r="C1384" s="424"/>
      <c r="D1384" s="424"/>
      <c r="E1384" s="424"/>
      <c r="F1384" s="424"/>
      <c r="G1384" s="424"/>
      <c r="H1384" s="424"/>
      <c r="I1384" s="424"/>
      <c r="J1384" s="424"/>
      <c r="K1384" s="424"/>
      <c r="L1384" s="424"/>
      <c r="M1384" s="424"/>
      <c r="N1384" s="424"/>
      <c r="O1384" s="424"/>
      <c r="P1384" s="424"/>
      <c r="Q1384" s="435" t="n">
        <v>42</v>
      </c>
      <c r="R1384" s="434" t="s">
        <v>538</v>
      </c>
      <c r="S1384" s="424"/>
      <c r="T1384" s="434" t="s">
        <v>539</v>
      </c>
      <c r="U1384" s="434" t="s">
        <v>540</v>
      </c>
      <c r="V1384" s="436" t="n">
        <f aca="false">AY1389</f>
        <v>0</v>
      </c>
    </row>
    <row r="1385" customFormat="false" ht="13.5" hidden="false" customHeight="false" outlineLevel="0" collapsed="false">
      <c r="A1385" s="440" t="str">
        <f aca="false">I1360&amp;J1360&amp;K1360&amp;L1360&amp;M1360&amp;O1360</f>
        <v> Dua belas Rupiah </v>
      </c>
      <c r="B1385" s="424"/>
      <c r="C1385" s="424"/>
      <c r="D1385" s="424"/>
      <c r="E1385" s="424"/>
      <c r="F1385" s="424"/>
      <c r="G1385" s="424"/>
      <c r="H1385" s="424"/>
      <c r="I1385" s="424"/>
      <c r="J1385" s="424"/>
      <c r="K1385" s="424"/>
      <c r="L1385" s="424"/>
      <c r="M1385" s="424"/>
      <c r="N1385" s="424"/>
      <c r="O1385" s="424"/>
      <c r="P1385" s="424"/>
      <c r="Q1385" s="435" t="n">
        <v>43</v>
      </c>
      <c r="R1385" s="434" t="s">
        <v>541</v>
      </c>
      <c r="S1385" s="424"/>
      <c r="T1385" s="434" t="s">
        <v>542</v>
      </c>
      <c r="U1385" s="434" t="s">
        <v>543</v>
      </c>
      <c r="V1385" s="436" t="n">
        <f aca="false">AY1390</f>
        <v>0</v>
      </c>
    </row>
    <row r="1386" customFormat="false" ht="13.5" hidden="false" customHeight="false" outlineLevel="0" collapsed="false">
      <c r="A1386" s="440"/>
      <c r="B1386" s="424"/>
      <c r="C1386" s="424"/>
      <c r="D1386" s="424"/>
      <c r="E1386" s="424"/>
      <c r="F1386" s="424"/>
      <c r="G1386" s="424"/>
      <c r="H1386" s="424"/>
      <c r="I1386" s="424"/>
      <c r="J1386" s="424"/>
      <c r="K1386" s="424"/>
      <c r="L1386" s="424"/>
      <c r="M1386" s="424"/>
      <c r="N1386" s="424"/>
      <c r="O1386" s="424"/>
      <c r="P1386" s="424"/>
      <c r="Q1386" s="435" t="n">
        <v>44</v>
      </c>
      <c r="R1386" s="434" t="s">
        <v>544</v>
      </c>
      <c r="S1386" s="424"/>
      <c r="T1386" s="434" t="s">
        <v>545</v>
      </c>
      <c r="U1386" s="434" t="s">
        <v>546</v>
      </c>
      <c r="V1386" s="436" t="n">
        <f aca="false">AY1391</f>
        <v>0</v>
      </c>
    </row>
    <row r="1387" customFormat="false" ht="13.5" hidden="false" customHeight="false" outlineLevel="0" collapsed="false">
      <c r="A1387" s="440"/>
      <c r="B1387" s="424"/>
      <c r="C1387" s="424"/>
      <c r="D1387" s="424"/>
      <c r="E1387" s="424"/>
      <c r="F1387" s="424"/>
      <c r="G1387" s="424"/>
      <c r="H1387" s="424"/>
      <c r="I1387" s="424"/>
      <c r="J1387" s="424"/>
      <c r="K1387" s="424"/>
      <c r="L1387" s="424"/>
      <c r="M1387" s="424"/>
      <c r="N1387" s="424"/>
      <c r="O1387" s="424"/>
      <c r="P1387" s="424"/>
      <c r="Q1387" s="435" t="n">
        <v>45</v>
      </c>
      <c r="R1387" s="434" t="s">
        <v>547</v>
      </c>
      <c r="S1387" s="424"/>
      <c r="T1387" s="434" t="s">
        <v>548</v>
      </c>
      <c r="U1387" s="434" t="s">
        <v>549</v>
      </c>
      <c r="V1387" s="436" t="n">
        <f aca="false">AY1392</f>
        <v>0</v>
      </c>
    </row>
    <row r="1388" customFormat="false" ht="13.5" hidden="false" customHeight="false" outlineLevel="0" collapsed="false">
      <c r="A1388" s="440"/>
      <c r="B1388" s="424"/>
      <c r="C1388" s="424"/>
      <c r="D1388" s="424"/>
      <c r="E1388" s="424"/>
      <c r="F1388" s="424"/>
      <c r="G1388" s="424"/>
      <c r="H1388" s="424"/>
      <c r="I1388" s="424"/>
      <c r="J1388" s="424"/>
      <c r="K1388" s="424"/>
      <c r="L1388" s="424"/>
      <c r="M1388" s="424"/>
      <c r="N1388" s="424"/>
      <c r="O1388" s="424"/>
      <c r="P1388" s="424"/>
      <c r="Q1388" s="435" t="n">
        <v>46</v>
      </c>
      <c r="R1388" s="434" t="s">
        <v>550</v>
      </c>
      <c r="S1388" s="424"/>
      <c r="T1388" s="434" t="s">
        <v>551</v>
      </c>
      <c r="U1388" s="434" t="s">
        <v>552</v>
      </c>
      <c r="V1388" s="436" t="n">
        <f aca="false">AY1393</f>
        <v>0</v>
      </c>
    </row>
    <row r="1389" customFormat="false" ht="13.5" hidden="false" customHeight="false" outlineLevel="0" collapsed="false">
      <c r="A1389" s="440"/>
      <c r="B1389" s="424"/>
      <c r="C1389" s="424"/>
      <c r="D1389" s="424"/>
      <c r="E1389" s="424"/>
      <c r="F1389" s="424"/>
      <c r="G1389" s="424"/>
      <c r="H1389" s="424"/>
      <c r="I1389" s="424"/>
      <c r="J1389" s="424"/>
      <c r="K1389" s="424"/>
      <c r="L1389" s="424"/>
      <c r="M1389" s="424"/>
      <c r="N1389" s="424"/>
      <c r="O1389" s="424"/>
      <c r="P1389" s="424"/>
      <c r="Q1389" s="435" t="n">
        <v>47</v>
      </c>
      <c r="R1389" s="434" t="s">
        <v>553</v>
      </c>
      <c r="S1389" s="424"/>
      <c r="T1389" s="434" t="s">
        <v>554</v>
      </c>
      <c r="U1389" s="434" t="s">
        <v>555</v>
      </c>
      <c r="V1389" s="436" t="n">
        <f aca="false">AY1394</f>
        <v>0</v>
      </c>
    </row>
    <row r="1390" customFormat="false" ht="13.5" hidden="false" customHeight="false" outlineLevel="0" collapsed="false">
      <c r="A1390" s="424"/>
      <c r="B1390" s="424"/>
      <c r="C1390" s="424"/>
      <c r="D1390" s="424"/>
      <c r="E1390" s="424"/>
      <c r="F1390" s="424"/>
      <c r="G1390" s="424"/>
      <c r="H1390" s="424"/>
      <c r="I1390" s="424"/>
      <c r="J1390" s="424"/>
      <c r="K1390" s="424"/>
      <c r="L1390" s="424"/>
      <c r="M1390" s="424"/>
      <c r="N1390" s="424"/>
      <c r="O1390" s="424"/>
      <c r="P1390" s="424"/>
      <c r="Q1390" s="435" t="n">
        <v>48</v>
      </c>
      <c r="R1390" s="434" t="s">
        <v>556</v>
      </c>
      <c r="S1390" s="424"/>
      <c r="T1390" s="434" t="s">
        <v>557</v>
      </c>
      <c r="U1390" s="434" t="s">
        <v>558</v>
      </c>
      <c r="V1390" s="436" t="n">
        <f aca="false">AY1395</f>
        <v>0</v>
      </c>
    </row>
    <row r="1391" customFormat="false" ht="13.5" hidden="false" customHeight="false" outlineLevel="0" collapsed="false">
      <c r="A1391" s="424"/>
      <c r="B1391" s="424"/>
      <c r="C1391" s="424"/>
      <c r="D1391" s="424"/>
      <c r="E1391" s="424"/>
      <c r="F1391" s="424"/>
      <c r="G1391" s="424"/>
      <c r="H1391" s="424"/>
      <c r="I1391" s="424"/>
      <c r="J1391" s="424"/>
      <c r="K1391" s="424"/>
      <c r="L1391" s="424"/>
      <c r="M1391" s="424"/>
      <c r="N1391" s="424"/>
      <c r="O1391" s="424"/>
      <c r="P1391" s="424"/>
      <c r="Q1391" s="435" t="n">
        <v>49</v>
      </c>
      <c r="R1391" s="434" t="s">
        <v>559</v>
      </c>
      <c r="S1391" s="424"/>
      <c r="T1391" s="434" t="s">
        <v>560</v>
      </c>
      <c r="U1391" s="434" t="s">
        <v>561</v>
      </c>
      <c r="V1391" s="436" t="n">
        <f aca="false">AY1396</f>
        <v>0</v>
      </c>
    </row>
    <row r="1392" customFormat="false" ht="13.5" hidden="false" customHeight="false" outlineLevel="0" collapsed="false">
      <c r="A1392" s="424"/>
      <c r="B1392" s="424"/>
      <c r="C1392" s="424"/>
      <c r="D1392" s="424"/>
      <c r="E1392" s="424"/>
      <c r="F1392" s="424"/>
      <c r="G1392" s="424"/>
      <c r="H1392" s="424"/>
      <c r="I1392" s="424"/>
      <c r="J1392" s="424"/>
      <c r="K1392" s="424"/>
      <c r="L1392" s="424"/>
      <c r="M1392" s="424"/>
      <c r="N1392" s="424"/>
      <c r="O1392" s="424"/>
      <c r="P1392" s="424"/>
      <c r="Q1392" s="435" t="n">
        <v>50</v>
      </c>
      <c r="R1392" s="434" t="s">
        <v>562</v>
      </c>
      <c r="S1392" s="424"/>
      <c r="T1392" s="434" t="s">
        <v>563</v>
      </c>
      <c r="U1392" s="434" t="s">
        <v>564</v>
      </c>
      <c r="V1392" s="436" t="n">
        <f aca="false">AY1397</f>
        <v>0</v>
      </c>
    </row>
    <row r="1393" customFormat="false" ht="13.5" hidden="false" customHeight="false" outlineLevel="0" collapsed="false">
      <c r="A1393" s="424"/>
      <c r="B1393" s="424"/>
      <c r="C1393" s="424"/>
      <c r="D1393" s="424"/>
      <c r="E1393" s="424"/>
      <c r="F1393" s="424"/>
      <c r="G1393" s="424"/>
      <c r="H1393" s="424"/>
      <c r="I1393" s="424"/>
      <c r="J1393" s="424"/>
      <c r="K1393" s="424"/>
      <c r="L1393" s="424"/>
      <c r="M1393" s="424"/>
      <c r="N1393" s="424"/>
      <c r="O1393" s="424"/>
      <c r="P1393" s="424"/>
      <c r="Q1393" s="435" t="n">
        <v>51</v>
      </c>
      <c r="R1393" s="434" t="s">
        <v>565</v>
      </c>
      <c r="S1393" s="424"/>
      <c r="T1393" s="434" t="s">
        <v>566</v>
      </c>
      <c r="U1393" s="434" t="s">
        <v>567</v>
      </c>
      <c r="V1393" s="436" t="n">
        <f aca="false">AY1398</f>
        <v>0</v>
      </c>
    </row>
    <row r="1394" customFormat="false" ht="13.5" hidden="false" customHeight="false" outlineLevel="0" collapsed="false">
      <c r="A1394" s="424"/>
      <c r="B1394" s="424"/>
      <c r="C1394" s="424"/>
      <c r="D1394" s="424"/>
      <c r="E1394" s="424"/>
      <c r="F1394" s="424"/>
      <c r="G1394" s="424"/>
      <c r="H1394" s="424"/>
      <c r="I1394" s="424"/>
      <c r="J1394" s="424"/>
      <c r="K1394" s="424"/>
      <c r="L1394" s="424"/>
      <c r="M1394" s="424"/>
      <c r="N1394" s="424"/>
      <c r="O1394" s="424"/>
      <c r="P1394" s="424"/>
      <c r="Q1394" s="435" t="n">
        <v>52</v>
      </c>
      <c r="R1394" s="434" t="s">
        <v>568</v>
      </c>
      <c r="S1394" s="424"/>
      <c r="T1394" s="434" t="s">
        <v>569</v>
      </c>
      <c r="U1394" s="434" t="s">
        <v>570</v>
      </c>
      <c r="V1394" s="436" t="n">
        <f aca="false">AY1399</f>
        <v>0</v>
      </c>
    </row>
    <row r="1395" customFormat="false" ht="13.5" hidden="false" customHeight="false" outlineLevel="0" collapsed="false">
      <c r="A1395" s="424"/>
      <c r="B1395" s="424"/>
      <c r="C1395" s="424"/>
      <c r="D1395" s="424"/>
      <c r="E1395" s="424"/>
      <c r="F1395" s="424"/>
      <c r="G1395" s="424"/>
      <c r="H1395" s="424"/>
      <c r="I1395" s="424"/>
      <c r="J1395" s="424"/>
      <c r="K1395" s="424"/>
      <c r="L1395" s="424"/>
      <c r="M1395" s="424"/>
      <c r="N1395" s="424"/>
      <c r="O1395" s="424"/>
      <c r="P1395" s="424"/>
      <c r="Q1395" s="435" t="n">
        <v>53</v>
      </c>
      <c r="R1395" s="434" t="s">
        <v>571</v>
      </c>
      <c r="S1395" s="424"/>
      <c r="T1395" s="434" t="s">
        <v>572</v>
      </c>
      <c r="U1395" s="434" t="s">
        <v>573</v>
      </c>
      <c r="V1395" s="436" t="n">
        <f aca="false">AY1400</f>
        <v>0</v>
      </c>
    </row>
    <row r="1396" customFormat="false" ht="13.5" hidden="false" customHeight="false" outlineLevel="0" collapsed="false">
      <c r="A1396" s="424"/>
      <c r="B1396" s="424"/>
      <c r="C1396" s="424"/>
      <c r="D1396" s="424"/>
      <c r="E1396" s="424"/>
      <c r="F1396" s="424"/>
      <c r="G1396" s="424"/>
      <c r="H1396" s="424"/>
      <c r="I1396" s="424"/>
      <c r="J1396" s="424"/>
      <c r="K1396" s="424"/>
      <c r="L1396" s="424"/>
      <c r="M1396" s="424"/>
      <c r="N1396" s="424"/>
      <c r="O1396" s="424"/>
      <c r="P1396" s="424"/>
      <c r="Q1396" s="435" t="n">
        <v>54</v>
      </c>
      <c r="R1396" s="434" t="s">
        <v>574</v>
      </c>
      <c r="S1396" s="424"/>
      <c r="T1396" s="434" t="s">
        <v>575</v>
      </c>
      <c r="U1396" s="434" t="s">
        <v>576</v>
      </c>
      <c r="V1396" s="436" t="n">
        <f aca="false">AY1401</f>
        <v>0</v>
      </c>
    </row>
    <row r="1397" customFormat="false" ht="13.5" hidden="false" customHeight="false" outlineLevel="0" collapsed="false">
      <c r="A1397" s="424"/>
      <c r="B1397" s="424"/>
      <c r="C1397" s="424"/>
      <c r="D1397" s="424"/>
      <c r="E1397" s="424"/>
      <c r="F1397" s="424"/>
      <c r="G1397" s="424"/>
      <c r="H1397" s="424"/>
      <c r="I1397" s="424"/>
      <c r="J1397" s="424"/>
      <c r="K1397" s="424"/>
      <c r="L1397" s="424"/>
      <c r="M1397" s="424"/>
      <c r="N1397" s="424"/>
      <c r="O1397" s="424"/>
      <c r="P1397" s="424"/>
      <c r="Q1397" s="435" t="n">
        <v>55</v>
      </c>
      <c r="R1397" s="434" t="s">
        <v>577</v>
      </c>
      <c r="S1397" s="424"/>
      <c r="T1397" s="434" t="s">
        <v>578</v>
      </c>
      <c r="U1397" s="434" t="s">
        <v>579</v>
      </c>
      <c r="V1397" s="436" t="n">
        <f aca="false">AY1402</f>
        <v>0</v>
      </c>
    </row>
    <row r="1398" customFormat="false" ht="13.5" hidden="false" customHeight="false" outlineLevel="0" collapsed="false">
      <c r="A1398" s="424"/>
      <c r="B1398" s="424"/>
      <c r="C1398" s="424"/>
      <c r="D1398" s="424"/>
      <c r="E1398" s="424"/>
      <c r="F1398" s="424"/>
      <c r="G1398" s="424"/>
      <c r="H1398" s="424"/>
      <c r="I1398" s="424"/>
      <c r="J1398" s="424"/>
      <c r="K1398" s="424"/>
      <c r="L1398" s="424"/>
      <c r="M1398" s="424"/>
      <c r="N1398" s="424"/>
      <c r="O1398" s="424"/>
      <c r="P1398" s="424"/>
      <c r="Q1398" s="435" t="n">
        <v>56</v>
      </c>
      <c r="R1398" s="434" t="s">
        <v>580</v>
      </c>
      <c r="S1398" s="424"/>
      <c r="T1398" s="434" t="s">
        <v>581</v>
      </c>
      <c r="U1398" s="434" t="s">
        <v>582</v>
      </c>
      <c r="V1398" s="436" t="n">
        <f aca="false">AY1403</f>
        <v>0</v>
      </c>
    </row>
    <row r="1399" customFormat="false" ht="13.5" hidden="false" customHeight="false" outlineLevel="0" collapsed="false">
      <c r="A1399" s="424"/>
      <c r="B1399" s="424"/>
      <c r="C1399" s="424"/>
      <c r="D1399" s="424"/>
      <c r="E1399" s="424"/>
      <c r="F1399" s="424"/>
      <c r="G1399" s="424"/>
      <c r="H1399" s="424"/>
      <c r="I1399" s="424"/>
      <c r="J1399" s="424"/>
      <c r="K1399" s="424"/>
      <c r="L1399" s="424"/>
      <c r="M1399" s="424"/>
      <c r="N1399" s="424"/>
      <c r="O1399" s="424"/>
      <c r="P1399" s="424"/>
      <c r="Q1399" s="435" t="n">
        <v>57</v>
      </c>
      <c r="R1399" s="434" t="s">
        <v>583</v>
      </c>
      <c r="S1399" s="424"/>
      <c r="T1399" s="434" t="s">
        <v>584</v>
      </c>
      <c r="U1399" s="434" t="s">
        <v>585</v>
      </c>
      <c r="V1399" s="436" t="n">
        <f aca="false">AY1404</f>
        <v>0</v>
      </c>
    </row>
    <row r="1400" customFormat="false" ht="13.5" hidden="false" customHeight="false" outlineLevel="0" collapsed="false">
      <c r="A1400" s="424"/>
      <c r="B1400" s="424"/>
      <c r="C1400" s="424"/>
      <c r="D1400" s="424"/>
      <c r="E1400" s="424"/>
      <c r="F1400" s="424"/>
      <c r="G1400" s="424"/>
      <c r="H1400" s="424"/>
      <c r="I1400" s="424"/>
      <c r="J1400" s="424"/>
      <c r="K1400" s="424"/>
      <c r="L1400" s="424"/>
      <c r="M1400" s="424"/>
      <c r="N1400" s="424"/>
      <c r="O1400" s="424"/>
      <c r="P1400" s="424"/>
      <c r="Q1400" s="435" t="n">
        <v>58</v>
      </c>
      <c r="R1400" s="434" t="s">
        <v>586</v>
      </c>
      <c r="S1400" s="424"/>
      <c r="T1400" s="434" t="s">
        <v>587</v>
      </c>
      <c r="U1400" s="434" t="s">
        <v>588</v>
      </c>
      <c r="V1400" s="436" t="n">
        <f aca="false">AY1405</f>
        <v>0</v>
      </c>
    </row>
    <row r="1401" customFormat="false" ht="13.5" hidden="false" customHeight="false" outlineLevel="0" collapsed="false">
      <c r="A1401" s="424"/>
      <c r="B1401" s="424"/>
      <c r="C1401" s="424"/>
      <c r="D1401" s="424"/>
      <c r="E1401" s="424"/>
      <c r="F1401" s="424"/>
      <c r="G1401" s="424"/>
      <c r="H1401" s="424"/>
      <c r="I1401" s="424"/>
      <c r="J1401" s="424"/>
      <c r="K1401" s="424"/>
      <c r="L1401" s="424"/>
      <c r="M1401" s="424"/>
      <c r="N1401" s="424"/>
      <c r="O1401" s="424"/>
      <c r="P1401" s="424"/>
      <c r="Q1401" s="435" t="n">
        <v>59</v>
      </c>
      <c r="R1401" s="434" t="s">
        <v>589</v>
      </c>
      <c r="S1401" s="424"/>
      <c r="T1401" s="434" t="s">
        <v>590</v>
      </c>
      <c r="U1401" s="434" t="s">
        <v>591</v>
      </c>
      <c r="V1401" s="436" t="n">
        <f aca="false">AY1406</f>
        <v>0</v>
      </c>
    </row>
    <row r="1402" customFormat="false" ht="13.5" hidden="false" customHeight="false" outlineLevel="0" collapsed="false">
      <c r="A1402" s="424"/>
      <c r="B1402" s="424"/>
      <c r="C1402" s="424"/>
      <c r="D1402" s="424"/>
      <c r="E1402" s="424"/>
      <c r="F1402" s="424"/>
      <c r="G1402" s="424"/>
      <c r="H1402" s="424"/>
      <c r="I1402" s="424"/>
      <c r="J1402" s="424"/>
      <c r="K1402" s="424"/>
      <c r="L1402" s="424"/>
      <c r="M1402" s="424"/>
      <c r="N1402" s="424"/>
      <c r="O1402" s="424"/>
      <c r="P1402" s="424"/>
      <c r="Q1402" s="435" t="n">
        <v>60</v>
      </c>
      <c r="R1402" s="434" t="s">
        <v>592</v>
      </c>
      <c r="S1402" s="424"/>
      <c r="T1402" s="434" t="s">
        <v>593</v>
      </c>
      <c r="U1402" s="434" t="s">
        <v>594</v>
      </c>
      <c r="V1402" s="436" t="n">
        <f aca="false">AY1407</f>
        <v>0</v>
      </c>
    </row>
    <row r="1403" customFormat="false" ht="13.5" hidden="false" customHeight="false" outlineLevel="0" collapsed="false">
      <c r="A1403" s="424"/>
      <c r="B1403" s="424"/>
      <c r="C1403" s="424"/>
      <c r="D1403" s="424"/>
      <c r="E1403" s="424"/>
      <c r="F1403" s="424"/>
      <c r="G1403" s="424"/>
      <c r="H1403" s="424"/>
      <c r="I1403" s="424"/>
      <c r="J1403" s="424"/>
      <c r="K1403" s="424"/>
      <c r="L1403" s="424"/>
      <c r="M1403" s="424"/>
      <c r="N1403" s="424"/>
      <c r="O1403" s="424"/>
      <c r="P1403" s="424"/>
      <c r="Q1403" s="435" t="n">
        <v>61</v>
      </c>
      <c r="R1403" s="434" t="s">
        <v>595</v>
      </c>
      <c r="S1403" s="424"/>
      <c r="T1403" s="434" t="s">
        <v>596</v>
      </c>
      <c r="U1403" s="434" t="s">
        <v>597</v>
      </c>
      <c r="V1403" s="436" t="n">
        <f aca="false">AY1408</f>
        <v>0</v>
      </c>
    </row>
    <row r="1404" customFormat="false" ht="13.5" hidden="false" customHeight="false" outlineLevel="0" collapsed="false">
      <c r="A1404" s="424"/>
      <c r="B1404" s="424"/>
      <c r="C1404" s="424"/>
      <c r="D1404" s="424"/>
      <c r="E1404" s="424"/>
      <c r="F1404" s="424"/>
      <c r="G1404" s="424"/>
      <c r="H1404" s="424"/>
      <c r="I1404" s="424"/>
      <c r="J1404" s="424"/>
      <c r="K1404" s="424"/>
      <c r="L1404" s="424"/>
      <c r="M1404" s="424"/>
      <c r="N1404" s="424"/>
      <c r="O1404" s="424"/>
      <c r="P1404" s="424"/>
      <c r="Q1404" s="435" t="n">
        <v>62</v>
      </c>
      <c r="R1404" s="434" t="s">
        <v>598</v>
      </c>
      <c r="S1404" s="424"/>
      <c r="T1404" s="434" t="s">
        <v>599</v>
      </c>
      <c r="U1404" s="434" t="s">
        <v>600</v>
      </c>
      <c r="V1404" s="436" t="n">
        <f aca="false">AY1409</f>
        <v>0</v>
      </c>
    </row>
    <row r="1405" customFormat="false" ht="13.5" hidden="false" customHeight="false" outlineLevel="0" collapsed="false">
      <c r="A1405" s="424"/>
      <c r="B1405" s="424"/>
      <c r="C1405" s="424"/>
      <c r="D1405" s="424"/>
      <c r="E1405" s="424"/>
      <c r="F1405" s="424"/>
      <c r="G1405" s="424"/>
      <c r="H1405" s="424"/>
      <c r="I1405" s="424"/>
      <c r="J1405" s="424"/>
      <c r="K1405" s="424"/>
      <c r="L1405" s="424"/>
      <c r="M1405" s="424"/>
      <c r="N1405" s="424"/>
      <c r="O1405" s="424"/>
      <c r="P1405" s="424"/>
      <c r="Q1405" s="435" t="n">
        <v>63</v>
      </c>
      <c r="R1405" s="434" t="s">
        <v>601</v>
      </c>
      <c r="S1405" s="424"/>
      <c r="T1405" s="434" t="s">
        <v>602</v>
      </c>
      <c r="U1405" s="434" t="s">
        <v>603</v>
      </c>
      <c r="V1405" s="436" t="n">
        <f aca="false">AY1410</f>
        <v>0</v>
      </c>
    </row>
    <row r="1406" customFormat="false" ht="13.5" hidden="false" customHeight="false" outlineLevel="0" collapsed="false">
      <c r="A1406" s="424"/>
      <c r="B1406" s="424"/>
      <c r="C1406" s="424"/>
      <c r="D1406" s="424"/>
      <c r="E1406" s="424"/>
      <c r="F1406" s="424"/>
      <c r="G1406" s="424"/>
      <c r="H1406" s="424"/>
      <c r="I1406" s="424"/>
      <c r="J1406" s="424"/>
      <c r="K1406" s="424"/>
      <c r="L1406" s="424"/>
      <c r="M1406" s="424"/>
      <c r="N1406" s="424"/>
      <c r="O1406" s="424"/>
      <c r="P1406" s="424"/>
      <c r="Q1406" s="435" t="n">
        <v>64</v>
      </c>
      <c r="R1406" s="434" t="s">
        <v>604</v>
      </c>
      <c r="S1406" s="424"/>
      <c r="T1406" s="434" t="s">
        <v>605</v>
      </c>
      <c r="U1406" s="434" t="s">
        <v>606</v>
      </c>
      <c r="V1406" s="436" t="n">
        <f aca="false">AY1411</f>
        <v>0</v>
      </c>
    </row>
    <row r="1407" customFormat="false" ht="13.5" hidden="false" customHeight="false" outlineLevel="0" collapsed="false">
      <c r="A1407" s="424"/>
      <c r="B1407" s="424"/>
      <c r="C1407" s="424"/>
      <c r="D1407" s="424"/>
      <c r="E1407" s="424"/>
      <c r="F1407" s="424"/>
      <c r="G1407" s="424"/>
      <c r="H1407" s="424"/>
      <c r="I1407" s="424"/>
      <c r="J1407" s="424"/>
      <c r="K1407" s="424"/>
      <c r="L1407" s="424"/>
      <c r="M1407" s="424"/>
      <c r="N1407" s="424"/>
      <c r="O1407" s="424"/>
      <c r="P1407" s="424"/>
      <c r="Q1407" s="435" t="n">
        <v>65</v>
      </c>
      <c r="R1407" s="434" t="s">
        <v>607</v>
      </c>
      <c r="S1407" s="424"/>
      <c r="T1407" s="434" t="s">
        <v>608</v>
      </c>
      <c r="U1407" s="434" t="s">
        <v>609</v>
      </c>
      <c r="V1407" s="436" t="n">
        <f aca="false">AY1412</f>
        <v>0</v>
      </c>
    </row>
    <row r="1408" customFormat="false" ht="13.5" hidden="false" customHeight="false" outlineLevel="0" collapsed="false">
      <c r="A1408" s="424"/>
      <c r="B1408" s="424"/>
      <c r="C1408" s="424"/>
      <c r="D1408" s="424"/>
      <c r="E1408" s="424"/>
      <c r="F1408" s="424"/>
      <c r="G1408" s="424"/>
      <c r="H1408" s="424"/>
      <c r="I1408" s="424"/>
      <c r="J1408" s="424"/>
      <c r="K1408" s="424"/>
      <c r="L1408" s="424"/>
      <c r="M1408" s="424"/>
      <c r="N1408" s="424"/>
      <c r="O1408" s="424"/>
      <c r="P1408" s="424"/>
      <c r="Q1408" s="435" t="n">
        <v>66</v>
      </c>
      <c r="R1408" s="434" t="s">
        <v>610</v>
      </c>
      <c r="S1408" s="424"/>
      <c r="T1408" s="434" t="s">
        <v>611</v>
      </c>
      <c r="U1408" s="434" t="s">
        <v>612</v>
      </c>
      <c r="V1408" s="436" t="n">
        <f aca="false">AY1413</f>
        <v>0</v>
      </c>
    </row>
    <row r="1409" customFormat="false" ht="13.5" hidden="false" customHeight="false" outlineLevel="0" collapsed="false">
      <c r="A1409" s="424"/>
      <c r="B1409" s="424"/>
      <c r="C1409" s="424"/>
      <c r="D1409" s="424"/>
      <c r="E1409" s="424"/>
      <c r="F1409" s="424"/>
      <c r="G1409" s="424"/>
      <c r="H1409" s="424"/>
      <c r="I1409" s="424"/>
      <c r="J1409" s="424"/>
      <c r="K1409" s="424"/>
      <c r="L1409" s="424"/>
      <c r="M1409" s="424"/>
      <c r="N1409" s="424"/>
      <c r="O1409" s="424"/>
      <c r="P1409" s="424"/>
      <c r="Q1409" s="435" t="n">
        <v>67</v>
      </c>
      <c r="R1409" s="434" t="s">
        <v>613</v>
      </c>
      <c r="S1409" s="424"/>
      <c r="T1409" s="434" t="s">
        <v>614</v>
      </c>
      <c r="U1409" s="434" t="s">
        <v>615</v>
      </c>
      <c r="V1409" s="436" t="n">
        <f aca="false">AY1414</f>
        <v>0</v>
      </c>
    </row>
    <row r="1410" customFormat="false" ht="13.5" hidden="false" customHeight="false" outlineLevel="0" collapsed="false">
      <c r="A1410" s="424"/>
      <c r="B1410" s="424"/>
      <c r="C1410" s="424"/>
      <c r="D1410" s="424"/>
      <c r="E1410" s="424"/>
      <c r="F1410" s="424"/>
      <c r="G1410" s="424"/>
      <c r="H1410" s="424"/>
      <c r="I1410" s="424"/>
      <c r="J1410" s="424"/>
      <c r="K1410" s="424"/>
      <c r="L1410" s="424"/>
      <c r="M1410" s="424"/>
      <c r="N1410" s="424"/>
      <c r="O1410" s="424"/>
      <c r="P1410" s="424"/>
      <c r="Q1410" s="435" t="n">
        <v>68</v>
      </c>
      <c r="R1410" s="434" t="s">
        <v>616</v>
      </c>
      <c r="S1410" s="424"/>
      <c r="T1410" s="434" t="s">
        <v>617</v>
      </c>
      <c r="U1410" s="434" t="s">
        <v>618</v>
      </c>
      <c r="V1410" s="436" t="n">
        <f aca="false">AY1415</f>
        <v>0</v>
      </c>
    </row>
    <row r="1411" customFormat="false" ht="13.5" hidden="false" customHeight="false" outlineLevel="0" collapsed="false">
      <c r="A1411" s="424"/>
      <c r="B1411" s="424"/>
      <c r="C1411" s="424"/>
      <c r="D1411" s="424"/>
      <c r="E1411" s="424"/>
      <c r="F1411" s="424"/>
      <c r="G1411" s="424"/>
      <c r="H1411" s="424"/>
      <c r="I1411" s="424"/>
      <c r="J1411" s="424"/>
      <c r="K1411" s="424"/>
      <c r="L1411" s="424"/>
      <c r="M1411" s="424"/>
      <c r="N1411" s="424"/>
      <c r="O1411" s="424"/>
      <c r="P1411" s="424"/>
      <c r="Q1411" s="435" t="n">
        <v>69</v>
      </c>
      <c r="R1411" s="434" t="s">
        <v>619</v>
      </c>
      <c r="S1411" s="424"/>
      <c r="T1411" s="434" t="s">
        <v>620</v>
      </c>
      <c r="U1411" s="434" t="s">
        <v>621</v>
      </c>
      <c r="V1411" s="436" t="n">
        <f aca="false">AY1416</f>
        <v>0</v>
      </c>
    </row>
    <row r="1412" customFormat="false" ht="13.5" hidden="false" customHeight="false" outlineLevel="0" collapsed="false">
      <c r="A1412" s="424"/>
      <c r="B1412" s="424"/>
      <c r="C1412" s="424"/>
      <c r="D1412" s="424"/>
      <c r="E1412" s="424"/>
      <c r="F1412" s="424"/>
      <c r="G1412" s="424"/>
      <c r="H1412" s="424"/>
      <c r="I1412" s="424"/>
      <c r="J1412" s="424"/>
      <c r="K1412" s="424"/>
      <c r="L1412" s="424"/>
      <c r="M1412" s="424"/>
      <c r="N1412" s="424"/>
      <c r="O1412" s="424"/>
      <c r="P1412" s="424"/>
      <c r="Q1412" s="435" t="n">
        <v>70</v>
      </c>
      <c r="R1412" s="434" t="s">
        <v>622</v>
      </c>
      <c r="S1412" s="424"/>
      <c r="T1412" s="434" t="s">
        <v>623</v>
      </c>
      <c r="U1412" s="434" t="s">
        <v>624</v>
      </c>
      <c r="V1412" s="436" t="n">
        <f aca="false">AY1417</f>
        <v>0</v>
      </c>
    </row>
    <row r="1413" customFormat="false" ht="13.5" hidden="false" customHeight="false" outlineLevel="0" collapsed="false">
      <c r="A1413" s="424"/>
      <c r="B1413" s="424"/>
      <c r="C1413" s="424"/>
      <c r="D1413" s="424"/>
      <c r="E1413" s="424"/>
      <c r="F1413" s="424"/>
      <c r="G1413" s="424"/>
      <c r="H1413" s="424"/>
      <c r="I1413" s="424"/>
      <c r="J1413" s="424"/>
      <c r="K1413" s="424"/>
      <c r="L1413" s="424"/>
      <c r="M1413" s="424"/>
      <c r="N1413" s="424"/>
      <c r="O1413" s="424"/>
      <c r="P1413" s="424"/>
      <c r="Q1413" s="435" t="n">
        <v>71</v>
      </c>
      <c r="R1413" s="434" t="s">
        <v>625</v>
      </c>
      <c r="S1413" s="424"/>
      <c r="T1413" s="434" t="s">
        <v>626</v>
      </c>
      <c r="U1413" s="434" t="s">
        <v>627</v>
      </c>
      <c r="V1413" s="436" t="n">
        <f aca="false">AY1418</f>
        <v>0</v>
      </c>
    </row>
    <row r="1414" customFormat="false" ht="13.5" hidden="false" customHeight="false" outlineLevel="0" collapsed="false">
      <c r="A1414" s="424"/>
      <c r="B1414" s="424"/>
      <c r="C1414" s="424"/>
      <c r="D1414" s="424"/>
      <c r="E1414" s="424"/>
      <c r="F1414" s="424"/>
      <c r="G1414" s="424"/>
      <c r="H1414" s="424"/>
      <c r="I1414" s="424"/>
      <c r="J1414" s="424"/>
      <c r="K1414" s="424"/>
      <c r="L1414" s="424"/>
      <c r="M1414" s="424"/>
      <c r="N1414" s="424"/>
      <c r="O1414" s="424"/>
      <c r="P1414" s="424"/>
      <c r="Q1414" s="435" t="n">
        <v>72</v>
      </c>
      <c r="R1414" s="434" t="s">
        <v>628</v>
      </c>
      <c r="S1414" s="424"/>
      <c r="T1414" s="434" t="s">
        <v>629</v>
      </c>
      <c r="U1414" s="434" t="s">
        <v>630</v>
      </c>
      <c r="V1414" s="436" t="n">
        <f aca="false">AY1419</f>
        <v>0</v>
      </c>
    </row>
    <row r="1415" customFormat="false" ht="13.5" hidden="false" customHeight="false" outlineLevel="0" collapsed="false">
      <c r="A1415" s="424"/>
      <c r="B1415" s="424"/>
      <c r="C1415" s="424"/>
      <c r="D1415" s="424"/>
      <c r="E1415" s="424"/>
      <c r="F1415" s="424"/>
      <c r="G1415" s="424"/>
      <c r="H1415" s="424"/>
      <c r="I1415" s="424"/>
      <c r="J1415" s="424"/>
      <c r="K1415" s="424"/>
      <c r="L1415" s="424"/>
      <c r="M1415" s="424"/>
      <c r="N1415" s="424"/>
      <c r="O1415" s="424"/>
      <c r="P1415" s="424"/>
      <c r="Q1415" s="435" t="n">
        <v>73</v>
      </c>
      <c r="R1415" s="434" t="s">
        <v>631</v>
      </c>
      <c r="S1415" s="424"/>
      <c r="T1415" s="434" t="s">
        <v>632</v>
      </c>
      <c r="U1415" s="434" t="s">
        <v>633</v>
      </c>
      <c r="V1415" s="436" t="n">
        <f aca="false">AY1420</f>
        <v>0</v>
      </c>
    </row>
    <row r="1416" customFormat="false" ht="13.5" hidden="false" customHeight="false" outlineLevel="0" collapsed="false">
      <c r="A1416" s="424"/>
      <c r="B1416" s="424"/>
      <c r="C1416" s="424"/>
      <c r="D1416" s="424"/>
      <c r="E1416" s="424"/>
      <c r="F1416" s="424"/>
      <c r="G1416" s="424"/>
      <c r="H1416" s="424"/>
      <c r="I1416" s="424"/>
      <c r="J1416" s="424"/>
      <c r="K1416" s="424"/>
      <c r="L1416" s="424"/>
      <c r="M1416" s="424"/>
      <c r="N1416" s="424"/>
      <c r="O1416" s="424"/>
      <c r="P1416" s="424"/>
      <c r="Q1416" s="435" t="n">
        <v>74</v>
      </c>
      <c r="R1416" s="434" t="s">
        <v>634</v>
      </c>
      <c r="S1416" s="424"/>
      <c r="T1416" s="434" t="s">
        <v>635</v>
      </c>
      <c r="U1416" s="434" t="s">
        <v>636</v>
      </c>
      <c r="V1416" s="436" t="n">
        <f aca="false">AY1421</f>
        <v>0</v>
      </c>
    </row>
    <row r="1417" customFormat="false" ht="13.5" hidden="false" customHeight="false" outlineLevel="0" collapsed="false">
      <c r="A1417" s="424"/>
      <c r="B1417" s="424"/>
      <c r="C1417" s="424"/>
      <c r="D1417" s="424"/>
      <c r="E1417" s="424"/>
      <c r="F1417" s="424"/>
      <c r="G1417" s="424"/>
      <c r="H1417" s="424"/>
      <c r="I1417" s="424"/>
      <c r="J1417" s="424"/>
      <c r="K1417" s="424"/>
      <c r="L1417" s="424"/>
      <c r="M1417" s="424"/>
      <c r="N1417" s="424"/>
      <c r="O1417" s="424"/>
      <c r="P1417" s="424"/>
      <c r="Q1417" s="435" t="n">
        <v>75</v>
      </c>
      <c r="R1417" s="434" t="s">
        <v>637</v>
      </c>
      <c r="S1417" s="424"/>
      <c r="T1417" s="434" t="s">
        <v>638</v>
      </c>
      <c r="U1417" s="434" t="s">
        <v>639</v>
      </c>
      <c r="V1417" s="436" t="n">
        <f aca="false">AY1422</f>
        <v>0</v>
      </c>
    </row>
    <row r="1418" customFormat="false" ht="13.5" hidden="false" customHeight="false" outlineLevel="0" collapsed="false">
      <c r="A1418" s="424"/>
      <c r="B1418" s="424"/>
      <c r="C1418" s="424"/>
      <c r="D1418" s="424"/>
      <c r="E1418" s="424"/>
      <c r="F1418" s="424"/>
      <c r="G1418" s="424"/>
      <c r="H1418" s="424"/>
      <c r="I1418" s="424"/>
      <c r="J1418" s="424"/>
      <c r="K1418" s="424"/>
      <c r="L1418" s="424"/>
      <c r="M1418" s="424"/>
      <c r="N1418" s="424"/>
      <c r="O1418" s="424"/>
      <c r="P1418" s="424"/>
      <c r="Q1418" s="435" t="n">
        <v>76</v>
      </c>
      <c r="R1418" s="434" t="s">
        <v>640</v>
      </c>
      <c r="S1418" s="424"/>
      <c r="T1418" s="434" t="s">
        <v>641</v>
      </c>
      <c r="U1418" s="434" t="s">
        <v>642</v>
      </c>
      <c r="V1418" s="436" t="n">
        <f aca="false">AY1423</f>
        <v>0</v>
      </c>
    </row>
    <row r="1419" customFormat="false" ht="13.5" hidden="false" customHeight="false" outlineLevel="0" collapsed="false">
      <c r="A1419" s="424"/>
      <c r="B1419" s="424"/>
      <c r="C1419" s="424"/>
      <c r="D1419" s="424"/>
      <c r="E1419" s="424"/>
      <c r="F1419" s="424"/>
      <c r="G1419" s="424"/>
      <c r="H1419" s="424"/>
      <c r="I1419" s="424"/>
      <c r="J1419" s="424"/>
      <c r="K1419" s="424"/>
      <c r="L1419" s="424"/>
      <c r="M1419" s="424"/>
      <c r="N1419" s="424"/>
      <c r="O1419" s="424"/>
      <c r="P1419" s="424"/>
      <c r="Q1419" s="435" t="n">
        <v>77</v>
      </c>
      <c r="R1419" s="434" t="s">
        <v>643</v>
      </c>
      <c r="S1419" s="424"/>
      <c r="T1419" s="434" t="s">
        <v>644</v>
      </c>
      <c r="U1419" s="434" t="s">
        <v>645</v>
      </c>
      <c r="V1419" s="436" t="n">
        <f aca="false">AY1424</f>
        <v>0</v>
      </c>
    </row>
    <row r="1420" customFormat="false" ht="13.5" hidden="false" customHeight="false" outlineLevel="0" collapsed="false">
      <c r="A1420" s="424"/>
      <c r="B1420" s="424"/>
      <c r="C1420" s="424"/>
      <c r="D1420" s="424"/>
      <c r="E1420" s="424"/>
      <c r="F1420" s="424"/>
      <c r="G1420" s="424"/>
      <c r="H1420" s="424"/>
      <c r="I1420" s="424"/>
      <c r="J1420" s="424"/>
      <c r="K1420" s="424"/>
      <c r="L1420" s="424"/>
      <c r="M1420" s="424"/>
      <c r="N1420" s="424"/>
      <c r="O1420" s="424"/>
      <c r="P1420" s="424"/>
      <c r="Q1420" s="435" t="n">
        <v>78</v>
      </c>
      <c r="R1420" s="434" t="s">
        <v>646</v>
      </c>
      <c r="S1420" s="424"/>
      <c r="T1420" s="434" t="s">
        <v>647</v>
      </c>
      <c r="U1420" s="434" t="s">
        <v>648</v>
      </c>
      <c r="V1420" s="436" t="n">
        <f aca="false">AY1425</f>
        <v>0</v>
      </c>
    </row>
    <row r="1421" customFormat="false" ht="13.5" hidden="false" customHeight="false" outlineLevel="0" collapsed="false">
      <c r="A1421" s="424"/>
      <c r="B1421" s="424"/>
      <c r="C1421" s="424"/>
      <c r="D1421" s="424"/>
      <c r="E1421" s="424"/>
      <c r="F1421" s="424"/>
      <c r="G1421" s="424"/>
      <c r="H1421" s="424"/>
      <c r="I1421" s="424"/>
      <c r="J1421" s="424"/>
      <c r="K1421" s="424"/>
      <c r="L1421" s="424"/>
      <c r="M1421" s="424"/>
      <c r="N1421" s="424"/>
      <c r="O1421" s="424"/>
      <c r="P1421" s="424"/>
      <c r="Q1421" s="435" t="n">
        <v>79</v>
      </c>
      <c r="R1421" s="434" t="s">
        <v>649</v>
      </c>
      <c r="S1421" s="424"/>
      <c r="T1421" s="434" t="s">
        <v>650</v>
      </c>
      <c r="U1421" s="434" t="s">
        <v>651</v>
      </c>
      <c r="V1421" s="436" t="n">
        <f aca="false">AY1426</f>
        <v>0</v>
      </c>
    </row>
    <row r="1422" customFormat="false" ht="13.5" hidden="false" customHeight="false" outlineLevel="0" collapsed="false">
      <c r="A1422" s="424"/>
      <c r="B1422" s="424"/>
      <c r="C1422" s="424"/>
      <c r="D1422" s="424"/>
      <c r="E1422" s="424"/>
      <c r="F1422" s="424"/>
      <c r="G1422" s="424"/>
      <c r="H1422" s="424"/>
      <c r="I1422" s="424"/>
      <c r="J1422" s="424"/>
      <c r="K1422" s="424"/>
      <c r="L1422" s="424"/>
      <c r="M1422" s="424"/>
      <c r="N1422" s="424"/>
      <c r="O1422" s="424"/>
      <c r="P1422" s="424"/>
      <c r="Q1422" s="435" t="n">
        <v>80</v>
      </c>
      <c r="R1422" s="434" t="s">
        <v>652</v>
      </c>
      <c r="S1422" s="424"/>
      <c r="T1422" s="434" t="s">
        <v>653</v>
      </c>
      <c r="U1422" s="434" t="s">
        <v>654</v>
      </c>
      <c r="V1422" s="436" t="n">
        <f aca="false">AY1427</f>
        <v>0</v>
      </c>
    </row>
    <row r="1423" customFormat="false" ht="13.5" hidden="false" customHeight="false" outlineLevel="0" collapsed="false">
      <c r="A1423" s="424"/>
      <c r="B1423" s="424"/>
      <c r="C1423" s="424"/>
      <c r="D1423" s="424"/>
      <c r="E1423" s="424"/>
      <c r="F1423" s="424"/>
      <c r="G1423" s="424"/>
      <c r="H1423" s="424"/>
      <c r="I1423" s="424"/>
      <c r="J1423" s="424"/>
      <c r="K1423" s="424"/>
      <c r="L1423" s="424"/>
      <c r="M1423" s="424"/>
      <c r="N1423" s="424"/>
      <c r="O1423" s="424"/>
      <c r="P1423" s="424"/>
      <c r="Q1423" s="435" t="n">
        <v>81</v>
      </c>
      <c r="R1423" s="434" t="s">
        <v>655</v>
      </c>
      <c r="S1423" s="424"/>
      <c r="T1423" s="434" t="s">
        <v>656</v>
      </c>
      <c r="U1423" s="434" t="s">
        <v>657</v>
      </c>
      <c r="V1423" s="436" t="n">
        <f aca="false">AY1428</f>
        <v>0</v>
      </c>
    </row>
    <row r="1424" customFormat="false" ht="13.5" hidden="false" customHeight="false" outlineLevel="0" collapsed="false">
      <c r="A1424" s="424"/>
      <c r="B1424" s="424"/>
      <c r="C1424" s="424"/>
      <c r="D1424" s="424"/>
      <c r="E1424" s="424"/>
      <c r="F1424" s="424"/>
      <c r="G1424" s="424"/>
      <c r="H1424" s="424"/>
      <c r="I1424" s="424"/>
      <c r="J1424" s="424"/>
      <c r="K1424" s="424"/>
      <c r="L1424" s="424"/>
      <c r="M1424" s="424"/>
      <c r="N1424" s="424"/>
      <c r="O1424" s="424"/>
      <c r="P1424" s="424"/>
      <c r="Q1424" s="435" t="n">
        <v>82</v>
      </c>
      <c r="R1424" s="434" t="s">
        <v>658</v>
      </c>
      <c r="S1424" s="424"/>
      <c r="T1424" s="434" t="s">
        <v>659</v>
      </c>
      <c r="U1424" s="434" t="s">
        <v>660</v>
      </c>
      <c r="V1424" s="436" t="n">
        <f aca="false">AY1429</f>
        <v>0</v>
      </c>
    </row>
    <row r="1425" customFormat="false" ht="13.5" hidden="false" customHeight="false" outlineLevel="0" collapsed="false">
      <c r="A1425" s="424"/>
      <c r="B1425" s="424"/>
      <c r="C1425" s="424"/>
      <c r="D1425" s="424"/>
      <c r="E1425" s="424"/>
      <c r="F1425" s="424"/>
      <c r="G1425" s="424"/>
      <c r="H1425" s="424"/>
      <c r="I1425" s="424"/>
      <c r="J1425" s="424"/>
      <c r="K1425" s="424"/>
      <c r="L1425" s="424"/>
      <c r="M1425" s="424"/>
      <c r="N1425" s="424"/>
      <c r="O1425" s="424"/>
      <c r="P1425" s="424"/>
      <c r="Q1425" s="435" t="n">
        <v>83</v>
      </c>
      <c r="R1425" s="434" t="s">
        <v>661</v>
      </c>
      <c r="S1425" s="424"/>
      <c r="T1425" s="434" t="s">
        <v>662</v>
      </c>
      <c r="U1425" s="434" t="s">
        <v>663</v>
      </c>
      <c r="V1425" s="436" t="n">
        <f aca="false">AY1430</f>
        <v>0</v>
      </c>
    </row>
    <row r="1426" customFormat="false" ht="13.5" hidden="false" customHeight="false" outlineLevel="0" collapsed="false">
      <c r="A1426" s="424"/>
      <c r="B1426" s="424"/>
      <c r="C1426" s="424"/>
      <c r="D1426" s="424"/>
      <c r="E1426" s="424"/>
      <c r="F1426" s="424"/>
      <c r="G1426" s="424"/>
      <c r="H1426" s="424"/>
      <c r="I1426" s="424"/>
      <c r="J1426" s="424"/>
      <c r="K1426" s="424"/>
      <c r="L1426" s="424"/>
      <c r="M1426" s="424"/>
      <c r="N1426" s="424"/>
      <c r="O1426" s="424"/>
      <c r="P1426" s="424"/>
      <c r="Q1426" s="435" t="n">
        <v>84</v>
      </c>
      <c r="R1426" s="434" t="s">
        <v>664</v>
      </c>
      <c r="S1426" s="424"/>
      <c r="T1426" s="434" t="s">
        <v>665</v>
      </c>
      <c r="U1426" s="434" t="s">
        <v>666</v>
      </c>
      <c r="V1426" s="436" t="n">
        <f aca="false">AY1431</f>
        <v>0</v>
      </c>
    </row>
    <row r="1427" customFormat="false" ht="13.5" hidden="false" customHeight="false" outlineLevel="0" collapsed="false">
      <c r="A1427" s="424"/>
      <c r="B1427" s="424"/>
      <c r="C1427" s="424"/>
      <c r="D1427" s="424"/>
      <c r="E1427" s="424"/>
      <c r="F1427" s="424"/>
      <c r="G1427" s="424"/>
      <c r="H1427" s="424"/>
      <c r="I1427" s="424"/>
      <c r="J1427" s="424"/>
      <c r="K1427" s="424"/>
      <c r="L1427" s="424"/>
      <c r="M1427" s="424"/>
      <c r="N1427" s="424"/>
      <c r="O1427" s="424"/>
      <c r="P1427" s="424"/>
      <c r="Q1427" s="435" t="n">
        <v>85</v>
      </c>
      <c r="R1427" s="434" t="s">
        <v>667</v>
      </c>
      <c r="S1427" s="424"/>
      <c r="T1427" s="434" t="s">
        <v>668</v>
      </c>
      <c r="U1427" s="434" t="s">
        <v>669</v>
      </c>
      <c r="V1427" s="436" t="n">
        <f aca="false">AY1432</f>
        <v>0</v>
      </c>
    </row>
    <row r="1428" customFormat="false" ht="13.5" hidden="false" customHeight="false" outlineLevel="0" collapsed="false">
      <c r="A1428" s="424"/>
      <c r="B1428" s="424"/>
      <c r="C1428" s="424"/>
      <c r="D1428" s="424"/>
      <c r="E1428" s="424"/>
      <c r="F1428" s="424"/>
      <c r="G1428" s="424"/>
      <c r="H1428" s="424"/>
      <c r="I1428" s="424"/>
      <c r="J1428" s="424"/>
      <c r="K1428" s="424"/>
      <c r="L1428" s="424"/>
      <c r="M1428" s="424"/>
      <c r="N1428" s="424"/>
      <c r="O1428" s="424"/>
      <c r="P1428" s="424"/>
      <c r="Q1428" s="435" t="n">
        <v>86</v>
      </c>
      <c r="R1428" s="434" t="s">
        <v>670</v>
      </c>
      <c r="S1428" s="424"/>
      <c r="T1428" s="434" t="s">
        <v>671</v>
      </c>
      <c r="U1428" s="434" t="s">
        <v>672</v>
      </c>
      <c r="V1428" s="436" t="n">
        <f aca="false">AY1433</f>
        <v>0</v>
      </c>
    </row>
    <row r="1429" customFormat="false" ht="13.5" hidden="false" customHeight="false" outlineLevel="0" collapsed="false">
      <c r="A1429" s="424"/>
      <c r="B1429" s="424"/>
      <c r="C1429" s="424"/>
      <c r="D1429" s="424"/>
      <c r="E1429" s="424"/>
      <c r="F1429" s="424"/>
      <c r="G1429" s="424"/>
      <c r="H1429" s="424"/>
      <c r="I1429" s="424"/>
      <c r="J1429" s="424"/>
      <c r="K1429" s="424"/>
      <c r="L1429" s="424"/>
      <c r="M1429" s="424"/>
      <c r="N1429" s="424"/>
      <c r="O1429" s="424"/>
      <c r="P1429" s="424"/>
      <c r="Q1429" s="435" t="n">
        <v>87</v>
      </c>
      <c r="R1429" s="434" t="s">
        <v>673</v>
      </c>
      <c r="S1429" s="424"/>
      <c r="T1429" s="434" t="s">
        <v>674</v>
      </c>
      <c r="U1429" s="434" t="s">
        <v>675</v>
      </c>
      <c r="V1429" s="436" t="n">
        <f aca="false">AY1434</f>
        <v>0</v>
      </c>
    </row>
    <row r="1430" customFormat="false" ht="13.5" hidden="false" customHeight="false" outlineLevel="0" collapsed="false">
      <c r="A1430" s="424"/>
      <c r="B1430" s="424"/>
      <c r="C1430" s="424"/>
      <c r="D1430" s="424"/>
      <c r="E1430" s="424"/>
      <c r="F1430" s="424"/>
      <c r="G1430" s="424"/>
      <c r="H1430" s="424"/>
      <c r="I1430" s="424"/>
      <c r="J1430" s="424"/>
      <c r="K1430" s="424"/>
      <c r="L1430" s="424"/>
      <c r="M1430" s="424"/>
      <c r="N1430" s="424"/>
      <c r="O1430" s="424"/>
      <c r="P1430" s="424"/>
      <c r="Q1430" s="435" t="n">
        <v>88</v>
      </c>
      <c r="R1430" s="434" t="s">
        <v>676</v>
      </c>
      <c r="S1430" s="424"/>
      <c r="T1430" s="434" t="s">
        <v>677</v>
      </c>
      <c r="U1430" s="434" t="s">
        <v>678</v>
      </c>
      <c r="V1430" s="436" t="n">
        <f aca="false">AY1435</f>
        <v>0</v>
      </c>
    </row>
    <row r="1431" customFormat="false" ht="13.5" hidden="false" customHeight="false" outlineLevel="0" collapsed="false">
      <c r="A1431" s="424"/>
      <c r="B1431" s="424"/>
      <c r="C1431" s="424"/>
      <c r="D1431" s="424"/>
      <c r="E1431" s="424"/>
      <c r="F1431" s="424"/>
      <c r="G1431" s="424"/>
      <c r="H1431" s="424"/>
      <c r="I1431" s="424"/>
      <c r="J1431" s="424"/>
      <c r="K1431" s="424"/>
      <c r="L1431" s="424"/>
      <c r="M1431" s="424"/>
      <c r="N1431" s="424"/>
      <c r="O1431" s="424"/>
      <c r="P1431" s="424"/>
      <c r="Q1431" s="435" t="n">
        <v>89</v>
      </c>
      <c r="R1431" s="434" t="s">
        <v>679</v>
      </c>
      <c r="S1431" s="424"/>
      <c r="T1431" s="434" t="s">
        <v>680</v>
      </c>
      <c r="U1431" s="434" t="s">
        <v>681</v>
      </c>
      <c r="V1431" s="436" t="n">
        <f aca="false">AY1436</f>
        <v>0</v>
      </c>
    </row>
    <row r="1432" customFormat="false" ht="13.5" hidden="false" customHeight="false" outlineLevel="0" collapsed="false">
      <c r="A1432" s="424"/>
      <c r="B1432" s="424"/>
      <c r="C1432" s="424"/>
      <c r="D1432" s="424"/>
      <c r="E1432" s="424"/>
      <c r="F1432" s="424"/>
      <c r="G1432" s="424"/>
      <c r="H1432" s="424"/>
      <c r="I1432" s="424"/>
      <c r="J1432" s="424"/>
      <c r="K1432" s="424"/>
      <c r="L1432" s="424"/>
      <c r="M1432" s="424"/>
      <c r="N1432" s="424"/>
      <c r="O1432" s="424"/>
      <c r="P1432" s="424"/>
      <c r="Q1432" s="435" t="n">
        <v>90</v>
      </c>
      <c r="R1432" s="434" t="s">
        <v>682</v>
      </c>
      <c r="S1432" s="424"/>
      <c r="T1432" s="434" t="s">
        <v>683</v>
      </c>
      <c r="U1432" s="434" t="s">
        <v>684</v>
      </c>
      <c r="V1432" s="436" t="n">
        <f aca="false">AY1437</f>
        <v>0</v>
      </c>
    </row>
    <row r="1433" customFormat="false" ht="13.5" hidden="false" customHeight="false" outlineLevel="0" collapsed="false">
      <c r="A1433" s="424"/>
      <c r="B1433" s="424"/>
      <c r="C1433" s="424"/>
      <c r="D1433" s="424"/>
      <c r="E1433" s="424"/>
      <c r="F1433" s="424"/>
      <c r="G1433" s="424"/>
      <c r="H1433" s="424"/>
      <c r="I1433" s="424"/>
      <c r="J1433" s="424"/>
      <c r="K1433" s="424"/>
      <c r="L1433" s="424"/>
      <c r="M1433" s="424"/>
      <c r="N1433" s="424"/>
      <c r="O1433" s="424"/>
      <c r="P1433" s="424"/>
      <c r="Q1433" s="435" t="n">
        <v>91</v>
      </c>
      <c r="R1433" s="434" t="s">
        <v>685</v>
      </c>
      <c r="S1433" s="424"/>
      <c r="T1433" s="434" t="s">
        <v>686</v>
      </c>
      <c r="U1433" s="434" t="s">
        <v>687</v>
      </c>
      <c r="V1433" s="436" t="n">
        <f aca="false">AY1438</f>
        <v>0</v>
      </c>
    </row>
    <row r="1434" customFormat="false" ht="13.5" hidden="false" customHeight="false" outlineLevel="0" collapsed="false">
      <c r="A1434" s="424"/>
      <c r="B1434" s="424"/>
      <c r="C1434" s="424"/>
      <c r="D1434" s="424"/>
      <c r="E1434" s="424"/>
      <c r="F1434" s="424"/>
      <c r="G1434" s="424"/>
      <c r="H1434" s="424"/>
      <c r="I1434" s="424"/>
      <c r="J1434" s="424"/>
      <c r="K1434" s="424"/>
      <c r="L1434" s="424"/>
      <c r="M1434" s="424"/>
      <c r="N1434" s="424"/>
      <c r="O1434" s="424"/>
      <c r="P1434" s="424"/>
      <c r="Q1434" s="435" t="n">
        <v>92</v>
      </c>
      <c r="R1434" s="434" t="s">
        <v>688</v>
      </c>
      <c r="S1434" s="424"/>
      <c r="T1434" s="434" t="s">
        <v>689</v>
      </c>
      <c r="U1434" s="434" t="s">
        <v>690</v>
      </c>
      <c r="V1434" s="436" t="n">
        <f aca="false">AY1439</f>
        <v>0</v>
      </c>
    </row>
    <row r="1435" customFormat="false" ht="13.5" hidden="false" customHeight="false" outlineLevel="0" collapsed="false">
      <c r="A1435" s="424"/>
      <c r="B1435" s="424"/>
      <c r="C1435" s="424"/>
      <c r="D1435" s="424"/>
      <c r="E1435" s="424"/>
      <c r="F1435" s="424"/>
      <c r="G1435" s="424"/>
      <c r="H1435" s="424"/>
      <c r="I1435" s="424"/>
      <c r="J1435" s="424"/>
      <c r="K1435" s="424"/>
      <c r="L1435" s="424"/>
      <c r="M1435" s="424"/>
      <c r="N1435" s="424"/>
      <c r="O1435" s="424"/>
      <c r="P1435" s="424"/>
      <c r="Q1435" s="435" t="n">
        <v>93</v>
      </c>
      <c r="R1435" s="434" t="s">
        <v>691</v>
      </c>
      <c r="S1435" s="424"/>
      <c r="T1435" s="434" t="s">
        <v>692</v>
      </c>
      <c r="U1435" s="434" t="s">
        <v>693</v>
      </c>
      <c r="V1435" s="436" t="n">
        <f aca="false">AY1440</f>
        <v>0</v>
      </c>
    </row>
    <row r="1436" customFormat="false" ht="13.5" hidden="false" customHeight="false" outlineLevel="0" collapsed="false">
      <c r="A1436" s="424"/>
      <c r="B1436" s="424"/>
      <c r="C1436" s="424"/>
      <c r="D1436" s="424"/>
      <c r="E1436" s="424"/>
      <c r="F1436" s="424"/>
      <c r="G1436" s="424"/>
      <c r="H1436" s="424"/>
      <c r="I1436" s="424"/>
      <c r="J1436" s="424"/>
      <c r="K1436" s="424"/>
      <c r="L1436" s="424"/>
      <c r="M1436" s="424"/>
      <c r="N1436" s="424"/>
      <c r="O1436" s="424"/>
      <c r="P1436" s="424"/>
      <c r="Q1436" s="435" t="n">
        <v>94</v>
      </c>
      <c r="R1436" s="434" t="s">
        <v>694</v>
      </c>
      <c r="S1436" s="424"/>
      <c r="T1436" s="434" t="s">
        <v>695</v>
      </c>
      <c r="U1436" s="434" t="s">
        <v>696</v>
      </c>
      <c r="V1436" s="436" t="n">
        <f aca="false">AY1441</f>
        <v>0</v>
      </c>
    </row>
    <row r="1437" customFormat="false" ht="13.5" hidden="false" customHeight="false" outlineLevel="0" collapsed="false">
      <c r="A1437" s="424"/>
      <c r="B1437" s="424"/>
      <c r="C1437" s="424"/>
      <c r="D1437" s="424"/>
      <c r="E1437" s="424"/>
      <c r="F1437" s="424"/>
      <c r="G1437" s="424"/>
      <c r="H1437" s="424"/>
      <c r="I1437" s="424"/>
      <c r="J1437" s="424"/>
      <c r="K1437" s="424"/>
      <c r="L1437" s="424"/>
      <c r="M1437" s="424"/>
      <c r="N1437" s="424"/>
      <c r="O1437" s="424"/>
      <c r="P1437" s="424"/>
      <c r="Q1437" s="435" t="n">
        <v>95</v>
      </c>
      <c r="R1437" s="434" t="s">
        <v>697</v>
      </c>
      <c r="S1437" s="424"/>
      <c r="T1437" s="434" t="s">
        <v>698</v>
      </c>
      <c r="U1437" s="434" t="s">
        <v>699</v>
      </c>
      <c r="V1437" s="436" t="n">
        <f aca="false">AY1442</f>
        <v>0</v>
      </c>
    </row>
    <row r="1438" customFormat="false" ht="13.5" hidden="false" customHeight="false" outlineLevel="0" collapsed="false">
      <c r="A1438" s="424"/>
      <c r="B1438" s="424"/>
      <c r="C1438" s="424"/>
      <c r="D1438" s="424"/>
      <c r="E1438" s="424"/>
      <c r="F1438" s="424"/>
      <c r="G1438" s="424"/>
      <c r="H1438" s="424"/>
      <c r="I1438" s="424"/>
      <c r="J1438" s="424"/>
      <c r="K1438" s="424"/>
      <c r="L1438" s="424"/>
      <c r="M1438" s="424"/>
      <c r="N1438" s="424"/>
      <c r="O1438" s="424"/>
      <c r="P1438" s="424"/>
      <c r="Q1438" s="435" t="n">
        <v>96</v>
      </c>
      <c r="R1438" s="434" t="s">
        <v>700</v>
      </c>
      <c r="S1438" s="424"/>
      <c r="T1438" s="434" t="s">
        <v>701</v>
      </c>
      <c r="U1438" s="434" t="s">
        <v>702</v>
      </c>
      <c r="V1438" s="436" t="n">
        <f aca="false">AY1443</f>
        <v>0</v>
      </c>
    </row>
    <row r="1439" customFormat="false" ht="13.5" hidden="false" customHeight="false" outlineLevel="0" collapsed="false">
      <c r="A1439" s="424"/>
      <c r="B1439" s="424"/>
      <c r="C1439" s="424"/>
      <c r="D1439" s="424"/>
      <c r="E1439" s="424"/>
      <c r="F1439" s="424"/>
      <c r="G1439" s="424"/>
      <c r="H1439" s="424"/>
      <c r="I1439" s="424"/>
      <c r="J1439" s="424"/>
      <c r="K1439" s="424"/>
      <c r="L1439" s="424"/>
      <c r="M1439" s="424"/>
      <c r="N1439" s="424"/>
      <c r="O1439" s="424"/>
      <c r="P1439" s="424"/>
      <c r="Q1439" s="435" t="n">
        <v>97</v>
      </c>
      <c r="R1439" s="434" t="s">
        <v>703</v>
      </c>
      <c r="S1439" s="424"/>
      <c r="T1439" s="434" t="s">
        <v>704</v>
      </c>
      <c r="U1439" s="434" t="s">
        <v>705</v>
      </c>
      <c r="V1439" s="436" t="n">
        <f aca="false">AY1444</f>
        <v>0</v>
      </c>
    </row>
    <row r="1440" customFormat="false" ht="13.5" hidden="false" customHeight="false" outlineLevel="0" collapsed="false">
      <c r="A1440" s="424"/>
      <c r="B1440" s="424"/>
      <c r="C1440" s="424"/>
      <c r="D1440" s="424"/>
      <c r="E1440" s="424"/>
      <c r="F1440" s="424"/>
      <c r="G1440" s="424"/>
      <c r="H1440" s="424"/>
      <c r="I1440" s="424"/>
      <c r="J1440" s="424"/>
      <c r="K1440" s="424"/>
      <c r="L1440" s="424"/>
      <c r="M1440" s="424"/>
      <c r="N1440" s="424"/>
      <c r="O1440" s="424"/>
      <c r="P1440" s="424"/>
      <c r="Q1440" s="435" t="n">
        <v>98</v>
      </c>
      <c r="R1440" s="434" t="s">
        <v>706</v>
      </c>
      <c r="S1440" s="424"/>
      <c r="T1440" s="434" t="s">
        <v>707</v>
      </c>
      <c r="U1440" s="434" t="s">
        <v>708</v>
      </c>
      <c r="V1440" s="436" t="n">
        <f aca="false">AY1445</f>
        <v>0</v>
      </c>
    </row>
    <row r="1441" customFormat="false" ht="13.5" hidden="false" customHeight="false" outlineLevel="0" collapsed="false">
      <c r="A1441" s="424"/>
      <c r="B1441" s="424"/>
      <c r="C1441" s="424"/>
      <c r="D1441" s="424"/>
      <c r="E1441" s="424"/>
      <c r="F1441" s="424"/>
      <c r="G1441" s="424"/>
      <c r="H1441" s="424"/>
      <c r="I1441" s="424"/>
      <c r="J1441" s="424"/>
      <c r="K1441" s="424"/>
      <c r="L1441" s="424"/>
      <c r="M1441" s="424"/>
      <c r="N1441" s="424"/>
      <c r="O1441" s="424"/>
      <c r="P1441" s="424"/>
      <c r="Q1441" s="435" t="n">
        <v>99</v>
      </c>
      <c r="R1441" s="434" t="s">
        <v>709</v>
      </c>
      <c r="S1441" s="424"/>
      <c r="T1441" s="434" t="s">
        <v>710</v>
      </c>
      <c r="U1441" s="434" t="s">
        <v>711</v>
      </c>
      <c r="V1441" s="436" t="n">
        <f aca="false">AY1446</f>
        <v>0</v>
      </c>
    </row>
    <row r="1442" customFormat="false" ht="13.5" hidden="false" customHeight="false" outlineLevel="0" collapsed="false">
      <c r="A1442" s="424"/>
      <c r="B1442" s="424"/>
      <c r="C1442" s="424"/>
      <c r="D1442" s="424"/>
      <c r="E1442" s="424"/>
      <c r="F1442" s="424"/>
      <c r="G1442" s="424"/>
      <c r="H1442" s="424"/>
      <c r="I1442" s="424"/>
      <c r="J1442" s="424"/>
      <c r="K1442" s="424"/>
      <c r="L1442" s="424"/>
      <c r="M1442" s="424"/>
      <c r="N1442" s="424"/>
      <c r="O1442" s="424"/>
      <c r="P1442" s="424"/>
      <c r="Q1442" s="424"/>
      <c r="R1442" s="424"/>
      <c r="S1442" s="424"/>
      <c r="T1442" s="424"/>
      <c r="U1442" s="424"/>
      <c r="V1442" s="436" t="n">
        <f aca="false">AY1447</f>
        <v>0</v>
      </c>
    </row>
    <row r="1443" customFormat="false" ht="13.5" hidden="false" customHeight="false" outlineLevel="0" collapsed="false">
      <c r="A1443" s="424"/>
      <c r="B1443" s="424"/>
      <c r="C1443" s="424"/>
      <c r="D1443" s="424"/>
      <c r="E1443" s="424"/>
      <c r="F1443" s="424"/>
      <c r="G1443" s="424"/>
      <c r="H1443" s="424"/>
      <c r="I1443" s="424"/>
      <c r="J1443" s="424"/>
      <c r="K1443" s="424"/>
      <c r="L1443" s="424"/>
      <c r="M1443" s="424"/>
      <c r="N1443" s="424"/>
      <c r="O1443" s="424"/>
      <c r="P1443" s="424"/>
      <c r="Q1443" s="424"/>
      <c r="R1443" s="424"/>
      <c r="S1443" s="424"/>
      <c r="T1443" s="424"/>
      <c r="U1443" s="424"/>
      <c r="V1443" s="436" t="n">
        <f aca="false">AY1448</f>
        <v>0</v>
      </c>
    </row>
    <row r="1444" customFormat="false" ht="13.5" hidden="false" customHeight="false" outlineLevel="0" collapsed="false">
      <c r="A1444" s="424"/>
      <c r="B1444" s="424"/>
      <c r="C1444" s="424"/>
      <c r="D1444" s="424"/>
      <c r="E1444" s="424"/>
      <c r="F1444" s="424"/>
      <c r="G1444" s="424"/>
      <c r="H1444" s="424"/>
      <c r="I1444" s="424"/>
      <c r="J1444" s="424"/>
      <c r="K1444" s="424"/>
      <c r="L1444" s="424"/>
      <c r="M1444" s="424"/>
      <c r="N1444" s="424"/>
      <c r="O1444" s="424"/>
      <c r="P1444" s="424"/>
      <c r="Q1444" s="424"/>
      <c r="R1444" s="424"/>
      <c r="S1444" s="424"/>
      <c r="T1444" s="424"/>
      <c r="U1444" s="424"/>
      <c r="V1444" s="436" t="n">
        <f aca="false">AY1449</f>
        <v>0</v>
      </c>
    </row>
    <row r="1445" customFormat="false" ht="13.5" hidden="false" customHeight="false" outlineLevel="0" collapsed="false">
      <c r="A1445" s="424"/>
      <c r="B1445" s="424"/>
      <c r="C1445" s="424"/>
      <c r="D1445" s="424"/>
      <c r="E1445" s="424"/>
      <c r="F1445" s="424"/>
      <c r="G1445" s="424"/>
      <c r="H1445" s="424"/>
      <c r="I1445" s="424"/>
      <c r="J1445" s="424"/>
      <c r="K1445" s="424"/>
      <c r="L1445" s="424"/>
      <c r="M1445" s="424"/>
      <c r="N1445" s="424"/>
      <c r="O1445" s="424"/>
      <c r="P1445" s="424"/>
      <c r="Q1445" s="424"/>
      <c r="R1445" s="424"/>
      <c r="S1445" s="424"/>
      <c r="T1445" s="424"/>
      <c r="U1445" s="424"/>
      <c r="V1445" s="436" t="n">
        <f aca="false">AY1450</f>
        <v>0</v>
      </c>
    </row>
    <row r="1446" customFormat="false" ht="13.5" hidden="false" customHeight="false" outlineLevel="0" collapsed="false">
      <c r="A1446" s="424"/>
      <c r="B1446" s="424"/>
      <c r="C1446" s="424"/>
      <c r="D1446" s="424"/>
      <c r="E1446" s="424"/>
      <c r="F1446" s="424"/>
      <c r="G1446" s="424"/>
      <c r="H1446" s="424"/>
      <c r="I1446" s="424"/>
      <c r="J1446" s="424"/>
      <c r="K1446" s="424"/>
      <c r="L1446" s="424"/>
      <c r="M1446" s="424"/>
      <c r="N1446" s="424"/>
      <c r="O1446" s="424"/>
      <c r="P1446" s="424"/>
      <c r="Q1446" s="424"/>
      <c r="R1446" s="424"/>
      <c r="S1446" s="424"/>
      <c r="T1446" s="424"/>
      <c r="U1446" s="424"/>
      <c r="V1446" s="436" t="n">
        <f aca="false">AY1451</f>
        <v>0</v>
      </c>
    </row>
    <row r="1447" customFormat="false" ht="13.5" hidden="false" customHeight="false" outlineLevel="0" collapsed="false">
      <c r="A1447" s="424"/>
      <c r="B1447" s="424"/>
      <c r="C1447" s="424"/>
      <c r="D1447" s="424"/>
      <c r="E1447" s="424"/>
      <c r="F1447" s="424"/>
      <c r="G1447" s="424"/>
      <c r="H1447" s="424"/>
      <c r="I1447" s="424"/>
      <c r="J1447" s="424"/>
      <c r="K1447" s="424"/>
      <c r="L1447" s="424"/>
      <c r="M1447" s="424"/>
      <c r="N1447" s="424"/>
      <c r="O1447" s="424"/>
      <c r="P1447" s="424"/>
      <c r="Q1447" s="424"/>
      <c r="R1447" s="424"/>
      <c r="S1447" s="424"/>
      <c r="T1447" s="424"/>
      <c r="U1447" s="424"/>
      <c r="V1447" s="436" t="n">
        <f aca="false">AY1452</f>
        <v>0</v>
      </c>
    </row>
    <row r="1448" customFormat="false" ht="13.5" hidden="false" customHeight="false" outlineLevel="0" collapsed="false">
      <c r="A1448" s="424"/>
      <c r="B1448" s="424"/>
      <c r="C1448" s="424"/>
      <c r="D1448" s="424"/>
      <c r="E1448" s="424"/>
      <c r="F1448" s="424"/>
      <c r="G1448" s="424"/>
      <c r="H1448" s="424"/>
      <c r="I1448" s="424"/>
      <c r="J1448" s="424"/>
      <c r="K1448" s="424"/>
      <c r="L1448" s="424"/>
      <c r="M1448" s="424"/>
      <c r="N1448" s="424"/>
      <c r="O1448" s="424"/>
      <c r="P1448" s="424"/>
      <c r="Q1448" s="424"/>
      <c r="R1448" s="424"/>
      <c r="S1448" s="424"/>
      <c r="T1448" s="424"/>
      <c r="U1448" s="424"/>
      <c r="V1448" s="436" t="n">
        <f aca="false">AY1453</f>
        <v>0</v>
      </c>
    </row>
    <row r="1449" customFormat="false" ht="13.5" hidden="false" customHeight="false" outlineLevel="0" collapsed="false">
      <c r="A1449" s="424"/>
      <c r="B1449" s="424"/>
      <c r="C1449" s="424"/>
      <c r="D1449" s="424"/>
      <c r="E1449" s="424"/>
      <c r="F1449" s="424"/>
      <c r="G1449" s="424"/>
      <c r="H1449" s="424"/>
      <c r="I1449" s="424"/>
      <c r="J1449" s="424"/>
      <c r="K1449" s="424"/>
      <c r="L1449" s="424"/>
      <c r="M1449" s="424"/>
      <c r="N1449" s="424"/>
      <c r="O1449" s="424"/>
      <c r="P1449" s="424"/>
      <c r="Q1449" s="424"/>
      <c r="R1449" s="424"/>
      <c r="S1449" s="424"/>
      <c r="T1449" s="424"/>
      <c r="U1449" s="424"/>
      <c r="V1449" s="436" t="n">
        <f aca="false">AY1454</f>
        <v>0</v>
      </c>
    </row>
    <row r="1450" customFormat="false" ht="13.5" hidden="false" customHeight="false" outlineLevel="0" collapsed="false">
      <c r="A1450" s="424"/>
      <c r="B1450" s="424"/>
      <c r="C1450" s="424"/>
      <c r="D1450" s="424"/>
      <c r="E1450" s="424"/>
      <c r="F1450" s="424"/>
      <c r="G1450" s="424"/>
      <c r="H1450" s="424"/>
      <c r="I1450" s="424"/>
      <c r="J1450" s="424"/>
      <c r="K1450" s="424"/>
      <c r="L1450" s="424"/>
      <c r="M1450" s="424"/>
      <c r="N1450" s="424"/>
      <c r="O1450" s="424"/>
      <c r="P1450" s="424"/>
      <c r="Q1450" s="424"/>
      <c r="R1450" s="424"/>
      <c r="S1450" s="424"/>
      <c r="T1450" s="424"/>
      <c r="U1450" s="424"/>
      <c r="V1450" s="436" t="n">
        <f aca="false">AY1455</f>
        <v>0</v>
      </c>
    </row>
    <row r="1451" customFormat="false" ht="13.5" hidden="false" customHeight="false" outlineLevel="0" collapsed="false">
      <c r="A1451" s="424"/>
      <c r="B1451" s="424"/>
      <c r="C1451" s="424"/>
      <c r="D1451" s="424"/>
      <c r="E1451" s="424"/>
      <c r="F1451" s="424"/>
      <c r="G1451" s="424"/>
      <c r="H1451" s="424"/>
      <c r="I1451" s="424"/>
      <c r="J1451" s="424"/>
      <c r="K1451" s="424"/>
      <c r="L1451" s="424"/>
      <c r="M1451" s="424"/>
      <c r="N1451" s="424"/>
      <c r="O1451" s="424"/>
      <c r="P1451" s="424"/>
      <c r="Q1451" s="424"/>
      <c r="R1451" s="424"/>
      <c r="S1451" s="424"/>
      <c r="T1451" s="424"/>
      <c r="U1451" s="424"/>
      <c r="V1451" s="436" t="n">
        <f aca="false">AY1456</f>
        <v>0</v>
      </c>
    </row>
    <row r="1452" customFormat="false" ht="13.5" hidden="false" customHeight="false" outlineLevel="0" collapsed="false">
      <c r="A1452" s="424"/>
      <c r="B1452" s="424"/>
      <c r="C1452" s="424"/>
      <c r="D1452" s="424"/>
      <c r="E1452" s="424"/>
      <c r="F1452" s="424"/>
      <c r="G1452" s="424"/>
      <c r="H1452" s="424"/>
      <c r="I1452" s="424"/>
      <c r="J1452" s="424"/>
      <c r="K1452" s="424"/>
      <c r="L1452" s="424"/>
      <c r="M1452" s="424"/>
      <c r="N1452" s="424"/>
      <c r="O1452" s="424"/>
      <c r="P1452" s="424"/>
      <c r="Q1452" s="424"/>
      <c r="R1452" s="424"/>
      <c r="S1452" s="424"/>
      <c r="T1452" s="424"/>
      <c r="U1452" s="424"/>
      <c r="V1452" s="436" t="n">
        <f aca="false">AY1457</f>
        <v>0</v>
      </c>
    </row>
    <row r="1453" customFormat="false" ht="13.5" hidden="false" customHeight="false" outlineLevel="0" collapsed="false">
      <c r="A1453" s="424"/>
      <c r="B1453" s="424"/>
      <c r="C1453" s="424"/>
      <c r="D1453" s="424"/>
      <c r="E1453" s="424"/>
      <c r="F1453" s="424"/>
      <c r="G1453" s="424"/>
      <c r="H1453" s="424"/>
      <c r="I1453" s="424"/>
      <c r="J1453" s="424"/>
      <c r="K1453" s="424"/>
      <c r="L1453" s="424"/>
      <c r="M1453" s="424"/>
      <c r="N1453" s="424"/>
      <c r="O1453" s="424"/>
      <c r="P1453" s="424"/>
      <c r="Q1453" s="424"/>
      <c r="R1453" s="424"/>
      <c r="S1453" s="424"/>
      <c r="T1453" s="424"/>
      <c r="U1453" s="424"/>
      <c r="V1453" s="436" t="n">
        <f aca="false">AY1458</f>
        <v>0</v>
      </c>
    </row>
    <row r="1454" customFormat="false" ht="13.5" hidden="false" customHeight="false" outlineLevel="0" collapsed="false">
      <c r="A1454" s="424"/>
      <c r="B1454" s="424"/>
      <c r="C1454" s="424"/>
      <c r="D1454" s="424"/>
      <c r="E1454" s="424"/>
      <c r="F1454" s="424"/>
      <c r="G1454" s="424"/>
      <c r="H1454" s="424"/>
      <c r="I1454" s="424"/>
      <c r="J1454" s="424"/>
      <c r="K1454" s="424"/>
      <c r="L1454" s="424"/>
      <c r="M1454" s="424"/>
      <c r="N1454" s="424"/>
      <c r="O1454" s="424"/>
      <c r="P1454" s="424"/>
      <c r="Q1454" s="424"/>
      <c r="R1454" s="424"/>
      <c r="S1454" s="424"/>
      <c r="T1454" s="424"/>
      <c r="U1454" s="424"/>
      <c r="V1454" s="436" t="n">
        <f aca="false">AY1459</f>
        <v>0</v>
      </c>
    </row>
    <row r="1455" customFormat="false" ht="13.5" hidden="false" customHeight="false" outlineLevel="0" collapsed="false">
      <c r="A1455" s="424"/>
      <c r="B1455" s="424"/>
      <c r="C1455" s="424"/>
      <c r="D1455" s="424"/>
      <c r="E1455" s="424"/>
      <c r="F1455" s="424"/>
      <c r="G1455" s="424"/>
      <c r="H1455" s="424"/>
      <c r="I1455" s="424"/>
      <c r="J1455" s="424"/>
      <c r="K1455" s="424"/>
      <c r="L1455" s="424"/>
      <c r="M1455" s="424"/>
      <c r="N1455" s="424"/>
      <c r="O1455" s="424"/>
      <c r="P1455" s="424"/>
      <c r="Q1455" s="424"/>
      <c r="R1455" s="424"/>
      <c r="S1455" s="424"/>
      <c r="T1455" s="424"/>
      <c r="U1455" s="424"/>
      <c r="V1455" s="436" t="n">
        <f aca="false">AY1460</f>
        <v>0</v>
      </c>
    </row>
    <row r="1456" customFormat="false" ht="13.5" hidden="false" customHeight="false" outlineLevel="0" collapsed="false">
      <c r="A1456" s="424"/>
      <c r="B1456" s="424"/>
      <c r="C1456" s="424"/>
      <c r="D1456" s="424"/>
      <c r="E1456" s="424"/>
      <c r="F1456" s="424"/>
      <c r="G1456" s="424"/>
      <c r="H1456" s="424"/>
      <c r="I1456" s="424"/>
      <c r="J1456" s="424"/>
      <c r="K1456" s="424"/>
      <c r="L1456" s="424"/>
      <c r="M1456" s="424"/>
      <c r="N1456" s="424"/>
      <c r="O1456" s="424"/>
      <c r="P1456" s="424"/>
      <c r="Q1456" s="424"/>
      <c r="R1456" s="424"/>
      <c r="S1456" s="424"/>
      <c r="T1456" s="424"/>
      <c r="U1456" s="424"/>
      <c r="V1456" s="436" t="n">
        <f aca="false">AY1461</f>
        <v>0</v>
      </c>
    </row>
    <row r="1457" customFormat="false" ht="13.5" hidden="false" customHeight="false" outlineLevel="0" collapsed="false">
      <c r="A1457" s="424"/>
      <c r="B1457" s="424"/>
      <c r="C1457" s="424"/>
      <c r="D1457" s="424"/>
      <c r="E1457" s="424"/>
      <c r="F1457" s="424"/>
      <c r="G1457" s="424"/>
      <c r="H1457" s="424"/>
      <c r="I1457" s="424"/>
      <c r="J1457" s="424"/>
      <c r="K1457" s="424"/>
      <c r="L1457" s="424"/>
      <c r="M1457" s="424"/>
      <c r="N1457" s="424"/>
      <c r="O1457" s="424"/>
      <c r="P1457" s="424"/>
      <c r="Q1457" s="424"/>
      <c r="R1457" s="424"/>
      <c r="S1457" s="424"/>
      <c r="T1457" s="424"/>
      <c r="U1457" s="424"/>
      <c r="V1457" s="436" t="n">
        <f aca="false">AY1462</f>
        <v>0</v>
      </c>
    </row>
    <row r="1458" customFormat="false" ht="13.5" hidden="false" customHeight="false" outlineLevel="0" collapsed="false">
      <c r="A1458" s="424"/>
      <c r="B1458" s="424"/>
      <c r="C1458" s="424"/>
      <c r="D1458" s="424"/>
      <c r="E1458" s="424"/>
      <c r="F1458" s="424"/>
      <c r="G1458" s="424"/>
      <c r="H1458" s="424"/>
      <c r="I1458" s="424"/>
      <c r="J1458" s="424"/>
      <c r="K1458" s="424"/>
      <c r="L1458" s="424"/>
      <c r="M1458" s="424"/>
      <c r="N1458" s="424"/>
      <c r="O1458" s="424"/>
      <c r="P1458" s="424"/>
      <c r="Q1458" s="424"/>
      <c r="R1458" s="424"/>
      <c r="S1458" s="424"/>
      <c r="T1458" s="424"/>
      <c r="U1458" s="424"/>
      <c r="V1458" s="436" t="n">
        <f aca="false">AY1463</f>
        <v>0</v>
      </c>
    </row>
    <row r="1459" customFormat="false" ht="13.5" hidden="false" customHeight="false" outlineLevel="0" collapsed="false">
      <c r="A1459" s="424"/>
      <c r="B1459" s="424"/>
      <c r="C1459" s="424"/>
      <c r="D1459" s="424"/>
      <c r="E1459" s="424"/>
      <c r="F1459" s="424"/>
      <c r="G1459" s="424"/>
      <c r="H1459" s="424"/>
      <c r="I1459" s="424"/>
      <c r="J1459" s="424"/>
      <c r="K1459" s="424"/>
      <c r="L1459" s="424"/>
      <c r="M1459" s="424"/>
      <c r="N1459" s="424"/>
      <c r="O1459" s="424"/>
      <c r="P1459" s="424"/>
      <c r="Q1459" s="424"/>
      <c r="R1459" s="424"/>
      <c r="S1459" s="424"/>
      <c r="T1459" s="424"/>
      <c r="U1459" s="424"/>
      <c r="V1459" s="436" t="n">
        <f aca="false">AY1464</f>
        <v>0</v>
      </c>
    </row>
    <row r="1462" customFormat="false" ht="13.5" hidden="false" customHeight="false" outlineLevel="0" collapsed="false">
      <c r="A1462" s="424"/>
      <c r="B1462" s="424"/>
      <c r="C1462" s="424"/>
      <c r="D1462" s="424"/>
      <c r="E1462" s="424"/>
      <c r="F1462" s="424"/>
      <c r="G1462" s="424"/>
      <c r="H1462" s="424"/>
      <c r="I1462" s="424"/>
      <c r="J1462" s="424"/>
      <c r="K1462" s="424"/>
      <c r="L1462" s="424"/>
      <c r="M1462" s="424"/>
      <c r="N1462" s="424"/>
      <c r="O1462" s="424"/>
      <c r="P1462" s="424"/>
      <c r="Q1462" s="424"/>
      <c r="R1462" s="434" t="s">
        <v>400</v>
      </c>
      <c r="S1462" s="424"/>
      <c r="T1462" s="424"/>
      <c r="U1462" s="424"/>
      <c r="V1462" s="435" t="n">
        <f aca="false">SUM(V1464:V1496)</f>
        <v>0</v>
      </c>
    </row>
    <row r="1463" customFormat="false" ht="13.5" hidden="false" customHeight="false" outlineLevel="0" collapsed="false">
      <c r="A1463" s="424"/>
      <c r="B1463" s="424"/>
      <c r="C1463" s="424"/>
      <c r="D1463" s="424"/>
      <c r="E1463" s="424"/>
      <c r="F1463" s="424"/>
      <c r="G1463" s="424"/>
      <c r="H1463" s="424"/>
      <c r="I1463" s="424"/>
      <c r="J1463" s="424"/>
      <c r="K1463" s="424"/>
      <c r="L1463" s="424"/>
      <c r="M1463" s="424"/>
      <c r="N1463" s="424"/>
      <c r="O1463" s="424"/>
      <c r="P1463" s="424"/>
      <c r="Q1463" s="435" t="n">
        <v>0</v>
      </c>
      <c r="R1463" s="424"/>
      <c r="S1463" s="435" t="n">
        <v>0</v>
      </c>
      <c r="T1463" s="424"/>
      <c r="U1463" s="424"/>
      <c r="V1463" s="436" t="n">
        <f aca="false">AY1463</f>
        <v>0</v>
      </c>
    </row>
    <row r="1464" customFormat="false" ht="13.5" hidden="false" customHeight="false" outlineLevel="0" collapsed="false">
      <c r="A1464" s="424"/>
      <c r="B1464" s="424"/>
      <c r="C1464" s="424"/>
      <c r="D1464" s="424"/>
      <c r="E1464" s="424"/>
      <c r="F1464" s="424"/>
      <c r="G1464" s="424"/>
      <c r="H1464" s="424"/>
      <c r="I1464" s="424"/>
      <c r="J1464" s="424"/>
      <c r="K1464" s="424"/>
      <c r="L1464" s="424"/>
      <c r="M1464" s="424"/>
      <c r="N1464" s="424"/>
      <c r="O1464" s="424"/>
      <c r="P1464" s="424"/>
      <c r="Q1464" s="435" t="n">
        <v>1</v>
      </c>
      <c r="R1464" s="434" t="s">
        <v>401</v>
      </c>
      <c r="S1464" s="434" t="s">
        <v>402</v>
      </c>
      <c r="T1464" s="434" t="s">
        <v>403</v>
      </c>
      <c r="U1464" s="434" t="s">
        <v>404</v>
      </c>
      <c r="V1464" s="436" t="n">
        <f aca="false">AY1464</f>
        <v>0</v>
      </c>
    </row>
    <row r="1465" customFormat="false" ht="13.5" hidden="false" customHeight="false" outlineLevel="0" collapsed="false">
      <c r="A1465" s="424"/>
      <c r="B1465" s="424"/>
      <c r="C1465" s="424"/>
      <c r="D1465" s="424"/>
      <c r="E1465" s="424"/>
      <c r="F1465" s="424"/>
      <c r="G1465" s="424"/>
      <c r="H1465" s="424"/>
      <c r="I1465" s="424"/>
      <c r="J1465" s="424"/>
      <c r="K1465" s="424"/>
      <c r="L1465" s="424"/>
      <c r="M1465" s="424"/>
      <c r="N1465" s="424"/>
      <c r="O1465" s="424"/>
      <c r="P1465" s="424"/>
      <c r="Q1465" s="435" t="n">
        <v>2</v>
      </c>
      <c r="R1465" s="434" t="s">
        <v>405</v>
      </c>
      <c r="S1465" s="434" t="s">
        <v>406</v>
      </c>
      <c r="T1465" s="434" t="s">
        <v>407</v>
      </c>
      <c r="U1465" s="434" t="s">
        <v>408</v>
      </c>
      <c r="V1465" s="436" t="n">
        <f aca="false">AY1465</f>
        <v>0</v>
      </c>
    </row>
    <row r="1466" customFormat="false" ht="13.5" hidden="false" customHeight="false" outlineLevel="0" collapsed="false">
      <c r="A1466" s="424"/>
      <c r="B1466" s="424"/>
      <c r="C1466" s="424"/>
      <c r="D1466" s="424"/>
      <c r="E1466" s="424"/>
      <c r="F1466" s="424"/>
      <c r="G1466" s="424"/>
      <c r="H1466" s="424"/>
      <c r="I1466" s="424"/>
      <c r="J1466" s="424"/>
      <c r="K1466" s="424"/>
      <c r="L1466" s="424"/>
      <c r="M1466" s="424"/>
      <c r="N1466" s="424"/>
      <c r="O1466" s="424"/>
      <c r="P1466" s="424"/>
      <c r="Q1466" s="435" t="n">
        <v>3</v>
      </c>
      <c r="R1466" s="434" t="s">
        <v>409</v>
      </c>
      <c r="S1466" s="434" t="s">
        <v>410</v>
      </c>
      <c r="T1466" s="434" t="s">
        <v>411</v>
      </c>
      <c r="U1466" s="434" t="s">
        <v>412</v>
      </c>
      <c r="V1466" s="436" t="n">
        <f aca="false">AY1466</f>
        <v>0</v>
      </c>
    </row>
    <row r="1467" customFormat="false" ht="13.5" hidden="false" customHeight="false" outlineLevel="0" collapsed="false">
      <c r="A1467" s="424"/>
      <c r="B1467" s="424"/>
      <c r="C1467" s="424"/>
      <c r="D1467" s="424"/>
      <c r="E1467" s="424"/>
      <c r="F1467" s="424"/>
      <c r="G1467" s="424"/>
      <c r="H1467" s="424"/>
      <c r="I1467" s="424"/>
      <c r="J1467" s="424"/>
      <c r="K1467" s="424"/>
      <c r="L1467" s="424"/>
      <c r="M1467" s="424"/>
      <c r="N1467" s="424"/>
      <c r="O1467" s="424"/>
      <c r="P1467" s="424"/>
      <c r="Q1467" s="435" t="n">
        <v>4</v>
      </c>
      <c r="R1467" s="434" t="s">
        <v>413</v>
      </c>
      <c r="S1467" s="434" t="s">
        <v>414</v>
      </c>
      <c r="T1467" s="434" t="s">
        <v>415</v>
      </c>
      <c r="U1467" s="434" t="s">
        <v>416</v>
      </c>
      <c r="V1467" s="436" t="n">
        <f aca="false">AY1467</f>
        <v>0</v>
      </c>
    </row>
    <row r="1468" customFormat="false" ht="13.5" hidden="false" customHeight="false" outlineLevel="0" collapsed="false">
      <c r="A1468" s="424"/>
      <c r="B1468" s="424"/>
      <c r="C1468" s="424"/>
      <c r="D1468" s="424"/>
      <c r="E1468" s="424"/>
      <c r="F1468" s="424"/>
      <c r="G1468" s="424"/>
      <c r="H1468" s="424"/>
      <c r="I1468" s="424"/>
      <c r="J1468" s="424"/>
      <c r="K1468" s="424"/>
      <c r="L1468" s="424"/>
      <c r="M1468" s="424"/>
      <c r="N1468" s="424"/>
      <c r="O1468" s="424"/>
      <c r="P1468" s="438" t="s">
        <v>417</v>
      </c>
      <c r="Q1468" s="435" t="n">
        <v>5</v>
      </c>
      <c r="R1468" s="434" t="s">
        <v>418</v>
      </c>
      <c r="S1468" s="434" t="s">
        <v>419</v>
      </c>
      <c r="T1468" s="434" t="s">
        <v>420</v>
      </c>
      <c r="U1468" s="434" t="s">
        <v>421</v>
      </c>
      <c r="V1468" s="436" t="n">
        <f aca="false">AY1468</f>
        <v>0</v>
      </c>
    </row>
    <row r="1469" customFormat="false" ht="13.5" hidden="false" customHeight="false" outlineLevel="0" collapsed="false">
      <c r="A1469" s="424"/>
      <c r="B1469" s="424"/>
      <c r="C1469" s="424"/>
      <c r="D1469" s="424"/>
      <c r="E1469" s="424"/>
      <c r="F1469" s="424"/>
      <c r="G1469" s="424"/>
      <c r="H1469" s="424"/>
      <c r="I1469" s="424"/>
      <c r="J1469" s="424"/>
      <c r="K1469" s="424"/>
      <c r="L1469" s="424"/>
      <c r="M1469" s="424"/>
      <c r="N1469" s="424"/>
      <c r="O1469" s="424"/>
      <c r="P1469" s="438" t="s">
        <v>417</v>
      </c>
      <c r="Q1469" s="435" t="n">
        <v>6</v>
      </c>
      <c r="R1469" s="434" t="s">
        <v>422</v>
      </c>
      <c r="S1469" s="434" t="s">
        <v>423</v>
      </c>
      <c r="T1469" s="434" t="s">
        <v>424</v>
      </c>
      <c r="U1469" s="434" t="s">
        <v>425</v>
      </c>
      <c r="V1469" s="436" t="n">
        <f aca="false">AY1469</f>
        <v>0</v>
      </c>
    </row>
    <row r="1470" customFormat="false" ht="13.5" hidden="false" customHeight="false" outlineLevel="0" collapsed="false">
      <c r="A1470" s="424"/>
      <c r="B1470" s="424"/>
      <c r="C1470" s="424"/>
      <c r="D1470" s="424"/>
      <c r="E1470" s="424"/>
      <c r="F1470" s="424"/>
      <c r="G1470" s="424"/>
      <c r="H1470" s="424"/>
      <c r="I1470" s="424"/>
      <c r="J1470" s="424"/>
      <c r="K1470" s="424"/>
      <c r="L1470" s="424"/>
      <c r="M1470" s="424"/>
      <c r="N1470" s="424"/>
      <c r="O1470" s="424"/>
      <c r="P1470" s="438" t="s">
        <v>417</v>
      </c>
      <c r="Q1470" s="435" t="n">
        <v>7</v>
      </c>
      <c r="R1470" s="434" t="s">
        <v>426</v>
      </c>
      <c r="S1470" s="434" t="s">
        <v>427</v>
      </c>
      <c r="T1470" s="434" t="s">
        <v>428</v>
      </c>
      <c r="U1470" s="434" t="s">
        <v>429</v>
      </c>
      <c r="V1470" s="436" t="n">
        <f aca="false">AY1470</f>
        <v>0</v>
      </c>
    </row>
    <row r="1471" customFormat="false" ht="13.5" hidden="false" customHeight="false" outlineLevel="0" collapsed="false">
      <c r="A1471" s="424"/>
      <c r="B1471" s="424"/>
      <c r="C1471" s="424"/>
      <c r="D1471" s="424"/>
      <c r="E1471" s="424"/>
      <c r="F1471" s="424"/>
      <c r="G1471" s="424"/>
      <c r="H1471" s="424"/>
      <c r="I1471" s="424"/>
      <c r="J1471" s="424"/>
      <c r="K1471" s="424"/>
      <c r="L1471" s="424"/>
      <c r="M1471" s="424"/>
      <c r="N1471" s="424"/>
      <c r="O1471" s="424"/>
      <c r="P1471" s="438" t="s">
        <v>417</v>
      </c>
      <c r="Q1471" s="435" t="n">
        <v>8</v>
      </c>
      <c r="R1471" s="434" t="s">
        <v>430</v>
      </c>
      <c r="S1471" s="434" t="s">
        <v>431</v>
      </c>
      <c r="T1471" s="434" t="s">
        <v>432</v>
      </c>
      <c r="U1471" s="434" t="s">
        <v>433</v>
      </c>
      <c r="V1471" s="436" t="n">
        <f aca="false">AY1471</f>
        <v>0</v>
      </c>
    </row>
    <row r="1472" customFormat="false" ht="13.5" hidden="false" customHeight="false" outlineLevel="0" collapsed="false">
      <c r="A1472" s="424"/>
      <c r="B1472" s="424"/>
      <c r="C1472" s="424"/>
      <c r="D1472" s="424"/>
      <c r="E1472" s="424"/>
      <c r="F1472" s="424"/>
      <c r="G1472" s="424"/>
      <c r="H1472" s="424"/>
      <c r="I1472" s="424"/>
      <c r="J1472" s="424"/>
      <c r="K1472" s="424"/>
      <c r="L1472" s="424"/>
      <c r="M1472" s="424"/>
      <c r="N1472" s="424"/>
      <c r="O1472" s="424"/>
      <c r="P1472" s="438" t="s">
        <v>417</v>
      </c>
      <c r="Q1472" s="435" t="n">
        <v>9</v>
      </c>
      <c r="R1472" s="434" t="s">
        <v>434</v>
      </c>
      <c r="S1472" s="434" t="s">
        <v>435</v>
      </c>
      <c r="T1472" s="434" t="s">
        <v>436</v>
      </c>
      <c r="U1472" s="434" t="s">
        <v>437</v>
      </c>
      <c r="V1472" s="436" t="n">
        <f aca="false">AY1472</f>
        <v>0</v>
      </c>
    </row>
    <row r="1473" customFormat="false" ht="13.5" hidden="false" customHeight="false" outlineLevel="0" collapsed="false">
      <c r="A1473" s="424"/>
      <c r="B1473" s="424"/>
      <c r="C1473" s="424"/>
      <c r="D1473" s="424"/>
      <c r="E1473" s="424"/>
      <c r="F1473" s="424"/>
      <c r="G1473" s="424"/>
      <c r="H1473" s="424"/>
      <c r="I1473" s="424"/>
      <c r="J1473" s="424"/>
      <c r="K1473" s="424"/>
      <c r="L1473" s="424"/>
      <c r="M1473" s="424"/>
      <c r="N1473" s="424"/>
      <c r="O1473" s="424"/>
      <c r="P1473" s="438" t="s">
        <v>417</v>
      </c>
      <c r="Q1473" s="435" t="n">
        <v>10</v>
      </c>
      <c r="R1473" s="434" t="s">
        <v>438</v>
      </c>
      <c r="S1473" s="424"/>
      <c r="T1473" s="434" t="s">
        <v>439</v>
      </c>
      <c r="U1473" s="434" t="s">
        <v>440</v>
      </c>
      <c r="V1473" s="436" t="n">
        <f aca="false">AY1473</f>
        <v>0</v>
      </c>
    </row>
    <row r="1474" customFormat="false" ht="13.5" hidden="false" customHeight="false" outlineLevel="0" collapsed="false">
      <c r="A1474" s="424"/>
      <c r="B1474" s="424"/>
      <c r="C1474" s="424"/>
      <c r="D1474" s="424"/>
      <c r="E1474" s="424"/>
      <c r="F1474" s="435" t="n">
        <f aca="false">TRUNC(+A1476/1000000)</f>
        <v>0</v>
      </c>
      <c r="G1474" s="424"/>
      <c r="H1474" s="424"/>
      <c r="I1474" s="424"/>
      <c r="J1474" s="424"/>
      <c r="K1474" s="424"/>
      <c r="L1474" s="424"/>
      <c r="M1474" s="424"/>
      <c r="N1474" s="424"/>
      <c r="O1474" s="424"/>
      <c r="P1474" s="438" t="s">
        <v>417</v>
      </c>
      <c r="Q1474" s="435" t="n">
        <v>11</v>
      </c>
      <c r="R1474" s="434" t="s">
        <v>441</v>
      </c>
      <c r="S1474" s="424"/>
      <c r="T1474" s="434" t="s">
        <v>442</v>
      </c>
      <c r="U1474" s="434" t="s">
        <v>443</v>
      </c>
      <c r="V1474" s="436" t="n">
        <f aca="false">AY1474</f>
        <v>0</v>
      </c>
    </row>
    <row r="1475" customFormat="false" ht="13.5" hidden="false" customHeight="false" outlineLevel="0" collapsed="false">
      <c r="A1475" s="424"/>
      <c r="B1475" s="424"/>
      <c r="C1475" s="424"/>
      <c r="D1475" s="424"/>
      <c r="E1475" s="424"/>
      <c r="F1475" s="435" t="e">
        <f aca="false">(+B1479*100000+C1479*1000+E1479*100)</f>
        <v>#VALUE!</v>
      </c>
      <c r="G1475" s="424"/>
      <c r="H1475" s="424"/>
      <c r="I1475" s="424"/>
      <c r="J1475" s="424"/>
      <c r="K1475" s="424"/>
      <c r="L1475" s="434" t="s">
        <v>444</v>
      </c>
      <c r="M1475" s="424"/>
      <c r="N1475" s="424"/>
      <c r="O1475" s="424"/>
      <c r="P1475" s="438" t="s">
        <v>417</v>
      </c>
      <c r="Q1475" s="435" t="n">
        <v>12</v>
      </c>
      <c r="R1475" s="434" t="s">
        <v>445</v>
      </c>
      <c r="S1475" s="424"/>
      <c r="T1475" s="434" t="s">
        <v>446</v>
      </c>
      <c r="U1475" s="434" t="s">
        <v>447</v>
      </c>
      <c r="V1475" s="436" t="n">
        <f aca="false">AY1475</f>
        <v>0</v>
      </c>
    </row>
    <row r="1476" customFormat="false" ht="13.5" hidden="false" customHeight="false" outlineLevel="0" collapsed="false">
      <c r="A1476" s="436" t="n">
        <f aca="false">TRUNC(+A1477)</f>
        <v>12</v>
      </c>
      <c r="B1476" s="424"/>
      <c r="C1476" s="424"/>
      <c r="D1476" s="424"/>
      <c r="E1476" s="440" t="n">
        <f aca="false">TRUNC(+A1476/100000000)</f>
        <v>0</v>
      </c>
      <c r="F1476" s="424"/>
      <c r="G1476" s="424"/>
      <c r="H1476" s="424"/>
      <c r="I1476" s="424"/>
      <c r="J1476" s="424"/>
      <c r="K1476" s="424"/>
      <c r="L1476" s="424"/>
      <c r="M1476" s="424"/>
      <c r="N1476" s="424"/>
      <c r="O1476" s="424"/>
      <c r="P1476" s="438" t="s">
        <v>417</v>
      </c>
      <c r="Q1476" s="435" t="n">
        <v>13</v>
      </c>
      <c r="R1476" s="434" t="s">
        <v>448</v>
      </c>
      <c r="S1476" s="424"/>
      <c r="T1476" s="434" t="s">
        <v>449</v>
      </c>
      <c r="U1476" s="434" t="s">
        <v>450</v>
      </c>
      <c r="V1476" s="436" t="n">
        <f aca="false">AY1476</f>
        <v>0</v>
      </c>
    </row>
    <row r="1477" customFormat="false" ht="13.5" hidden="false" customHeight="false" outlineLevel="0" collapsed="false">
      <c r="A1477" s="441" t="n">
        <v>12</v>
      </c>
      <c r="B1477" s="434" t="s">
        <v>451</v>
      </c>
      <c r="C1477" s="434" t="s">
        <v>452</v>
      </c>
      <c r="D1477" s="424"/>
      <c r="E1477" s="434" t="s">
        <v>452</v>
      </c>
      <c r="F1477" s="424"/>
      <c r="G1477" s="424"/>
      <c r="H1477" s="424"/>
      <c r="I1477" s="440" t="n">
        <f aca="false">TRUNC((+A1476-(+F1474*1000000))/1000)</f>
        <v>0</v>
      </c>
      <c r="J1477" s="424"/>
      <c r="K1477" s="440" t="n">
        <f aca="false">(TRUNC((+A1476-(+F1474*1000000))/1))-I1477*1000</f>
        <v>12</v>
      </c>
      <c r="L1477" s="424"/>
      <c r="M1477" s="424"/>
      <c r="N1477" s="424"/>
      <c r="O1477" s="424"/>
      <c r="P1477" s="438" t="s">
        <v>417</v>
      </c>
      <c r="Q1477" s="435" t="n">
        <v>14</v>
      </c>
      <c r="R1477" s="434" t="s">
        <v>453</v>
      </c>
      <c r="S1477" s="424"/>
      <c r="T1477" s="434" t="s">
        <v>454</v>
      </c>
      <c r="U1477" s="434" t="s">
        <v>455</v>
      </c>
      <c r="V1477" s="436" t="n">
        <f aca="false">AY1477</f>
        <v>0</v>
      </c>
    </row>
    <row r="1478" customFormat="false" ht="13.5" hidden="false" customHeight="false" outlineLevel="0" collapsed="false">
      <c r="A1478" s="424"/>
      <c r="B1478" s="442" t="s">
        <v>712</v>
      </c>
      <c r="C1478" s="442" t="s">
        <v>712</v>
      </c>
      <c r="D1478" s="424"/>
      <c r="E1478" s="442" t="s">
        <v>712</v>
      </c>
      <c r="F1478" s="424"/>
      <c r="G1478" s="424"/>
      <c r="H1478" s="424"/>
      <c r="I1478" s="424"/>
      <c r="J1478" s="424"/>
      <c r="K1478" s="424"/>
      <c r="L1478" s="424"/>
      <c r="M1478" s="424"/>
      <c r="N1478" s="440" t="n">
        <f aca="false">ROUND(((+A1477-A1476)*100),1)</f>
        <v>0</v>
      </c>
      <c r="O1478" s="424"/>
      <c r="P1478" s="438" t="s">
        <v>417</v>
      </c>
      <c r="Q1478" s="435" t="n">
        <v>15</v>
      </c>
      <c r="R1478" s="434" t="s">
        <v>457</v>
      </c>
      <c r="S1478" s="424"/>
      <c r="T1478" s="434" t="s">
        <v>458</v>
      </c>
      <c r="U1478" s="434" t="s">
        <v>459</v>
      </c>
      <c r="V1478" s="436" t="n">
        <f aca="false">AY1478</f>
        <v>0</v>
      </c>
    </row>
    <row r="1479" customFormat="false" ht="13.5" hidden="false" customHeight="false" outlineLevel="0" collapsed="false">
      <c r="A1479" s="424"/>
      <c r="B1479" s="440" t="n">
        <f aca="false">TRUNC(+A1477/100000000000)</f>
        <v>0</v>
      </c>
      <c r="C1479" s="440" t="n">
        <f aca="false">(TRUNC(+A1476/1000000000))-B1479*100</f>
        <v>0</v>
      </c>
      <c r="D1479" s="424"/>
      <c r="E1479" s="435" t="str">
        <f aca="false">IF(E1476&gt;0,TRUNC(+E1476-B1479*1000-C1479*10),"")</f>
        <v/>
      </c>
      <c r="F1479" s="435" t="e">
        <f aca="false">F1474-F1475</f>
        <v>#VALUE!</v>
      </c>
      <c r="G1479" s="435" t="e">
        <f aca="false">G1481</f>
        <v>#VALUE!</v>
      </c>
      <c r="H1479" s="440" t="n">
        <f aca="false">TRUNC((+A1476-(+F1474*1000000))/100000)</f>
        <v>0</v>
      </c>
      <c r="I1479" s="440" t="n">
        <f aca="false">I1477-H1479*100</f>
        <v>0</v>
      </c>
      <c r="J1479" s="424"/>
      <c r="K1479" s="440" t="n">
        <f aca="false">TRUNC(+K1477/100)</f>
        <v>0</v>
      </c>
      <c r="L1479" s="440" t="n">
        <f aca="false">K1477-K1479*100</f>
        <v>12</v>
      </c>
      <c r="M1479" s="440" t="str">
        <f aca="false">IF(N1479&gt;0," &amp; Sen ","")</f>
        <v/>
      </c>
      <c r="N1479" s="435" t="n">
        <f aca="false">N1478</f>
        <v>0</v>
      </c>
      <c r="O1479" s="424"/>
      <c r="P1479" s="438" t="s">
        <v>417</v>
      </c>
      <c r="Q1479" s="435" t="n">
        <v>16</v>
      </c>
      <c r="R1479" s="434" t="s">
        <v>460</v>
      </c>
      <c r="S1479" s="424"/>
      <c r="T1479" s="434" t="s">
        <v>461</v>
      </c>
      <c r="U1479" s="434" t="s">
        <v>462</v>
      </c>
      <c r="V1479" s="436" t="n">
        <f aca="false">AY1479</f>
        <v>0</v>
      </c>
    </row>
    <row r="1480" customFormat="false" ht="13.5" hidden="false" customHeight="false" outlineLevel="0" collapsed="false">
      <c r="A1480" s="424"/>
      <c r="B1480" s="424"/>
      <c r="C1480" s="424"/>
      <c r="D1480" s="424"/>
      <c r="E1480" s="424"/>
      <c r="F1480" s="424"/>
      <c r="G1480" s="424"/>
      <c r="H1480" s="424"/>
      <c r="I1480" s="424"/>
      <c r="J1480" s="424"/>
      <c r="K1480" s="424"/>
      <c r="L1480" s="424"/>
      <c r="M1480" s="424"/>
      <c r="N1480" s="424"/>
      <c r="O1480" s="424"/>
      <c r="P1480" s="438" t="s">
        <v>417</v>
      </c>
      <c r="Q1480" s="435" t="n">
        <v>17</v>
      </c>
      <c r="R1480" s="434" t="s">
        <v>463</v>
      </c>
      <c r="S1480" s="424"/>
      <c r="T1480" s="434" t="s">
        <v>464</v>
      </c>
      <c r="U1480" s="434" t="s">
        <v>465</v>
      </c>
      <c r="V1480" s="436" t="n">
        <f aca="false">AY1480</f>
        <v>0</v>
      </c>
    </row>
    <row r="1481" customFormat="false" ht="13.5" hidden="false" customHeight="false" outlineLevel="0" collapsed="false">
      <c r="A1481" s="440" t="n">
        <f aca="false">B1479*100000000000</f>
        <v>0</v>
      </c>
      <c r="B1481" s="440" t="str">
        <f aca="false">IF(B1479&gt;0,VLOOKUP(B1479,$Q$7:$T$15,3),"")</f>
        <v/>
      </c>
      <c r="C1481" s="440" t="str">
        <f aca="false">IF(C1479&gt;0,VLOOKUP(C1479,Q1464:R1562,2),"")</f>
        <v/>
      </c>
      <c r="D1481" s="440" t="str">
        <f aca="false">IF(B1476+C1479&gt;0," Milyar","")</f>
        <v/>
      </c>
      <c r="E1481" s="440" t="e">
        <f aca="false">IF(E1479&gt;0,VLOOKUP(E1479,$Q$7:$T$15,3),"")</f>
        <v>#N/A</v>
      </c>
      <c r="F1481" s="440" t="e">
        <f aca="false">IF(F1479&gt;0,VLOOKUP(F1479,Q1464:R1562,2),"")</f>
        <v>#VALUE!</v>
      </c>
      <c r="G1481" s="435" t="e">
        <f aca="false">IF(F1479+E1479&gt;0," Juta","")</f>
        <v>#VALUE!</v>
      </c>
      <c r="H1481" s="440" t="str">
        <f aca="false">IF(H1479&gt;0,VLOOKUP(H1479,$Q$7:$T$15,3),"")</f>
        <v/>
      </c>
      <c r="I1481" s="440" t="str">
        <f aca="false">IF(I1479=1," Se",IF(I1479=0,"",VLOOKUP(I1479,Q1464:R1562,2)))</f>
        <v/>
      </c>
      <c r="J1481" s="435" t="str">
        <f aca="false">IF(I1479+H1479&gt;0," ribu","")</f>
        <v/>
      </c>
      <c r="K1481" s="440" t="str">
        <f aca="false">IF(K1479&gt;0,VLOOKUP(K1479,Q1464:S1472,3),"")</f>
        <v/>
      </c>
      <c r="L1481" s="440" t="str">
        <f aca="false">IF(L1479&gt;0,VLOOKUP(L1479,Q1464:R1562,2),"")</f>
        <v> Dua belas</v>
      </c>
      <c r="M1481" s="440" t="str">
        <f aca="false">IF(N1479&gt;0,VLOOKUP(N1478,Q1463:U1562,5)," Rupiah ")</f>
        <v> Rupiah </v>
      </c>
      <c r="N1481" s="424"/>
      <c r="O1481" s="435" t="str">
        <f aca="false">IF(N1479&gt;0," ====","")</f>
        <v/>
      </c>
      <c r="P1481" s="435" t="str">
        <f aca="false">IF(N1479&gt;0,"-","====")</f>
        <v>====</v>
      </c>
      <c r="Q1481" s="435" t="n">
        <v>18</v>
      </c>
      <c r="R1481" s="434" t="s">
        <v>466</v>
      </c>
      <c r="S1481" s="424"/>
      <c r="T1481" s="434" t="s">
        <v>467</v>
      </c>
      <c r="U1481" s="434" t="s">
        <v>468</v>
      </c>
      <c r="V1481" s="436" t="n">
        <f aca="false">AY1481</f>
        <v>0</v>
      </c>
    </row>
    <row r="1482" customFormat="false" ht="13.5" hidden="false" customHeight="false" outlineLevel="0" collapsed="false">
      <c r="A1482" s="440"/>
      <c r="B1482" s="435" t="str">
        <f aca="false">B1481</f>
        <v/>
      </c>
      <c r="C1482" s="424"/>
      <c r="D1482" s="424"/>
      <c r="E1482" s="424"/>
      <c r="F1482" s="424"/>
      <c r="G1482" s="424"/>
      <c r="H1482" s="424"/>
      <c r="I1482" s="424"/>
      <c r="J1482" s="424"/>
      <c r="K1482" s="424"/>
      <c r="L1482" s="424"/>
      <c r="M1482" s="424"/>
      <c r="N1482" s="424"/>
      <c r="O1482" s="424"/>
      <c r="P1482" s="438" t="s">
        <v>417</v>
      </c>
      <c r="Q1482" s="435" t="n">
        <v>19</v>
      </c>
      <c r="R1482" s="434" t="s">
        <v>469</v>
      </c>
      <c r="S1482" s="424"/>
      <c r="T1482" s="434" t="s">
        <v>470</v>
      </c>
      <c r="U1482" s="434" t="s">
        <v>471</v>
      </c>
      <c r="V1482" s="436" t="n">
        <f aca="false">AY1487</f>
        <v>0</v>
      </c>
    </row>
    <row r="1483" customFormat="false" ht="13.5" hidden="false" customHeight="false" outlineLevel="0" collapsed="false">
      <c r="A1483" s="440"/>
      <c r="B1483" s="435" t="str">
        <f aca="false">C1481</f>
        <v/>
      </c>
      <c r="C1483" s="424"/>
      <c r="D1483" s="424"/>
      <c r="E1483" s="424"/>
      <c r="F1483" s="424"/>
      <c r="G1483" s="424"/>
      <c r="H1483" s="424"/>
      <c r="I1483" s="424"/>
      <c r="J1483" s="424"/>
      <c r="K1483" s="424"/>
      <c r="L1483" s="424"/>
      <c r="M1483" s="424"/>
      <c r="N1483" s="424"/>
      <c r="O1483" s="424"/>
      <c r="P1483" s="438" t="s">
        <v>417</v>
      </c>
      <c r="Q1483" s="435" t="n">
        <v>20</v>
      </c>
      <c r="R1483" s="434" t="s">
        <v>472</v>
      </c>
      <c r="S1483" s="424"/>
      <c r="T1483" s="434" t="s">
        <v>473</v>
      </c>
      <c r="U1483" s="434" t="s">
        <v>474</v>
      </c>
      <c r="V1483" s="436" t="n">
        <f aca="false">AY1488</f>
        <v>0</v>
      </c>
    </row>
    <row r="1484" customFormat="false" ht="13.5" hidden="false" customHeight="false" outlineLevel="0" collapsed="false">
      <c r="A1484" s="440"/>
      <c r="B1484" s="435" t="str">
        <f aca="false">D1481</f>
        <v/>
      </c>
      <c r="C1484" s="424"/>
      <c r="D1484" s="424"/>
      <c r="E1484" s="424"/>
      <c r="F1484" s="424"/>
      <c r="G1484" s="424"/>
      <c r="H1484" s="424"/>
      <c r="I1484" s="424"/>
      <c r="J1484" s="424"/>
      <c r="K1484" s="424"/>
      <c r="L1484" s="424"/>
      <c r="M1484" s="424"/>
      <c r="N1484" s="424"/>
      <c r="O1484" s="424"/>
      <c r="P1484" s="438" t="s">
        <v>417</v>
      </c>
      <c r="Q1484" s="435" t="n">
        <v>21</v>
      </c>
      <c r="R1484" s="434" t="s">
        <v>475</v>
      </c>
      <c r="S1484" s="424"/>
      <c r="T1484" s="434" t="s">
        <v>476</v>
      </c>
      <c r="U1484" s="434" t="s">
        <v>477</v>
      </c>
      <c r="V1484" s="436" t="n">
        <f aca="false">AY1489</f>
        <v>0</v>
      </c>
    </row>
    <row r="1485" customFormat="false" ht="13.5" hidden="false" customHeight="false" outlineLevel="0" collapsed="false">
      <c r="A1485" s="440"/>
      <c r="B1485" s="435" t="e">
        <f aca="false">E1481</f>
        <v>#N/A</v>
      </c>
      <c r="C1485" s="424"/>
      <c r="D1485" s="424"/>
      <c r="E1485" s="424"/>
      <c r="F1485" s="424"/>
      <c r="G1485" s="424"/>
      <c r="H1485" s="424"/>
      <c r="I1485" s="424"/>
      <c r="J1485" s="424"/>
      <c r="K1485" s="424"/>
      <c r="L1485" s="424"/>
      <c r="M1485" s="424"/>
      <c r="N1485" s="424"/>
      <c r="O1485" s="424"/>
      <c r="P1485" s="424"/>
      <c r="Q1485" s="435" t="n">
        <v>22</v>
      </c>
      <c r="R1485" s="434" t="s">
        <v>478</v>
      </c>
      <c r="S1485" s="424"/>
      <c r="T1485" s="434" t="s">
        <v>479</v>
      </c>
      <c r="U1485" s="434" t="s">
        <v>480</v>
      </c>
      <c r="V1485" s="436" t="n">
        <f aca="false">AY1490</f>
        <v>0</v>
      </c>
    </row>
    <row r="1486" customFormat="false" ht="13.5" hidden="false" customHeight="false" outlineLevel="0" collapsed="false">
      <c r="A1486" s="440"/>
      <c r="B1486" s="435" t="e">
        <f aca="false">F1481</f>
        <v>#VALUE!</v>
      </c>
      <c r="C1486" s="424"/>
      <c r="D1486" s="424"/>
      <c r="E1486" s="424"/>
      <c r="F1486" s="424"/>
      <c r="G1486" s="424"/>
      <c r="H1486" s="424"/>
      <c r="I1486" s="424"/>
      <c r="J1486" s="424"/>
      <c r="K1486" s="424"/>
      <c r="L1486" s="424"/>
      <c r="M1486" s="424"/>
      <c r="N1486" s="424"/>
      <c r="O1486" s="424"/>
      <c r="P1486" s="438" t="s">
        <v>417</v>
      </c>
      <c r="Q1486" s="435" t="n">
        <v>23</v>
      </c>
      <c r="R1486" s="434" t="s">
        <v>481</v>
      </c>
      <c r="S1486" s="424"/>
      <c r="T1486" s="434" t="s">
        <v>482</v>
      </c>
      <c r="U1486" s="434" t="s">
        <v>483</v>
      </c>
      <c r="V1486" s="436" t="n">
        <f aca="false">AY1491</f>
        <v>0</v>
      </c>
    </row>
    <row r="1487" customFormat="false" ht="13.5" hidden="false" customHeight="false" outlineLevel="0" collapsed="false">
      <c r="A1487" s="424"/>
      <c r="B1487" s="424"/>
      <c r="C1487" s="424"/>
      <c r="D1487" s="424"/>
      <c r="E1487" s="424"/>
      <c r="F1487" s="424"/>
      <c r="G1487" s="424"/>
      <c r="H1487" s="424"/>
      <c r="I1487" s="424"/>
      <c r="J1487" s="424"/>
      <c r="K1487" s="424"/>
      <c r="L1487" s="424"/>
      <c r="M1487" s="424"/>
      <c r="N1487" s="424"/>
      <c r="O1487" s="424"/>
      <c r="P1487" s="438" t="s">
        <v>417</v>
      </c>
      <c r="Q1487" s="435" t="n">
        <v>24</v>
      </c>
      <c r="R1487" s="434" t="s">
        <v>484</v>
      </c>
      <c r="S1487" s="424"/>
      <c r="T1487" s="434" t="s">
        <v>485</v>
      </c>
      <c r="U1487" s="434" t="s">
        <v>486</v>
      </c>
      <c r="V1487" s="436" t="n">
        <f aca="false">AY1492</f>
        <v>0</v>
      </c>
    </row>
    <row r="1488" customFormat="false" ht="13.5" hidden="false" customHeight="false" outlineLevel="0" collapsed="false">
      <c r="A1488" s="424"/>
      <c r="B1488" s="424"/>
      <c r="C1488" s="424"/>
      <c r="D1488" s="424"/>
      <c r="E1488" s="424"/>
      <c r="F1488" s="424"/>
      <c r="G1488" s="424"/>
      <c r="H1488" s="424"/>
      <c r="I1488" s="424"/>
      <c r="J1488" s="424"/>
      <c r="K1488" s="424"/>
      <c r="L1488" s="424"/>
      <c r="M1488" s="424"/>
      <c r="N1488" s="424"/>
      <c r="O1488" s="424"/>
      <c r="P1488" s="438" t="s">
        <v>417</v>
      </c>
      <c r="Q1488" s="435" t="n">
        <v>25</v>
      </c>
      <c r="R1488" s="434" t="s">
        <v>487</v>
      </c>
      <c r="S1488" s="424"/>
      <c r="T1488" s="434" t="s">
        <v>488</v>
      </c>
      <c r="U1488" s="434" t="s">
        <v>489</v>
      </c>
      <c r="V1488" s="436" t="n">
        <f aca="false">AY1493</f>
        <v>0</v>
      </c>
    </row>
    <row r="1489" customFormat="false" ht="13.5" hidden="false" customHeight="false" outlineLevel="0" collapsed="false">
      <c r="A1489" s="424"/>
      <c r="B1489" s="424"/>
      <c r="C1489" s="424"/>
      <c r="D1489" s="424"/>
      <c r="E1489" s="424"/>
      <c r="F1489" s="424"/>
      <c r="G1489" s="424"/>
      <c r="H1489" s="424"/>
      <c r="I1489" s="424"/>
      <c r="J1489" s="424"/>
      <c r="K1489" s="424"/>
      <c r="L1489" s="424"/>
      <c r="M1489" s="424"/>
      <c r="N1489" s="424"/>
      <c r="O1489" s="424"/>
      <c r="P1489" s="438" t="s">
        <v>417</v>
      </c>
      <c r="Q1489" s="435" t="n">
        <v>26</v>
      </c>
      <c r="R1489" s="434" t="s">
        <v>490</v>
      </c>
      <c r="S1489" s="424"/>
      <c r="T1489" s="434" t="s">
        <v>491</v>
      </c>
      <c r="U1489" s="434" t="s">
        <v>492</v>
      </c>
      <c r="V1489" s="436" t="n">
        <f aca="false">AY1494</f>
        <v>0</v>
      </c>
    </row>
    <row r="1490" customFormat="false" ht="13.5" hidden="false" customHeight="false" outlineLevel="0" collapsed="false">
      <c r="A1490" s="424"/>
      <c r="B1490" s="424"/>
      <c r="C1490" s="424"/>
      <c r="D1490" s="424"/>
      <c r="E1490" s="424"/>
      <c r="F1490" s="424"/>
      <c r="G1490" s="424"/>
      <c r="H1490" s="424"/>
      <c r="I1490" s="424"/>
      <c r="J1490" s="424"/>
      <c r="K1490" s="424"/>
      <c r="L1490" s="424"/>
      <c r="M1490" s="424"/>
      <c r="N1490" s="424"/>
      <c r="O1490" s="424"/>
      <c r="P1490" s="424"/>
      <c r="Q1490" s="435" t="n">
        <v>27</v>
      </c>
      <c r="R1490" s="434" t="s">
        <v>493</v>
      </c>
      <c r="S1490" s="424"/>
      <c r="T1490" s="434" t="s">
        <v>494</v>
      </c>
      <c r="U1490" s="434" t="s">
        <v>495</v>
      </c>
      <c r="V1490" s="436" t="n">
        <f aca="false">AY1495</f>
        <v>0</v>
      </c>
    </row>
    <row r="1491" customFormat="false" ht="13.5" hidden="false" customHeight="false" outlineLevel="0" collapsed="false">
      <c r="A1491" s="424"/>
      <c r="B1491" s="424"/>
      <c r="C1491" s="424"/>
      <c r="D1491" s="424"/>
      <c r="E1491" s="424"/>
      <c r="F1491" s="424"/>
      <c r="G1491" s="424"/>
      <c r="H1491" s="424"/>
      <c r="I1491" s="424"/>
      <c r="J1491" s="424"/>
      <c r="K1491" s="424"/>
      <c r="L1491" s="424"/>
      <c r="M1491" s="424"/>
      <c r="N1491" s="424"/>
      <c r="O1491" s="424"/>
      <c r="P1491" s="424"/>
      <c r="Q1491" s="435" t="n">
        <v>28</v>
      </c>
      <c r="R1491" s="434" t="s">
        <v>496</v>
      </c>
      <c r="S1491" s="424"/>
      <c r="T1491" s="434" t="s">
        <v>497</v>
      </c>
      <c r="U1491" s="434" t="s">
        <v>498</v>
      </c>
      <c r="V1491" s="436" t="n">
        <f aca="false">AY1496</f>
        <v>0</v>
      </c>
    </row>
    <row r="1492" customFormat="false" ht="13.5" hidden="false" customHeight="false" outlineLevel="0" collapsed="false">
      <c r="A1492" s="424"/>
      <c r="B1492" s="424"/>
      <c r="C1492" s="424"/>
      <c r="D1492" s="424"/>
      <c r="E1492" s="424"/>
      <c r="F1492" s="424"/>
      <c r="G1492" s="424"/>
      <c r="H1492" s="424"/>
      <c r="I1492" s="424"/>
      <c r="J1492" s="424"/>
      <c r="K1492" s="424"/>
      <c r="L1492" s="424"/>
      <c r="M1492" s="424"/>
      <c r="N1492" s="424"/>
      <c r="O1492" s="424"/>
      <c r="P1492" s="424"/>
      <c r="Q1492" s="435" t="n">
        <v>29</v>
      </c>
      <c r="R1492" s="434" t="s">
        <v>499</v>
      </c>
      <c r="S1492" s="424"/>
      <c r="T1492" s="434" t="s">
        <v>500</v>
      </c>
      <c r="U1492" s="434" t="s">
        <v>501</v>
      </c>
      <c r="V1492" s="436" t="n">
        <f aca="false">AY1497</f>
        <v>0</v>
      </c>
    </row>
    <row r="1493" customFormat="false" ht="13.5" hidden="false" customHeight="false" outlineLevel="0" collapsed="false">
      <c r="A1493" s="424"/>
      <c r="B1493" s="424"/>
      <c r="C1493" s="424"/>
      <c r="D1493" s="424"/>
      <c r="E1493" s="424"/>
      <c r="F1493" s="424"/>
      <c r="G1493" s="424"/>
      <c r="H1493" s="424"/>
      <c r="I1493" s="424"/>
      <c r="J1493" s="424"/>
      <c r="K1493" s="424"/>
      <c r="L1493" s="424"/>
      <c r="M1493" s="424"/>
      <c r="N1493" s="424"/>
      <c r="O1493" s="424"/>
      <c r="P1493" s="424"/>
      <c r="Q1493" s="435" t="n">
        <v>30</v>
      </c>
      <c r="R1493" s="434" t="s">
        <v>502</v>
      </c>
      <c r="S1493" s="424"/>
      <c r="T1493" s="434" t="s">
        <v>503</v>
      </c>
      <c r="U1493" s="434" t="s">
        <v>504</v>
      </c>
      <c r="V1493" s="436" t="n">
        <f aca="false">AY1498</f>
        <v>0</v>
      </c>
    </row>
    <row r="1494" customFormat="false" ht="13.5" hidden="false" customHeight="false" outlineLevel="0" collapsed="false">
      <c r="A1494" s="424"/>
      <c r="B1494" s="424"/>
      <c r="C1494" s="424"/>
      <c r="D1494" s="424"/>
      <c r="E1494" s="424"/>
      <c r="F1494" s="424"/>
      <c r="G1494" s="424"/>
      <c r="H1494" s="424"/>
      <c r="I1494" s="424"/>
      <c r="J1494" s="424"/>
      <c r="K1494" s="424"/>
      <c r="L1494" s="424"/>
      <c r="M1494" s="424"/>
      <c r="N1494" s="424"/>
      <c r="O1494" s="424"/>
      <c r="P1494" s="424"/>
      <c r="Q1494" s="435" t="n">
        <v>31</v>
      </c>
      <c r="R1494" s="434" t="s">
        <v>505</v>
      </c>
      <c r="S1494" s="424"/>
      <c r="T1494" s="434" t="s">
        <v>506</v>
      </c>
      <c r="U1494" s="434" t="s">
        <v>507</v>
      </c>
      <c r="V1494" s="436" t="n">
        <f aca="false">AY1499</f>
        <v>0</v>
      </c>
    </row>
    <row r="1495" customFormat="false" ht="13.5" hidden="false" customHeight="false" outlineLevel="0" collapsed="false">
      <c r="A1495" s="424"/>
      <c r="B1495" s="424"/>
      <c r="C1495" s="424"/>
      <c r="D1495" s="424"/>
      <c r="E1495" s="424"/>
      <c r="F1495" s="424"/>
      <c r="G1495" s="424"/>
      <c r="H1495" s="424"/>
      <c r="I1495" s="424"/>
      <c r="J1495" s="424"/>
      <c r="K1495" s="424"/>
      <c r="L1495" s="424"/>
      <c r="M1495" s="424"/>
      <c r="N1495" s="424"/>
      <c r="O1495" s="424"/>
      <c r="P1495" s="424"/>
      <c r="Q1495" s="435" t="n">
        <v>32</v>
      </c>
      <c r="R1495" s="434" t="s">
        <v>508</v>
      </c>
      <c r="S1495" s="424"/>
      <c r="T1495" s="434" t="s">
        <v>509</v>
      </c>
      <c r="U1495" s="434" t="s">
        <v>510</v>
      </c>
      <c r="V1495" s="436" t="n">
        <f aca="false">AY1500</f>
        <v>0</v>
      </c>
    </row>
    <row r="1496" customFormat="false" ht="13.5" hidden="false" customHeight="false" outlineLevel="0" collapsed="false">
      <c r="A1496" s="440"/>
      <c r="B1496" s="435" t="e">
        <f aca="false">G1481</f>
        <v>#VALUE!</v>
      </c>
      <c r="C1496" s="424"/>
      <c r="D1496" s="424"/>
      <c r="E1496" s="424"/>
      <c r="F1496" s="424"/>
      <c r="G1496" s="424"/>
      <c r="H1496" s="424"/>
      <c r="I1496" s="424"/>
      <c r="J1496" s="424"/>
      <c r="K1496" s="424"/>
      <c r="L1496" s="424"/>
      <c r="M1496" s="424"/>
      <c r="N1496" s="424"/>
      <c r="O1496" s="424"/>
      <c r="P1496" s="424"/>
      <c r="Q1496" s="435" t="n">
        <v>33</v>
      </c>
      <c r="R1496" s="434" t="s">
        <v>511</v>
      </c>
      <c r="S1496" s="424"/>
      <c r="T1496" s="434" t="s">
        <v>512</v>
      </c>
      <c r="U1496" s="434" t="s">
        <v>513</v>
      </c>
      <c r="V1496" s="436" t="n">
        <f aca="false">AY1501</f>
        <v>0</v>
      </c>
    </row>
    <row r="1497" customFormat="false" ht="13.5" hidden="false" customHeight="false" outlineLevel="0" collapsed="false">
      <c r="A1497" s="440"/>
      <c r="B1497" s="435" t="str">
        <f aca="false">H1481</f>
        <v/>
      </c>
      <c r="C1497" s="424"/>
      <c r="D1497" s="424"/>
      <c r="E1497" s="424"/>
      <c r="F1497" s="424"/>
      <c r="G1497" s="424"/>
      <c r="H1497" s="424"/>
      <c r="I1497" s="424"/>
      <c r="J1497" s="424"/>
      <c r="K1497" s="424"/>
      <c r="L1497" s="424"/>
      <c r="M1497" s="424"/>
      <c r="N1497" s="424"/>
      <c r="O1497" s="424"/>
      <c r="P1497" s="424"/>
      <c r="Q1497" s="435" t="n">
        <v>34</v>
      </c>
      <c r="R1497" s="434" t="s">
        <v>514</v>
      </c>
      <c r="S1497" s="424"/>
      <c r="T1497" s="434" t="s">
        <v>515</v>
      </c>
      <c r="U1497" s="434" t="s">
        <v>516</v>
      </c>
      <c r="V1497" s="436" t="n">
        <f aca="false">AY1502</f>
        <v>0</v>
      </c>
    </row>
    <row r="1498" customFormat="false" ht="13.5" hidden="false" customHeight="false" outlineLevel="0" collapsed="false">
      <c r="A1498" s="440"/>
      <c r="B1498" s="435" t="str">
        <f aca="false">I1481</f>
        <v/>
      </c>
      <c r="C1498" s="424"/>
      <c r="D1498" s="424"/>
      <c r="E1498" s="424"/>
      <c r="F1498" s="424"/>
      <c r="G1498" s="424"/>
      <c r="H1498" s="424"/>
      <c r="I1498" s="424"/>
      <c r="J1498" s="424"/>
      <c r="K1498" s="424"/>
      <c r="L1498" s="424"/>
      <c r="M1498" s="424"/>
      <c r="N1498" s="424"/>
      <c r="O1498" s="424"/>
      <c r="P1498" s="424"/>
      <c r="Q1498" s="435" t="n">
        <v>35</v>
      </c>
      <c r="R1498" s="434" t="s">
        <v>517</v>
      </c>
      <c r="S1498" s="424"/>
      <c r="T1498" s="434" t="s">
        <v>518</v>
      </c>
      <c r="U1498" s="434" t="s">
        <v>519</v>
      </c>
      <c r="V1498" s="436" t="n">
        <f aca="false">AY1503</f>
        <v>0</v>
      </c>
    </row>
    <row r="1499" customFormat="false" ht="13.5" hidden="false" customHeight="false" outlineLevel="0" collapsed="false">
      <c r="A1499" s="440"/>
      <c r="B1499" s="435" t="str">
        <f aca="false">J1481</f>
        <v/>
      </c>
      <c r="C1499" s="424"/>
      <c r="D1499" s="424"/>
      <c r="E1499" s="424"/>
      <c r="F1499" s="424"/>
      <c r="G1499" s="424"/>
      <c r="H1499" s="424"/>
      <c r="I1499" s="424"/>
      <c r="J1499" s="424"/>
      <c r="K1499" s="424"/>
      <c r="L1499" s="424"/>
      <c r="M1499" s="424"/>
      <c r="N1499" s="424"/>
      <c r="O1499" s="424"/>
      <c r="P1499" s="424"/>
      <c r="Q1499" s="435" t="n">
        <v>36</v>
      </c>
      <c r="R1499" s="434" t="s">
        <v>520</v>
      </c>
      <c r="S1499" s="424"/>
      <c r="T1499" s="434" t="s">
        <v>521</v>
      </c>
      <c r="U1499" s="434" t="s">
        <v>522</v>
      </c>
      <c r="V1499" s="436" t="n">
        <f aca="false">AY1504</f>
        <v>0</v>
      </c>
    </row>
    <row r="1500" customFormat="false" ht="13.5" hidden="false" customHeight="false" outlineLevel="0" collapsed="false">
      <c r="A1500" s="440"/>
      <c r="B1500" s="440" t="str">
        <f aca="false">K1481</f>
        <v/>
      </c>
      <c r="C1500" s="424"/>
      <c r="D1500" s="424"/>
      <c r="E1500" s="424"/>
      <c r="F1500" s="424"/>
      <c r="G1500" s="424"/>
      <c r="H1500" s="424"/>
      <c r="I1500" s="424"/>
      <c r="J1500" s="424"/>
      <c r="K1500" s="424"/>
      <c r="L1500" s="424"/>
      <c r="M1500" s="424"/>
      <c r="N1500" s="424"/>
      <c r="O1500" s="424"/>
      <c r="P1500" s="424"/>
      <c r="Q1500" s="435" t="n">
        <v>37</v>
      </c>
      <c r="R1500" s="434" t="s">
        <v>523</v>
      </c>
      <c r="S1500" s="424"/>
      <c r="T1500" s="434" t="s">
        <v>524</v>
      </c>
      <c r="U1500" s="434" t="s">
        <v>525</v>
      </c>
      <c r="V1500" s="436" t="n">
        <f aca="false">AY1505</f>
        <v>0</v>
      </c>
    </row>
    <row r="1501" customFormat="false" ht="13.5" hidden="false" customHeight="false" outlineLevel="0" collapsed="false">
      <c r="A1501" s="440"/>
      <c r="B1501" s="435" t="str">
        <f aca="false">L1481</f>
        <v> Dua belas</v>
      </c>
      <c r="C1501" s="424"/>
      <c r="D1501" s="424"/>
      <c r="E1501" s="424"/>
      <c r="F1501" s="424"/>
      <c r="G1501" s="424"/>
      <c r="H1501" s="424"/>
      <c r="I1501" s="424"/>
      <c r="J1501" s="424"/>
      <c r="K1501" s="424"/>
      <c r="L1501" s="424"/>
      <c r="M1501" s="424"/>
      <c r="N1501" s="424"/>
      <c r="O1501" s="424"/>
      <c r="P1501" s="424"/>
      <c r="Q1501" s="435" t="n">
        <v>38</v>
      </c>
      <c r="R1501" s="434" t="s">
        <v>526</v>
      </c>
      <c r="S1501" s="424"/>
      <c r="T1501" s="434" t="s">
        <v>527</v>
      </c>
      <c r="U1501" s="434" t="s">
        <v>528</v>
      </c>
      <c r="V1501" s="436" t="n">
        <f aca="false">AY1506</f>
        <v>0</v>
      </c>
    </row>
    <row r="1502" customFormat="false" ht="13.5" hidden="false" customHeight="false" outlineLevel="0" collapsed="false">
      <c r="A1502" s="440"/>
      <c r="B1502" s="435" t="str">
        <f aca="false">M1481</f>
        <v> Rupiah </v>
      </c>
      <c r="C1502" s="424"/>
      <c r="D1502" s="424"/>
      <c r="E1502" s="424"/>
      <c r="F1502" s="424"/>
      <c r="G1502" s="424"/>
      <c r="H1502" s="424"/>
      <c r="I1502" s="424"/>
      <c r="J1502" s="424"/>
      <c r="K1502" s="424"/>
      <c r="L1502" s="424"/>
      <c r="M1502" s="424"/>
      <c r="N1502" s="424"/>
      <c r="O1502" s="424"/>
      <c r="P1502" s="424"/>
      <c r="Q1502" s="435" t="n">
        <v>39</v>
      </c>
      <c r="R1502" s="434" t="s">
        <v>529</v>
      </c>
      <c r="S1502" s="424"/>
      <c r="T1502" s="434" t="s">
        <v>530</v>
      </c>
      <c r="U1502" s="434" t="s">
        <v>531</v>
      </c>
      <c r="V1502" s="436" t="n">
        <f aca="false">AY1507</f>
        <v>0</v>
      </c>
    </row>
    <row r="1503" customFormat="false" ht="13.5" hidden="false" customHeight="false" outlineLevel="0" collapsed="false">
      <c r="A1503" s="436" t="e">
        <f aca="false">+#REF!</f>
        <v>#REF!</v>
      </c>
      <c r="B1503" s="435" t="str">
        <f aca="false">O1481</f>
        <v/>
      </c>
      <c r="C1503" s="424"/>
      <c r="D1503" s="424"/>
      <c r="E1503" s="424"/>
      <c r="F1503" s="424"/>
      <c r="G1503" s="424"/>
      <c r="H1503" s="424"/>
      <c r="I1503" s="424"/>
      <c r="J1503" s="424"/>
      <c r="K1503" s="424"/>
      <c r="L1503" s="424"/>
      <c r="M1503" s="424"/>
      <c r="N1503" s="424"/>
      <c r="O1503" s="424"/>
      <c r="P1503" s="424"/>
      <c r="Q1503" s="435" t="n">
        <v>40</v>
      </c>
      <c r="R1503" s="434" t="s">
        <v>532</v>
      </c>
      <c r="S1503" s="424"/>
      <c r="T1503" s="434" t="s">
        <v>533</v>
      </c>
      <c r="U1503" s="434" t="s">
        <v>534</v>
      </c>
      <c r="V1503" s="436" t="n">
        <f aca="false">AY1508</f>
        <v>0</v>
      </c>
    </row>
    <row r="1504" customFormat="false" ht="13.5" hidden="false" customHeight="false" outlineLevel="0" collapsed="false">
      <c r="A1504" s="440"/>
      <c r="B1504" s="435" t="str">
        <f aca="false">IF(N1479&gt;0,"-","====")</f>
        <v>====</v>
      </c>
      <c r="C1504" s="424"/>
      <c r="D1504" s="424"/>
      <c r="E1504" s="424"/>
      <c r="F1504" s="424"/>
      <c r="G1504" s="424"/>
      <c r="H1504" s="424"/>
      <c r="I1504" s="424"/>
      <c r="J1504" s="424"/>
      <c r="K1504" s="424"/>
      <c r="L1504" s="424"/>
      <c r="M1504" s="424"/>
      <c r="N1504" s="424"/>
      <c r="O1504" s="424"/>
      <c r="P1504" s="424"/>
      <c r="Q1504" s="435" t="n">
        <v>41</v>
      </c>
      <c r="R1504" s="434" t="s">
        <v>535</v>
      </c>
      <c r="S1504" s="424"/>
      <c r="T1504" s="434" t="s">
        <v>536</v>
      </c>
      <c r="U1504" s="434" t="s">
        <v>537</v>
      </c>
      <c r="V1504" s="436" t="n">
        <f aca="false">AY1509</f>
        <v>0</v>
      </c>
    </row>
    <row r="1505" customFormat="false" ht="13.5" hidden="false" customHeight="false" outlineLevel="0" collapsed="false">
      <c r="A1505" s="435" t="e">
        <f aca="false">B1481&amp;C1481&amp;D1481&amp;E1481&amp;F1481&amp;G1481&amp;H1481&amp;I1481&amp;J1481&amp;K1481&amp;L1481&amp;M1481&amp;O1481</f>
        <v>#N/A</v>
      </c>
      <c r="B1505" s="424"/>
      <c r="C1505" s="424"/>
      <c r="D1505" s="424"/>
      <c r="E1505" s="424"/>
      <c r="F1505" s="424"/>
      <c r="G1505" s="424"/>
      <c r="H1505" s="424"/>
      <c r="I1505" s="424"/>
      <c r="J1505" s="424"/>
      <c r="K1505" s="424"/>
      <c r="L1505" s="424"/>
      <c r="M1505" s="424"/>
      <c r="N1505" s="424"/>
      <c r="O1505" s="424"/>
      <c r="P1505" s="424"/>
      <c r="Q1505" s="435" t="n">
        <v>42</v>
      </c>
      <c r="R1505" s="434" t="s">
        <v>538</v>
      </c>
      <c r="S1505" s="424"/>
      <c r="T1505" s="434" t="s">
        <v>539</v>
      </c>
      <c r="U1505" s="434" t="s">
        <v>540</v>
      </c>
      <c r="V1505" s="436" t="n">
        <f aca="false">AY1510</f>
        <v>0</v>
      </c>
    </row>
    <row r="1506" customFormat="false" ht="13.5" hidden="false" customHeight="false" outlineLevel="0" collapsed="false">
      <c r="A1506" s="440" t="str">
        <f aca="false">I1481&amp;J1481&amp;K1481&amp;L1481&amp;M1481&amp;O1481</f>
        <v> Dua belas Rupiah </v>
      </c>
      <c r="B1506" s="424"/>
      <c r="C1506" s="424"/>
      <c r="D1506" s="424"/>
      <c r="E1506" s="424"/>
      <c r="F1506" s="424"/>
      <c r="G1506" s="424"/>
      <c r="H1506" s="424"/>
      <c r="I1506" s="424"/>
      <c r="J1506" s="424"/>
      <c r="K1506" s="424"/>
      <c r="L1506" s="424"/>
      <c r="M1506" s="424"/>
      <c r="N1506" s="424"/>
      <c r="O1506" s="424"/>
      <c r="P1506" s="424"/>
      <c r="Q1506" s="435" t="n">
        <v>43</v>
      </c>
      <c r="R1506" s="434" t="s">
        <v>541</v>
      </c>
      <c r="S1506" s="424"/>
      <c r="T1506" s="434" t="s">
        <v>542</v>
      </c>
      <c r="U1506" s="434" t="s">
        <v>543</v>
      </c>
      <c r="V1506" s="436" t="n">
        <f aca="false">AY1511</f>
        <v>0</v>
      </c>
    </row>
    <row r="1507" customFormat="false" ht="13.5" hidden="false" customHeight="false" outlineLevel="0" collapsed="false">
      <c r="A1507" s="440"/>
      <c r="B1507" s="424"/>
      <c r="C1507" s="424"/>
      <c r="D1507" s="424"/>
      <c r="E1507" s="424"/>
      <c r="F1507" s="424"/>
      <c r="G1507" s="424"/>
      <c r="H1507" s="424"/>
      <c r="I1507" s="424"/>
      <c r="J1507" s="424"/>
      <c r="K1507" s="424"/>
      <c r="L1507" s="424"/>
      <c r="M1507" s="424"/>
      <c r="N1507" s="424"/>
      <c r="O1507" s="424"/>
      <c r="P1507" s="424"/>
      <c r="Q1507" s="435" t="n">
        <v>44</v>
      </c>
      <c r="R1507" s="434" t="s">
        <v>544</v>
      </c>
      <c r="S1507" s="424"/>
      <c r="T1507" s="434" t="s">
        <v>545</v>
      </c>
      <c r="U1507" s="434" t="s">
        <v>546</v>
      </c>
      <c r="V1507" s="436" t="n">
        <f aca="false">AY1512</f>
        <v>0</v>
      </c>
    </row>
    <row r="1508" customFormat="false" ht="13.5" hidden="false" customHeight="false" outlineLevel="0" collapsed="false">
      <c r="A1508" s="440"/>
      <c r="B1508" s="424"/>
      <c r="C1508" s="424"/>
      <c r="D1508" s="424"/>
      <c r="E1508" s="424"/>
      <c r="F1508" s="424"/>
      <c r="G1508" s="424"/>
      <c r="H1508" s="424"/>
      <c r="I1508" s="424"/>
      <c r="J1508" s="424"/>
      <c r="K1508" s="424"/>
      <c r="L1508" s="424"/>
      <c r="M1508" s="424"/>
      <c r="N1508" s="424"/>
      <c r="O1508" s="424"/>
      <c r="P1508" s="424"/>
      <c r="Q1508" s="435" t="n">
        <v>45</v>
      </c>
      <c r="R1508" s="434" t="s">
        <v>547</v>
      </c>
      <c r="S1508" s="424"/>
      <c r="T1508" s="434" t="s">
        <v>548</v>
      </c>
      <c r="U1508" s="434" t="s">
        <v>549</v>
      </c>
      <c r="V1508" s="436" t="n">
        <f aca="false">AY1513</f>
        <v>0</v>
      </c>
    </row>
    <row r="1509" customFormat="false" ht="13.5" hidden="false" customHeight="false" outlineLevel="0" collapsed="false">
      <c r="A1509" s="440"/>
      <c r="B1509" s="424"/>
      <c r="C1509" s="424"/>
      <c r="D1509" s="424"/>
      <c r="E1509" s="424"/>
      <c r="F1509" s="424"/>
      <c r="G1509" s="424"/>
      <c r="H1509" s="424"/>
      <c r="I1509" s="424"/>
      <c r="J1509" s="424"/>
      <c r="K1509" s="424"/>
      <c r="L1509" s="424"/>
      <c r="M1509" s="424"/>
      <c r="N1509" s="424"/>
      <c r="O1509" s="424"/>
      <c r="P1509" s="424"/>
      <c r="Q1509" s="435" t="n">
        <v>46</v>
      </c>
      <c r="R1509" s="434" t="s">
        <v>550</v>
      </c>
      <c r="S1509" s="424"/>
      <c r="T1509" s="434" t="s">
        <v>551</v>
      </c>
      <c r="U1509" s="434" t="s">
        <v>552</v>
      </c>
      <c r="V1509" s="436" t="n">
        <f aca="false">AY1514</f>
        <v>0</v>
      </c>
    </row>
    <row r="1510" customFormat="false" ht="13.5" hidden="false" customHeight="false" outlineLevel="0" collapsed="false">
      <c r="A1510" s="440"/>
      <c r="B1510" s="424"/>
      <c r="C1510" s="424"/>
      <c r="D1510" s="424"/>
      <c r="E1510" s="424"/>
      <c r="F1510" s="424"/>
      <c r="G1510" s="424"/>
      <c r="H1510" s="424"/>
      <c r="I1510" s="424"/>
      <c r="J1510" s="424"/>
      <c r="K1510" s="424"/>
      <c r="L1510" s="424"/>
      <c r="M1510" s="424"/>
      <c r="N1510" s="424"/>
      <c r="O1510" s="424"/>
      <c r="P1510" s="424"/>
      <c r="Q1510" s="435" t="n">
        <v>47</v>
      </c>
      <c r="R1510" s="434" t="s">
        <v>553</v>
      </c>
      <c r="S1510" s="424"/>
      <c r="T1510" s="434" t="s">
        <v>554</v>
      </c>
      <c r="U1510" s="434" t="s">
        <v>555</v>
      </c>
      <c r="V1510" s="436" t="n">
        <f aca="false">AY1515</f>
        <v>0</v>
      </c>
    </row>
    <row r="1511" customFormat="false" ht="13.5" hidden="false" customHeight="false" outlineLevel="0" collapsed="false">
      <c r="A1511" s="424"/>
      <c r="B1511" s="424"/>
      <c r="C1511" s="424"/>
      <c r="D1511" s="424"/>
      <c r="E1511" s="424"/>
      <c r="F1511" s="424"/>
      <c r="G1511" s="424"/>
      <c r="H1511" s="424"/>
      <c r="I1511" s="424"/>
      <c r="J1511" s="424"/>
      <c r="K1511" s="424"/>
      <c r="L1511" s="424"/>
      <c r="M1511" s="424"/>
      <c r="N1511" s="424"/>
      <c r="O1511" s="424"/>
      <c r="P1511" s="424"/>
      <c r="Q1511" s="435" t="n">
        <v>48</v>
      </c>
      <c r="R1511" s="434" t="s">
        <v>556</v>
      </c>
      <c r="S1511" s="424"/>
      <c r="T1511" s="434" t="s">
        <v>557</v>
      </c>
      <c r="U1511" s="434" t="s">
        <v>558</v>
      </c>
      <c r="V1511" s="436" t="n">
        <f aca="false">AY1516</f>
        <v>0</v>
      </c>
    </row>
    <row r="1512" customFormat="false" ht="13.5" hidden="false" customHeight="false" outlineLevel="0" collapsed="false">
      <c r="A1512" s="424"/>
      <c r="B1512" s="424"/>
      <c r="C1512" s="424"/>
      <c r="D1512" s="424"/>
      <c r="E1512" s="424"/>
      <c r="F1512" s="424"/>
      <c r="G1512" s="424"/>
      <c r="H1512" s="424"/>
      <c r="I1512" s="424"/>
      <c r="J1512" s="424"/>
      <c r="K1512" s="424"/>
      <c r="L1512" s="424"/>
      <c r="M1512" s="424"/>
      <c r="N1512" s="424"/>
      <c r="O1512" s="424"/>
      <c r="P1512" s="424"/>
      <c r="Q1512" s="435" t="n">
        <v>49</v>
      </c>
      <c r="R1512" s="434" t="s">
        <v>559</v>
      </c>
      <c r="S1512" s="424"/>
      <c r="T1512" s="434" t="s">
        <v>560</v>
      </c>
      <c r="U1512" s="434" t="s">
        <v>561</v>
      </c>
      <c r="V1512" s="436" t="n">
        <f aca="false">AY1517</f>
        <v>0</v>
      </c>
    </row>
    <row r="1513" customFormat="false" ht="13.5" hidden="false" customHeight="false" outlineLevel="0" collapsed="false">
      <c r="A1513" s="424"/>
      <c r="B1513" s="424"/>
      <c r="C1513" s="424"/>
      <c r="D1513" s="424"/>
      <c r="E1513" s="424"/>
      <c r="F1513" s="424"/>
      <c r="G1513" s="424"/>
      <c r="H1513" s="424"/>
      <c r="I1513" s="424"/>
      <c r="J1513" s="424"/>
      <c r="K1513" s="424"/>
      <c r="L1513" s="424"/>
      <c r="M1513" s="424"/>
      <c r="N1513" s="424"/>
      <c r="O1513" s="424"/>
      <c r="P1513" s="424"/>
      <c r="Q1513" s="435" t="n">
        <v>50</v>
      </c>
      <c r="R1513" s="434" t="s">
        <v>562</v>
      </c>
      <c r="S1513" s="424"/>
      <c r="T1513" s="434" t="s">
        <v>563</v>
      </c>
      <c r="U1513" s="434" t="s">
        <v>564</v>
      </c>
      <c r="V1513" s="436" t="n">
        <f aca="false">AY1518</f>
        <v>0</v>
      </c>
    </row>
    <row r="1514" customFormat="false" ht="13.5" hidden="false" customHeight="false" outlineLevel="0" collapsed="false">
      <c r="A1514" s="424"/>
      <c r="B1514" s="424"/>
      <c r="C1514" s="424"/>
      <c r="D1514" s="424"/>
      <c r="E1514" s="424"/>
      <c r="F1514" s="424"/>
      <c r="G1514" s="424"/>
      <c r="H1514" s="424"/>
      <c r="I1514" s="424"/>
      <c r="J1514" s="424"/>
      <c r="K1514" s="424"/>
      <c r="L1514" s="424"/>
      <c r="M1514" s="424"/>
      <c r="N1514" s="424"/>
      <c r="O1514" s="424"/>
      <c r="P1514" s="424"/>
      <c r="Q1514" s="435" t="n">
        <v>51</v>
      </c>
      <c r="R1514" s="434" t="s">
        <v>565</v>
      </c>
      <c r="S1514" s="424"/>
      <c r="T1514" s="434" t="s">
        <v>566</v>
      </c>
      <c r="U1514" s="434" t="s">
        <v>567</v>
      </c>
      <c r="V1514" s="436" t="n">
        <f aca="false">AY1519</f>
        <v>0</v>
      </c>
    </row>
    <row r="1515" customFormat="false" ht="13.5" hidden="false" customHeight="false" outlineLevel="0" collapsed="false">
      <c r="A1515" s="424"/>
      <c r="B1515" s="424"/>
      <c r="C1515" s="424"/>
      <c r="D1515" s="424"/>
      <c r="E1515" s="424"/>
      <c r="F1515" s="424"/>
      <c r="G1515" s="424"/>
      <c r="H1515" s="424"/>
      <c r="I1515" s="424"/>
      <c r="J1515" s="424"/>
      <c r="K1515" s="424"/>
      <c r="L1515" s="424"/>
      <c r="M1515" s="424"/>
      <c r="N1515" s="424"/>
      <c r="O1515" s="424"/>
      <c r="P1515" s="424"/>
      <c r="Q1515" s="435" t="n">
        <v>52</v>
      </c>
      <c r="R1515" s="434" t="s">
        <v>568</v>
      </c>
      <c r="S1515" s="424"/>
      <c r="T1515" s="434" t="s">
        <v>569</v>
      </c>
      <c r="U1515" s="434" t="s">
        <v>570</v>
      </c>
      <c r="V1515" s="436" t="n">
        <f aca="false">AY1520</f>
        <v>0</v>
      </c>
    </row>
    <row r="1516" customFormat="false" ht="13.5" hidden="false" customHeight="false" outlineLevel="0" collapsed="false">
      <c r="A1516" s="424"/>
      <c r="B1516" s="424"/>
      <c r="C1516" s="424"/>
      <c r="D1516" s="424"/>
      <c r="E1516" s="424"/>
      <c r="F1516" s="424"/>
      <c r="G1516" s="424"/>
      <c r="H1516" s="424"/>
      <c r="I1516" s="424"/>
      <c r="J1516" s="424"/>
      <c r="K1516" s="424"/>
      <c r="L1516" s="424"/>
      <c r="M1516" s="424"/>
      <c r="N1516" s="424"/>
      <c r="O1516" s="424"/>
      <c r="P1516" s="424"/>
      <c r="Q1516" s="435" t="n">
        <v>53</v>
      </c>
      <c r="R1516" s="434" t="s">
        <v>571</v>
      </c>
      <c r="S1516" s="424"/>
      <c r="T1516" s="434" t="s">
        <v>572</v>
      </c>
      <c r="U1516" s="434" t="s">
        <v>573</v>
      </c>
      <c r="V1516" s="436" t="n">
        <f aca="false">AY1521</f>
        <v>0</v>
      </c>
    </row>
    <row r="1517" customFormat="false" ht="13.5" hidden="false" customHeight="false" outlineLevel="0" collapsed="false">
      <c r="A1517" s="424"/>
      <c r="B1517" s="424"/>
      <c r="C1517" s="424"/>
      <c r="D1517" s="424"/>
      <c r="E1517" s="424"/>
      <c r="F1517" s="424"/>
      <c r="G1517" s="424"/>
      <c r="H1517" s="424"/>
      <c r="I1517" s="424"/>
      <c r="J1517" s="424"/>
      <c r="K1517" s="424"/>
      <c r="L1517" s="424"/>
      <c r="M1517" s="424"/>
      <c r="N1517" s="424"/>
      <c r="O1517" s="424"/>
      <c r="P1517" s="424"/>
      <c r="Q1517" s="435" t="n">
        <v>54</v>
      </c>
      <c r="R1517" s="434" t="s">
        <v>574</v>
      </c>
      <c r="S1517" s="424"/>
      <c r="T1517" s="434" t="s">
        <v>575</v>
      </c>
      <c r="U1517" s="434" t="s">
        <v>576</v>
      </c>
      <c r="V1517" s="436" t="n">
        <f aca="false">AY1522</f>
        <v>0</v>
      </c>
    </row>
    <row r="1518" customFormat="false" ht="13.5" hidden="false" customHeight="false" outlineLevel="0" collapsed="false">
      <c r="A1518" s="424"/>
      <c r="B1518" s="424"/>
      <c r="C1518" s="424"/>
      <c r="D1518" s="424"/>
      <c r="E1518" s="424"/>
      <c r="F1518" s="424"/>
      <c r="G1518" s="424"/>
      <c r="H1518" s="424"/>
      <c r="I1518" s="424"/>
      <c r="J1518" s="424"/>
      <c r="K1518" s="424"/>
      <c r="L1518" s="424"/>
      <c r="M1518" s="424"/>
      <c r="N1518" s="424"/>
      <c r="O1518" s="424"/>
      <c r="P1518" s="424"/>
      <c r="Q1518" s="435" t="n">
        <v>55</v>
      </c>
      <c r="R1518" s="434" t="s">
        <v>577</v>
      </c>
      <c r="S1518" s="424"/>
      <c r="T1518" s="434" t="s">
        <v>578</v>
      </c>
      <c r="U1518" s="434" t="s">
        <v>579</v>
      </c>
      <c r="V1518" s="436" t="n">
        <f aca="false">AY1523</f>
        <v>0</v>
      </c>
    </row>
    <row r="1519" customFormat="false" ht="13.5" hidden="false" customHeight="false" outlineLevel="0" collapsed="false">
      <c r="A1519" s="424"/>
      <c r="B1519" s="424"/>
      <c r="C1519" s="424"/>
      <c r="D1519" s="424"/>
      <c r="E1519" s="424"/>
      <c r="F1519" s="424"/>
      <c r="G1519" s="424"/>
      <c r="H1519" s="424"/>
      <c r="I1519" s="424"/>
      <c r="J1519" s="424"/>
      <c r="K1519" s="424"/>
      <c r="L1519" s="424"/>
      <c r="M1519" s="424"/>
      <c r="N1519" s="424"/>
      <c r="O1519" s="424"/>
      <c r="P1519" s="424"/>
      <c r="Q1519" s="435" t="n">
        <v>56</v>
      </c>
      <c r="R1519" s="434" t="s">
        <v>580</v>
      </c>
      <c r="S1519" s="424"/>
      <c r="T1519" s="434" t="s">
        <v>581</v>
      </c>
      <c r="U1519" s="434" t="s">
        <v>582</v>
      </c>
      <c r="V1519" s="436" t="n">
        <f aca="false">AY1524</f>
        <v>0</v>
      </c>
    </row>
    <row r="1520" customFormat="false" ht="13.5" hidden="false" customHeight="false" outlineLevel="0" collapsed="false">
      <c r="A1520" s="424"/>
      <c r="B1520" s="424"/>
      <c r="C1520" s="424"/>
      <c r="D1520" s="424"/>
      <c r="E1520" s="424"/>
      <c r="F1520" s="424"/>
      <c r="G1520" s="424"/>
      <c r="H1520" s="424"/>
      <c r="I1520" s="424"/>
      <c r="J1520" s="424"/>
      <c r="K1520" s="424"/>
      <c r="L1520" s="424"/>
      <c r="M1520" s="424"/>
      <c r="N1520" s="424"/>
      <c r="O1520" s="424"/>
      <c r="P1520" s="424"/>
      <c r="Q1520" s="435" t="n">
        <v>57</v>
      </c>
      <c r="R1520" s="434" t="s">
        <v>583</v>
      </c>
      <c r="S1520" s="424"/>
      <c r="T1520" s="434" t="s">
        <v>584</v>
      </c>
      <c r="U1520" s="434" t="s">
        <v>585</v>
      </c>
      <c r="V1520" s="436" t="n">
        <f aca="false">AY1525</f>
        <v>0</v>
      </c>
    </row>
    <row r="1521" customFormat="false" ht="13.5" hidden="false" customHeight="false" outlineLevel="0" collapsed="false">
      <c r="A1521" s="424"/>
      <c r="B1521" s="424"/>
      <c r="C1521" s="424"/>
      <c r="D1521" s="424"/>
      <c r="E1521" s="424"/>
      <c r="F1521" s="424"/>
      <c r="G1521" s="424"/>
      <c r="H1521" s="424"/>
      <c r="I1521" s="424"/>
      <c r="J1521" s="424"/>
      <c r="K1521" s="424"/>
      <c r="L1521" s="424"/>
      <c r="M1521" s="424"/>
      <c r="N1521" s="424"/>
      <c r="O1521" s="424"/>
      <c r="P1521" s="424"/>
      <c r="Q1521" s="435" t="n">
        <v>58</v>
      </c>
      <c r="R1521" s="434" t="s">
        <v>586</v>
      </c>
      <c r="S1521" s="424"/>
      <c r="T1521" s="434" t="s">
        <v>587</v>
      </c>
      <c r="U1521" s="434" t="s">
        <v>588</v>
      </c>
      <c r="V1521" s="436" t="n">
        <f aca="false">AY1526</f>
        <v>0</v>
      </c>
    </row>
    <row r="1522" customFormat="false" ht="13.5" hidden="false" customHeight="false" outlineLevel="0" collapsed="false">
      <c r="A1522" s="424"/>
      <c r="B1522" s="424"/>
      <c r="C1522" s="424"/>
      <c r="D1522" s="424"/>
      <c r="E1522" s="424"/>
      <c r="F1522" s="424"/>
      <c r="G1522" s="424"/>
      <c r="H1522" s="424"/>
      <c r="I1522" s="424"/>
      <c r="J1522" s="424"/>
      <c r="K1522" s="424"/>
      <c r="L1522" s="424"/>
      <c r="M1522" s="424"/>
      <c r="N1522" s="424"/>
      <c r="O1522" s="424"/>
      <c r="P1522" s="424"/>
      <c r="Q1522" s="435" t="n">
        <v>59</v>
      </c>
      <c r="R1522" s="434" t="s">
        <v>589</v>
      </c>
      <c r="S1522" s="424"/>
      <c r="T1522" s="434" t="s">
        <v>590</v>
      </c>
      <c r="U1522" s="434" t="s">
        <v>591</v>
      </c>
      <c r="V1522" s="436" t="n">
        <f aca="false">AY1527</f>
        <v>0</v>
      </c>
    </row>
    <row r="1523" customFormat="false" ht="13.5" hidden="false" customHeight="false" outlineLevel="0" collapsed="false">
      <c r="A1523" s="424"/>
      <c r="B1523" s="424"/>
      <c r="C1523" s="424"/>
      <c r="D1523" s="424"/>
      <c r="E1523" s="424"/>
      <c r="F1523" s="424"/>
      <c r="G1523" s="424"/>
      <c r="H1523" s="424"/>
      <c r="I1523" s="424"/>
      <c r="J1523" s="424"/>
      <c r="K1523" s="424"/>
      <c r="L1523" s="424"/>
      <c r="M1523" s="424"/>
      <c r="N1523" s="424"/>
      <c r="O1523" s="424"/>
      <c r="P1523" s="424"/>
      <c r="Q1523" s="435" t="n">
        <v>60</v>
      </c>
      <c r="R1523" s="434" t="s">
        <v>592</v>
      </c>
      <c r="S1523" s="424"/>
      <c r="T1523" s="434" t="s">
        <v>593</v>
      </c>
      <c r="U1523" s="434" t="s">
        <v>594</v>
      </c>
      <c r="V1523" s="436" t="n">
        <f aca="false">AY1528</f>
        <v>0</v>
      </c>
    </row>
    <row r="1524" customFormat="false" ht="13.5" hidden="false" customHeight="false" outlineLevel="0" collapsed="false">
      <c r="A1524" s="424"/>
      <c r="B1524" s="424"/>
      <c r="C1524" s="424"/>
      <c r="D1524" s="424"/>
      <c r="E1524" s="424"/>
      <c r="F1524" s="424"/>
      <c r="G1524" s="424"/>
      <c r="H1524" s="424"/>
      <c r="I1524" s="424"/>
      <c r="J1524" s="424"/>
      <c r="K1524" s="424"/>
      <c r="L1524" s="424"/>
      <c r="M1524" s="424"/>
      <c r="N1524" s="424"/>
      <c r="O1524" s="424"/>
      <c r="P1524" s="424"/>
      <c r="Q1524" s="435" t="n">
        <v>61</v>
      </c>
      <c r="R1524" s="434" t="s">
        <v>595</v>
      </c>
      <c r="S1524" s="424"/>
      <c r="T1524" s="434" t="s">
        <v>596</v>
      </c>
      <c r="U1524" s="434" t="s">
        <v>597</v>
      </c>
      <c r="V1524" s="436" t="n">
        <f aca="false">AY1529</f>
        <v>0</v>
      </c>
    </row>
    <row r="1525" customFormat="false" ht="13.5" hidden="false" customHeight="false" outlineLevel="0" collapsed="false">
      <c r="A1525" s="424"/>
      <c r="B1525" s="424"/>
      <c r="C1525" s="424"/>
      <c r="D1525" s="424"/>
      <c r="E1525" s="424"/>
      <c r="F1525" s="424"/>
      <c r="G1525" s="424"/>
      <c r="H1525" s="424"/>
      <c r="I1525" s="424"/>
      <c r="J1525" s="424"/>
      <c r="K1525" s="424"/>
      <c r="L1525" s="424"/>
      <c r="M1525" s="424"/>
      <c r="N1525" s="424"/>
      <c r="O1525" s="424"/>
      <c r="P1525" s="424"/>
      <c r="Q1525" s="435" t="n">
        <v>62</v>
      </c>
      <c r="R1525" s="434" t="s">
        <v>598</v>
      </c>
      <c r="S1525" s="424"/>
      <c r="T1525" s="434" t="s">
        <v>599</v>
      </c>
      <c r="U1525" s="434" t="s">
        <v>600</v>
      </c>
      <c r="V1525" s="436" t="n">
        <f aca="false">AY1530</f>
        <v>0</v>
      </c>
    </row>
    <row r="1526" customFormat="false" ht="13.5" hidden="false" customHeight="false" outlineLevel="0" collapsed="false">
      <c r="A1526" s="424"/>
      <c r="B1526" s="424"/>
      <c r="C1526" s="424"/>
      <c r="D1526" s="424"/>
      <c r="E1526" s="424"/>
      <c r="F1526" s="424"/>
      <c r="G1526" s="424"/>
      <c r="H1526" s="424"/>
      <c r="I1526" s="424"/>
      <c r="J1526" s="424"/>
      <c r="K1526" s="424"/>
      <c r="L1526" s="424"/>
      <c r="M1526" s="424"/>
      <c r="N1526" s="424"/>
      <c r="O1526" s="424"/>
      <c r="P1526" s="424"/>
      <c r="Q1526" s="435" t="n">
        <v>63</v>
      </c>
      <c r="R1526" s="434" t="s">
        <v>601</v>
      </c>
      <c r="S1526" s="424"/>
      <c r="T1526" s="434" t="s">
        <v>602</v>
      </c>
      <c r="U1526" s="434" t="s">
        <v>603</v>
      </c>
      <c r="V1526" s="436" t="n">
        <f aca="false">AY1531</f>
        <v>0</v>
      </c>
    </row>
    <row r="1527" customFormat="false" ht="13.5" hidden="false" customHeight="false" outlineLevel="0" collapsed="false">
      <c r="A1527" s="424"/>
      <c r="B1527" s="424"/>
      <c r="C1527" s="424"/>
      <c r="D1527" s="424"/>
      <c r="E1527" s="424"/>
      <c r="F1527" s="424"/>
      <c r="G1527" s="424"/>
      <c r="H1527" s="424"/>
      <c r="I1527" s="424"/>
      <c r="J1527" s="424"/>
      <c r="K1527" s="424"/>
      <c r="L1527" s="424"/>
      <c r="M1527" s="424"/>
      <c r="N1527" s="424"/>
      <c r="O1527" s="424"/>
      <c r="P1527" s="424"/>
      <c r="Q1527" s="435" t="n">
        <v>64</v>
      </c>
      <c r="R1527" s="434" t="s">
        <v>604</v>
      </c>
      <c r="S1527" s="424"/>
      <c r="T1527" s="434" t="s">
        <v>605</v>
      </c>
      <c r="U1527" s="434" t="s">
        <v>606</v>
      </c>
      <c r="V1527" s="436" t="n">
        <f aca="false">AY1532</f>
        <v>0</v>
      </c>
    </row>
    <row r="1528" customFormat="false" ht="13.5" hidden="false" customHeight="false" outlineLevel="0" collapsed="false">
      <c r="A1528" s="424"/>
      <c r="B1528" s="424"/>
      <c r="C1528" s="424"/>
      <c r="D1528" s="424"/>
      <c r="E1528" s="424"/>
      <c r="F1528" s="424"/>
      <c r="G1528" s="424"/>
      <c r="H1528" s="424"/>
      <c r="I1528" s="424"/>
      <c r="J1528" s="424"/>
      <c r="K1528" s="424"/>
      <c r="L1528" s="424"/>
      <c r="M1528" s="424"/>
      <c r="N1528" s="424"/>
      <c r="O1528" s="424"/>
      <c r="P1528" s="424"/>
      <c r="Q1528" s="435" t="n">
        <v>65</v>
      </c>
      <c r="R1528" s="434" t="s">
        <v>607</v>
      </c>
      <c r="S1528" s="424"/>
      <c r="T1528" s="434" t="s">
        <v>608</v>
      </c>
      <c r="U1528" s="434" t="s">
        <v>609</v>
      </c>
      <c r="V1528" s="436" t="n">
        <f aca="false">AY1533</f>
        <v>0</v>
      </c>
    </row>
    <row r="1529" customFormat="false" ht="13.5" hidden="false" customHeight="false" outlineLevel="0" collapsed="false">
      <c r="A1529" s="424"/>
      <c r="B1529" s="424"/>
      <c r="C1529" s="424"/>
      <c r="D1529" s="424"/>
      <c r="E1529" s="424"/>
      <c r="F1529" s="424"/>
      <c r="G1529" s="424"/>
      <c r="H1529" s="424"/>
      <c r="I1529" s="424"/>
      <c r="J1529" s="424"/>
      <c r="K1529" s="424"/>
      <c r="L1529" s="424"/>
      <c r="M1529" s="424"/>
      <c r="N1529" s="424"/>
      <c r="O1529" s="424"/>
      <c r="P1529" s="424"/>
      <c r="Q1529" s="435" t="n">
        <v>66</v>
      </c>
      <c r="R1529" s="434" t="s">
        <v>610</v>
      </c>
      <c r="S1529" s="424"/>
      <c r="T1529" s="434" t="s">
        <v>611</v>
      </c>
      <c r="U1529" s="434" t="s">
        <v>612</v>
      </c>
      <c r="V1529" s="436" t="n">
        <f aca="false">AY1534</f>
        <v>0</v>
      </c>
    </row>
    <row r="1530" customFormat="false" ht="13.5" hidden="false" customHeight="false" outlineLevel="0" collapsed="false">
      <c r="A1530" s="424"/>
      <c r="B1530" s="424"/>
      <c r="C1530" s="424"/>
      <c r="D1530" s="424"/>
      <c r="E1530" s="424"/>
      <c r="F1530" s="424"/>
      <c r="G1530" s="424"/>
      <c r="H1530" s="424"/>
      <c r="I1530" s="424"/>
      <c r="J1530" s="424"/>
      <c r="K1530" s="424"/>
      <c r="L1530" s="424"/>
      <c r="M1530" s="424"/>
      <c r="N1530" s="424"/>
      <c r="O1530" s="424"/>
      <c r="P1530" s="424"/>
      <c r="Q1530" s="435" t="n">
        <v>67</v>
      </c>
      <c r="R1530" s="434" t="s">
        <v>613</v>
      </c>
      <c r="S1530" s="424"/>
      <c r="T1530" s="434" t="s">
        <v>614</v>
      </c>
      <c r="U1530" s="434" t="s">
        <v>615</v>
      </c>
      <c r="V1530" s="436" t="n">
        <f aca="false">AY1535</f>
        <v>0</v>
      </c>
    </row>
    <row r="1531" customFormat="false" ht="13.5" hidden="false" customHeight="false" outlineLevel="0" collapsed="false">
      <c r="A1531" s="424"/>
      <c r="B1531" s="424"/>
      <c r="C1531" s="424"/>
      <c r="D1531" s="424"/>
      <c r="E1531" s="424"/>
      <c r="F1531" s="424"/>
      <c r="G1531" s="424"/>
      <c r="H1531" s="424"/>
      <c r="I1531" s="424"/>
      <c r="J1531" s="424"/>
      <c r="K1531" s="424"/>
      <c r="L1531" s="424"/>
      <c r="M1531" s="424"/>
      <c r="N1531" s="424"/>
      <c r="O1531" s="424"/>
      <c r="P1531" s="424"/>
      <c r="Q1531" s="435" t="n">
        <v>68</v>
      </c>
      <c r="R1531" s="434" t="s">
        <v>616</v>
      </c>
      <c r="S1531" s="424"/>
      <c r="T1531" s="434" t="s">
        <v>617</v>
      </c>
      <c r="U1531" s="434" t="s">
        <v>618</v>
      </c>
      <c r="V1531" s="436" t="n">
        <f aca="false">AY1536</f>
        <v>0</v>
      </c>
    </row>
    <row r="1532" customFormat="false" ht="13.5" hidden="false" customHeight="false" outlineLevel="0" collapsed="false">
      <c r="A1532" s="424"/>
      <c r="B1532" s="424"/>
      <c r="C1532" s="424"/>
      <c r="D1532" s="424"/>
      <c r="E1532" s="424"/>
      <c r="F1532" s="424"/>
      <c r="G1532" s="424"/>
      <c r="H1532" s="424"/>
      <c r="I1532" s="424"/>
      <c r="J1532" s="424"/>
      <c r="K1532" s="424"/>
      <c r="L1532" s="424"/>
      <c r="M1532" s="424"/>
      <c r="N1532" s="424"/>
      <c r="O1532" s="424"/>
      <c r="P1532" s="424"/>
      <c r="Q1532" s="435" t="n">
        <v>69</v>
      </c>
      <c r="R1532" s="434" t="s">
        <v>619</v>
      </c>
      <c r="S1532" s="424"/>
      <c r="T1532" s="434" t="s">
        <v>620</v>
      </c>
      <c r="U1532" s="434" t="s">
        <v>621</v>
      </c>
      <c r="V1532" s="436" t="n">
        <f aca="false">AY1537</f>
        <v>0</v>
      </c>
    </row>
    <row r="1533" customFormat="false" ht="13.5" hidden="false" customHeight="false" outlineLevel="0" collapsed="false">
      <c r="A1533" s="424"/>
      <c r="B1533" s="424"/>
      <c r="C1533" s="424"/>
      <c r="D1533" s="424"/>
      <c r="E1533" s="424"/>
      <c r="F1533" s="424"/>
      <c r="G1533" s="424"/>
      <c r="H1533" s="424"/>
      <c r="I1533" s="424"/>
      <c r="J1533" s="424"/>
      <c r="K1533" s="424"/>
      <c r="L1533" s="424"/>
      <c r="M1533" s="424"/>
      <c r="N1533" s="424"/>
      <c r="O1533" s="424"/>
      <c r="P1533" s="424"/>
      <c r="Q1533" s="435" t="n">
        <v>70</v>
      </c>
      <c r="R1533" s="434" t="s">
        <v>622</v>
      </c>
      <c r="S1533" s="424"/>
      <c r="T1533" s="434" t="s">
        <v>623</v>
      </c>
      <c r="U1533" s="434" t="s">
        <v>624</v>
      </c>
      <c r="V1533" s="436" t="n">
        <f aca="false">AY1538</f>
        <v>0</v>
      </c>
    </row>
    <row r="1534" customFormat="false" ht="13.5" hidden="false" customHeight="false" outlineLevel="0" collapsed="false">
      <c r="A1534" s="424"/>
      <c r="B1534" s="424"/>
      <c r="C1534" s="424"/>
      <c r="D1534" s="424"/>
      <c r="E1534" s="424"/>
      <c r="F1534" s="424"/>
      <c r="G1534" s="424"/>
      <c r="H1534" s="424"/>
      <c r="I1534" s="424"/>
      <c r="J1534" s="424"/>
      <c r="K1534" s="424"/>
      <c r="L1534" s="424"/>
      <c r="M1534" s="424"/>
      <c r="N1534" s="424"/>
      <c r="O1534" s="424"/>
      <c r="P1534" s="424"/>
      <c r="Q1534" s="435" t="n">
        <v>71</v>
      </c>
      <c r="R1534" s="434" t="s">
        <v>625</v>
      </c>
      <c r="S1534" s="424"/>
      <c r="T1534" s="434" t="s">
        <v>626</v>
      </c>
      <c r="U1534" s="434" t="s">
        <v>627</v>
      </c>
      <c r="V1534" s="436" t="n">
        <f aca="false">AY1539</f>
        <v>0</v>
      </c>
    </row>
    <row r="1535" customFormat="false" ht="13.5" hidden="false" customHeight="false" outlineLevel="0" collapsed="false">
      <c r="A1535" s="424"/>
      <c r="B1535" s="424"/>
      <c r="C1535" s="424"/>
      <c r="D1535" s="424"/>
      <c r="E1535" s="424"/>
      <c r="F1535" s="424"/>
      <c r="G1535" s="424"/>
      <c r="H1535" s="424"/>
      <c r="I1535" s="424"/>
      <c r="J1535" s="424"/>
      <c r="K1535" s="424"/>
      <c r="L1535" s="424"/>
      <c r="M1535" s="424"/>
      <c r="N1535" s="424"/>
      <c r="O1535" s="424"/>
      <c r="P1535" s="424"/>
      <c r="Q1535" s="435" t="n">
        <v>72</v>
      </c>
      <c r="R1535" s="434" t="s">
        <v>628</v>
      </c>
      <c r="S1535" s="424"/>
      <c r="T1535" s="434" t="s">
        <v>629</v>
      </c>
      <c r="U1535" s="434" t="s">
        <v>630</v>
      </c>
      <c r="V1535" s="436" t="n">
        <f aca="false">AY1540</f>
        <v>0</v>
      </c>
    </row>
    <row r="1536" customFormat="false" ht="13.5" hidden="false" customHeight="false" outlineLevel="0" collapsed="false">
      <c r="A1536" s="424"/>
      <c r="B1536" s="424"/>
      <c r="C1536" s="424"/>
      <c r="D1536" s="424"/>
      <c r="E1536" s="424"/>
      <c r="F1536" s="424"/>
      <c r="G1536" s="424"/>
      <c r="H1536" s="424"/>
      <c r="I1536" s="424"/>
      <c r="J1536" s="424"/>
      <c r="K1536" s="424"/>
      <c r="L1536" s="424"/>
      <c r="M1536" s="424"/>
      <c r="N1536" s="424"/>
      <c r="O1536" s="424"/>
      <c r="P1536" s="424"/>
      <c r="Q1536" s="435" t="n">
        <v>73</v>
      </c>
      <c r="R1536" s="434" t="s">
        <v>631</v>
      </c>
      <c r="S1536" s="424"/>
      <c r="T1536" s="434" t="s">
        <v>632</v>
      </c>
      <c r="U1536" s="434" t="s">
        <v>633</v>
      </c>
      <c r="V1536" s="436" t="n">
        <f aca="false">AY1541</f>
        <v>0</v>
      </c>
    </row>
    <row r="1537" customFormat="false" ht="13.5" hidden="false" customHeight="false" outlineLevel="0" collapsed="false">
      <c r="A1537" s="424"/>
      <c r="B1537" s="424"/>
      <c r="C1537" s="424"/>
      <c r="D1537" s="424"/>
      <c r="E1537" s="424"/>
      <c r="F1537" s="424"/>
      <c r="G1537" s="424"/>
      <c r="H1537" s="424"/>
      <c r="I1537" s="424"/>
      <c r="J1537" s="424"/>
      <c r="K1537" s="424"/>
      <c r="L1537" s="424"/>
      <c r="M1537" s="424"/>
      <c r="N1537" s="424"/>
      <c r="O1537" s="424"/>
      <c r="P1537" s="424"/>
      <c r="Q1537" s="435" t="n">
        <v>74</v>
      </c>
      <c r="R1537" s="434" t="s">
        <v>634</v>
      </c>
      <c r="S1537" s="424"/>
      <c r="T1537" s="434" t="s">
        <v>635</v>
      </c>
      <c r="U1537" s="434" t="s">
        <v>636</v>
      </c>
      <c r="V1537" s="436" t="n">
        <f aca="false">AY1542</f>
        <v>0</v>
      </c>
    </row>
    <row r="1538" customFormat="false" ht="13.5" hidden="false" customHeight="false" outlineLevel="0" collapsed="false">
      <c r="A1538" s="424"/>
      <c r="B1538" s="424"/>
      <c r="C1538" s="424"/>
      <c r="D1538" s="424"/>
      <c r="E1538" s="424"/>
      <c r="F1538" s="424"/>
      <c r="G1538" s="424"/>
      <c r="H1538" s="424"/>
      <c r="I1538" s="424"/>
      <c r="J1538" s="424"/>
      <c r="K1538" s="424"/>
      <c r="L1538" s="424"/>
      <c r="M1538" s="424"/>
      <c r="N1538" s="424"/>
      <c r="O1538" s="424"/>
      <c r="P1538" s="424"/>
      <c r="Q1538" s="435" t="n">
        <v>75</v>
      </c>
      <c r="R1538" s="434" t="s">
        <v>637</v>
      </c>
      <c r="S1538" s="424"/>
      <c r="T1538" s="434" t="s">
        <v>638</v>
      </c>
      <c r="U1538" s="434" t="s">
        <v>639</v>
      </c>
      <c r="V1538" s="436" t="n">
        <f aca="false">AY1543</f>
        <v>0</v>
      </c>
    </row>
    <row r="1539" customFormat="false" ht="13.5" hidden="false" customHeight="false" outlineLevel="0" collapsed="false">
      <c r="A1539" s="424"/>
      <c r="B1539" s="424"/>
      <c r="C1539" s="424"/>
      <c r="D1539" s="424"/>
      <c r="E1539" s="424"/>
      <c r="F1539" s="424"/>
      <c r="G1539" s="424"/>
      <c r="H1539" s="424"/>
      <c r="I1539" s="424"/>
      <c r="J1539" s="424"/>
      <c r="K1539" s="424"/>
      <c r="L1539" s="424"/>
      <c r="M1539" s="424"/>
      <c r="N1539" s="424"/>
      <c r="O1539" s="424"/>
      <c r="P1539" s="424"/>
      <c r="Q1539" s="435" t="n">
        <v>76</v>
      </c>
      <c r="R1539" s="434" t="s">
        <v>640</v>
      </c>
      <c r="S1539" s="424"/>
      <c r="T1539" s="434" t="s">
        <v>641</v>
      </c>
      <c r="U1539" s="434" t="s">
        <v>642</v>
      </c>
      <c r="V1539" s="436" t="n">
        <f aca="false">AY1544</f>
        <v>0</v>
      </c>
    </row>
    <row r="1540" customFormat="false" ht="13.5" hidden="false" customHeight="false" outlineLevel="0" collapsed="false">
      <c r="A1540" s="424"/>
      <c r="B1540" s="424"/>
      <c r="C1540" s="424"/>
      <c r="D1540" s="424"/>
      <c r="E1540" s="424"/>
      <c r="F1540" s="424"/>
      <c r="G1540" s="424"/>
      <c r="H1540" s="424"/>
      <c r="I1540" s="424"/>
      <c r="J1540" s="424"/>
      <c r="K1540" s="424"/>
      <c r="L1540" s="424"/>
      <c r="M1540" s="424"/>
      <c r="N1540" s="424"/>
      <c r="O1540" s="424"/>
      <c r="P1540" s="424"/>
      <c r="Q1540" s="435" t="n">
        <v>77</v>
      </c>
      <c r="R1540" s="434" t="s">
        <v>643</v>
      </c>
      <c r="S1540" s="424"/>
      <c r="T1540" s="434" t="s">
        <v>644</v>
      </c>
      <c r="U1540" s="434" t="s">
        <v>645</v>
      </c>
      <c r="V1540" s="436" t="n">
        <f aca="false">AY1545</f>
        <v>0</v>
      </c>
    </row>
    <row r="1541" customFormat="false" ht="13.5" hidden="false" customHeight="false" outlineLevel="0" collapsed="false">
      <c r="A1541" s="424"/>
      <c r="B1541" s="424"/>
      <c r="C1541" s="424"/>
      <c r="D1541" s="424"/>
      <c r="E1541" s="424"/>
      <c r="F1541" s="424"/>
      <c r="G1541" s="424"/>
      <c r="H1541" s="424"/>
      <c r="I1541" s="424"/>
      <c r="J1541" s="424"/>
      <c r="K1541" s="424"/>
      <c r="L1541" s="424"/>
      <c r="M1541" s="424"/>
      <c r="N1541" s="424"/>
      <c r="O1541" s="424"/>
      <c r="P1541" s="424"/>
      <c r="Q1541" s="435" t="n">
        <v>78</v>
      </c>
      <c r="R1541" s="434" t="s">
        <v>646</v>
      </c>
      <c r="S1541" s="424"/>
      <c r="T1541" s="434" t="s">
        <v>647</v>
      </c>
      <c r="U1541" s="434" t="s">
        <v>648</v>
      </c>
      <c r="V1541" s="436" t="n">
        <f aca="false">AY1546</f>
        <v>0</v>
      </c>
    </row>
    <row r="1542" customFormat="false" ht="13.5" hidden="false" customHeight="false" outlineLevel="0" collapsed="false">
      <c r="A1542" s="424"/>
      <c r="B1542" s="424"/>
      <c r="C1542" s="424"/>
      <c r="D1542" s="424"/>
      <c r="E1542" s="424"/>
      <c r="F1542" s="424"/>
      <c r="G1542" s="424"/>
      <c r="H1542" s="424"/>
      <c r="I1542" s="424"/>
      <c r="J1542" s="424"/>
      <c r="K1542" s="424"/>
      <c r="L1542" s="424"/>
      <c r="M1542" s="424"/>
      <c r="N1542" s="424"/>
      <c r="O1542" s="424"/>
      <c r="P1542" s="424"/>
      <c r="Q1542" s="435" t="n">
        <v>79</v>
      </c>
      <c r="R1542" s="434" t="s">
        <v>649</v>
      </c>
      <c r="S1542" s="424"/>
      <c r="T1542" s="434" t="s">
        <v>650</v>
      </c>
      <c r="U1542" s="434" t="s">
        <v>651</v>
      </c>
      <c r="V1542" s="436" t="n">
        <f aca="false">AY1547</f>
        <v>0</v>
      </c>
    </row>
    <row r="1543" customFormat="false" ht="13.5" hidden="false" customHeight="false" outlineLevel="0" collapsed="false">
      <c r="A1543" s="424"/>
      <c r="B1543" s="424"/>
      <c r="C1543" s="424"/>
      <c r="D1543" s="424"/>
      <c r="E1543" s="424"/>
      <c r="F1543" s="424"/>
      <c r="G1543" s="424"/>
      <c r="H1543" s="424"/>
      <c r="I1543" s="424"/>
      <c r="J1543" s="424"/>
      <c r="K1543" s="424"/>
      <c r="L1543" s="424"/>
      <c r="M1543" s="424"/>
      <c r="N1543" s="424"/>
      <c r="O1543" s="424"/>
      <c r="P1543" s="424"/>
      <c r="Q1543" s="435" t="n">
        <v>80</v>
      </c>
      <c r="R1543" s="434" t="s">
        <v>652</v>
      </c>
      <c r="S1543" s="424"/>
      <c r="T1543" s="434" t="s">
        <v>653</v>
      </c>
      <c r="U1543" s="434" t="s">
        <v>654</v>
      </c>
      <c r="V1543" s="436" t="n">
        <f aca="false">AY1548</f>
        <v>0</v>
      </c>
    </row>
    <row r="1544" customFormat="false" ht="13.5" hidden="false" customHeight="false" outlineLevel="0" collapsed="false">
      <c r="A1544" s="424"/>
      <c r="B1544" s="424"/>
      <c r="C1544" s="424"/>
      <c r="D1544" s="424"/>
      <c r="E1544" s="424"/>
      <c r="F1544" s="424"/>
      <c r="G1544" s="424"/>
      <c r="H1544" s="424"/>
      <c r="I1544" s="424"/>
      <c r="J1544" s="424"/>
      <c r="K1544" s="424"/>
      <c r="L1544" s="424"/>
      <c r="M1544" s="424"/>
      <c r="N1544" s="424"/>
      <c r="O1544" s="424"/>
      <c r="P1544" s="424"/>
      <c r="Q1544" s="435" t="n">
        <v>81</v>
      </c>
      <c r="R1544" s="434" t="s">
        <v>655</v>
      </c>
      <c r="S1544" s="424"/>
      <c r="T1544" s="434" t="s">
        <v>656</v>
      </c>
      <c r="U1544" s="434" t="s">
        <v>657</v>
      </c>
      <c r="V1544" s="436" t="n">
        <f aca="false">AY1549</f>
        <v>0</v>
      </c>
    </row>
    <row r="1545" customFormat="false" ht="13.5" hidden="false" customHeight="false" outlineLevel="0" collapsed="false">
      <c r="A1545" s="424"/>
      <c r="B1545" s="424"/>
      <c r="C1545" s="424"/>
      <c r="D1545" s="424"/>
      <c r="E1545" s="424"/>
      <c r="F1545" s="424"/>
      <c r="G1545" s="424"/>
      <c r="H1545" s="424"/>
      <c r="I1545" s="424"/>
      <c r="J1545" s="424"/>
      <c r="K1545" s="424"/>
      <c r="L1545" s="424"/>
      <c r="M1545" s="424"/>
      <c r="N1545" s="424"/>
      <c r="O1545" s="424"/>
      <c r="P1545" s="424"/>
      <c r="Q1545" s="435" t="n">
        <v>82</v>
      </c>
      <c r="R1545" s="434" t="s">
        <v>658</v>
      </c>
      <c r="S1545" s="424"/>
      <c r="T1545" s="434" t="s">
        <v>659</v>
      </c>
      <c r="U1545" s="434" t="s">
        <v>660</v>
      </c>
      <c r="V1545" s="436" t="n">
        <f aca="false">AY1550</f>
        <v>0</v>
      </c>
    </row>
    <row r="1546" customFormat="false" ht="13.5" hidden="false" customHeight="false" outlineLevel="0" collapsed="false">
      <c r="A1546" s="424"/>
      <c r="B1546" s="424"/>
      <c r="C1546" s="424"/>
      <c r="D1546" s="424"/>
      <c r="E1546" s="424"/>
      <c r="F1546" s="424"/>
      <c r="G1546" s="424"/>
      <c r="H1546" s="424"/>
      <c r="I1546" s="424"/>
      <c r="J1546" s="424"/>
      <c r="K1546" s="424"/>
      <c r="L1546" s="424"/>
      <c r="M1546" s="424"/>
      <c r="N1546" s="424"/>
      <c r="O1546" s="424"/>
      <c r="P1546" s="424"/>
      <c r="Q1546" s="435" t="n">
        <v>83</v>
      </c>
      <c r="R1546" s="434" t="s">
        <v>661</v>
      </c>
      <c r="S1546" s="424"/>
      <c r="T1546" s="434" t="s">
        <v>662</v>
      </c>
      <c r="U1546" s="434" t="s">
        <v>663</v>
      </c>
      <c r="V1546" s="436" t="n">
        <f aca="false">AY1551</f>
        <v>0</v>
      </c>
    </row>
    <row r="1547" customFormat="false" ht="13.5" hidden="false" customHeight="false" outlineLevel="0" collapsed="false">
      <c r="A1547" s="424"/>
      <c r="B1547" s="424"/>
      <c r="C1547" s="424"/>
      <c r="D1547" s="424"/>
      <c r="E1547" s="424"/>
      <c r="F1547" s="424"/>
      <c r="G1547" s="424"/>
      <c r="H1547" s="424"/>
      <c r="I1547" s="424"/>
      <c r="J1547" s="424"/>
      <c r="K1547" s="424"/>
      <c r="L1547" s="424"/>
      <c r="M1547" s="424"/>
      <c r="N1547" s="424"/>
      <c r="O1547" s="424"/>
      <c r="P1547" s="424"/>
      <c r="Q1547" s="435" t="n">
        <v>84</v>
      </c>
      <c r="R1547" s="434" t="s">
        <v>664</v>
      </c>
      <c r="S1547" s="424"/>
      <c r="T1547" s="434" t="s">
        <v>665</v>
      </c>
      <c r="U1547" s="434" t="s">
        <v>666</v>
      </c>
      <c r="V1547" s="436" t="n">
        <f aca="false">AY1552</f>
        <v>0</v>
      </c>
    </row>
    <row r="1548" customFormat="false" ht="13.5" hidden="false" customHeight="false" outlineLevel="0" collapsed="false">
      <c r="A1548" s="424"/>
      <c r="B1548" s="424"/>
      <c r="C1548" s="424"/>
      <c r="D1548" s="424"/>
      <c r="E1548" s="424"/>
      <c r="F1548" s="424"/>
      <c r="G1548" s="424"/>
      <c r="H1548" s="424"/>
      <c r="I1548" s="424"/>
      <c r="J1548" s="424"/>
      <c r="K1548" s="424"/>
      <c r="L1548" s="424"/>
      <c r="M1548" s="424"/>
      <c r="N1548" s="424"/>
      <c r="O1548" s="424"/>
      <c r="P1548" s="424"/>
      <c r="Q1548" s="435" t="n">
        <v>85</v>
      </c>
      <c r="R1548" s="434" t="s">
        <v>667</v>
      </c>
      <c r="S1548" s="424"/>
      <c r="T1548" s="434" t="s">
        <v>668</v>
      </c>
      <c r="U1548" s="434" t="s">
        <v>669</v>
      </c>
      <c r="V1548" s="436" t="n">
        <f aca="false">AY1553</f>
        <v>0</v>
      </c>
    </row>
    <row r="1549" customFormat="false" ht="13.5" hidden="false" customHeight="false" outlineLevel="0" collapsed="false">
      <c r="A1549" s="424"/>
      <c r="B1549" s="424"/>
      <c r="C1549" s="424"/>
      <c r="D1549" s="424"/>
      <c r="E1549" s="424"/>
      <c r="F1549" s="424"/>
      <c r="G1549" s="424"/>
      <c r="H1549" s="424"/>
      <c r="I1549" s="424"/>
      <c r="J1549" s="424"/>
      <c r="K1549" s="424"/>
      <c r="L1549" s="424"/>
      <c r="M1549" s="424"/>
      <c r="N1549" s="424"/>
      <c r="O1549" s="424"/>
      <c r="P1549" s="424"/>
      <c r="Q1549" s="435" t="n">
        <v>86</v>
      </c>
      <c r="R1549" s="434" t="s">
        <v>670</v>
      </c>
      <c r="S1549" s="424"/>
      <c r="T1549" s="434" t="s">
        <v>671</v>
      </c>
      <c r="U1549" s="434" t="s">
        <v>672</v>
      </c>
      <c r="V1549" s="436" t="n">
        <f aca="false">AY1554</f>
        <v>0</v>
      </c>
    </row>
    <row r="1550" customFormat="false" ht="13.5" hidden="false" customHeight="false" outlineLevel="0" collapsed="false">
      <c r="A1550" s="424"/>
      <c r="B1550" s="424"/>
      <c r="C1550" s="424"/>
      <c r="D1550" s="424"/>
      <c r="E1550" s="424"/>
      <c r="F1550" s="424"/>
      <c r="G1550" s="424"/>
      <c r="H1550" s="424"/>
      <c r="I1550" s="424"/>
      <c r="J1550" s="424"/>
      <c r="K1550" s="424"/>
      <c r="L1550" s="424"/>
      <c r="M1550" s="424"/>
      <c r="N1550" s="424"/>
      <c r="O1550" s="424"/>
      <c r="P1550" s="424"/>
      <c r="Q1550" s="435" t="n">
        <v>87</v>
      </c>
      <c r="R1550" s="434" t="s">
        <v>673</v>
      </c>
      <c r="S1550" s="424"/>
      <c r="T1550" s="434" t="s">
        <v>674</v>
      </c>
      <c r="U1550" s="434" t="s">
        <v>675</v>
      </c>
      <c r="V1550" s="436" t="n">
        <f aca="false">AY1555</f>
        <v>0</v>
      </c>
    </row>
    <row r="1551" customFormat="false" ht="13.5" hidden="false" customHeight="false" outlineLevel="0" collapsed="false">
      <c r="A1551" s="424"/>
      <c r="B1551" s="424"/>
      <c r="C1551" s="424"/>
      <c r="D1551" s="424"/>
      <c r="E1551" s="424"/>
      <c r="F1551" s="424"/>
      <c r="G1551" s="424"/>
      <c r="H1551" s="424"/>
      <c r="I1551" s="424"/>
      <c r="J1551" s="424"/>
      <c r="K1551" s="424"/>
      <c r="L1551" s="424"/>
      <c r="M1551" s="424"/>
      <c r="N1551" s="424"/>
      <c r="O1551" s="424"/>
      <c r="P1551" s="424"/>
      <c r="Q1551" s="435" t="n">
        <v>88</v>
      </c>
      <c r="R1551" s="434" t="s">
        <v>676</v>
      </c>
      <c r="S1551" s="424"/>
      <c r="T1551" s="434" t="s">
        <v>677</v>
      </c>
      <c r="U1551" s="434" t="s">
        <v>678</v>
      </c>
      <c r="V1551" s="436" t="n">
        <f aca="false">AY1556</f>
        <v>0</v>
      </c>
    </row>
    <row r="1552" customFormat="false" ht="13.5" hidden="false" customHeight="false" outlineLevel="0" collapsed="false">
      <c r="A1552" s="424"/>
      <c r="B1552" s="424"/>
      <c r="C1552" s="424"/>
      <c r="D1552" s="424"/>
      <c r="E1552" s="424"/>
      <c r="F1552" s="424"/>
      <c r="G1552" s="424"/>
      <c r="H1552" s="424"/>
      <c r="I1552" s="424"/>
      <c r="J1552" s="424"/>
      <c r="K1552" s="424"/>
      <c r="L1552" s="424"/>
      <c r="M1552" s="424"/>
      <c r="N1552" s="424"/>
      <c r="O1552" s="424"/>
      <c r="P1552" s="424"/>
      <c r="Q1552" s="435" t="n">
        <v>89</v>
      </c>
      <c r="R1552" s="434" t="s">
        <v>679</v>
      </c>
      <c r="S1552" s="424"/>
      <c r="T1552" s="434" t="s">
        <v>680</v>
      </c>
      <c r="U1552" s="434" t="s">
        <v>681</v>
      </c>
      <c r="V1552" s="436" t="n">
        <f aca="false">AY1557</f>
        <v>0</v>
      </c>
    </row>
    <row r="1553" customFormat="false" ht="13.5" hidden="false" customHeight="false" outlineLevel="0" collapsed="false">
      <c r="A1553" s="424"/>
      <c r="B1553" s="424"/>
      <c r="C1553" s="424"/>
      <c r="D1553" s="424"/>
      <c r="E1553" s="424"/>
      <c r="F1553" s="424"/>
      <c r="G1553" s="424"/>
      <c r="H1553" s="424"/>
      <c r="I1553" s="424"/>
      <c r="J1553" s="424"/>
      <c r="K1553" s="424"/>
      <c r="L1553" s="424"/>
      <c r="M1553" s="424"/>
      <c r="N1553" s="424"/>
      <c r="O1553" s="424"/>
      <c r="P1553" s="424"/>
      <c r="Q1553" s="435" t="n">
        <v>90</v>
      </c>
      <c r="R1553" s="434" t="s">
        <v>682</v>
      </c>
      <c r="S1553" s="424"/>
      <c r="T1553" s="434" t="s">
        <v>683</v>
      </c>
      <c r="U1553" s="434" t="s">
        <v>684</v>
      </c>
      <c r="V1553" s="436" t="n">
        <f aca="false">AY1558</f>
        <v>0</v>
      </c>
    </row>
    <row r="1554" customFormat="false" ht="13.5" hidden="false" customHeight="false" outlineLevel="0" collapsed="false">
      <c r="A1554" s="424"/>
      <c r="B1554" s="424"/>
      <c r="C1554" s="424"/>
      <c r="D1554" s="424"/>
      <c r="E1554" s="424"/>
      <c r="F1554" s="424"/>
      <c r="G1554" s="424"/>
      <c r="H1554" s="424"/>
      <c r="I1554" s="424"/>
      <c r="J1554" s="424"/>
      <c r="K1554" s="424"/>
      <c r="L1554" s="424"/>
      <c r="M1554" s="424"/>
      <c r="N1554" s="424"/>
      <c r="O1554" s="424"/>
      <c r="P1554" s="424"/>
      <c r="Q1554" s="435" t="n">
        <v>91</v>
      </c>
      <c r="R1554" s="434" t="s">
        <v>685</v>
      </c>
      <c r="S1554" s="424"/>
      <c r="T1554" s="434" t="s">
        <v>686</v>
      </c>
      <c r="U1554" s="434" t="s">
        <v>687</v>
      </c>
      <c r="V1554" s="436" t="n">
        <f aca="false">AY1559</f>
        <v>0</v>
      </c>
    </row>
    <row r="1555" customFormat="false" ht="13.5" hidden="false" customHeight="false" outlineLevel="0" collapsed="false">
      <c r="A1555" s="424"/>
      <c r="B1555" s="424"/>
      <c r="C1555" s="424"/>
      <c r="D1555" s="424"/>
      <c r="E1555" s="424"/>
      <c r="F1555" s="424"/>
      <c r="G1555" s="424"/>
      <c r="H1555" s="424"/>
      <c r="I1555" s="424"/>
      <c r="J1555" s="424"/>
      <c r="K1555" s="424"/>
      <c r="L1555" s="424"/>
      <c r="M1555" s="424"/>
      <c r="N1555" s="424"/>
      <c r="O1555" s="424"/>
      <c r="P1555" s="424"/>
      <c r="Q1555" s="435" t="n">
        <v>92</v>
      </c>
      <c r="R1555" s="434" t="s">
        <v>688</v>
      </c>
      <c r="S1555" s="424"/>
      <c r="T1555" s="434" t="s">
        <v>689</v>
      </c>
      <c r="U1555" s="434" t="s">
        <v>690</v>
      </c>
      <c r="V1555" s="436" t="n">
        <f aca="false">AY1560</f>
        <v>0</v>
      </c>
    </row>
    <row r="1556" customFormat="false" ht="13.5" hidden="false" customHeight="false" outlineLevel="0" collapsed="false">
      <c r="A1556" s="424"/>
      <c r="B1556" s="424"/>
      <c r="C1556" s="424"/>
      <c r="D1556" s="424"/>
      <c r="E1556" s="424"/>
      <c r="F1556" s="424"/>
      <c r="G1556" s="424"/>
      <c r="H1556" s="424"/>
      <c r="I1556" s="424"/>
      <c r="J1556" s="424"/>
      <c r="K1556" s="424"/>
      <c r="L1556" s="424"/>
      <c r="M1556" s="424"/>
      <c r="N1556" s="424"/>
      <c r="O1556" s="424"/>
      <c r="P1556" s="424"/>
      <c r="Q1556" s="435" t="n">
        <v>93</v>
      </c>
      <c r="R1556" s="434" t="s">
        <v>691</v>
      </c>
      <c r="S1556" s="424"/>
      <c r="T1556" s="434" t="s">
        <v>692</v>
      </c>
      <c r="U1556" s="434" t="s">
        <v>693</v>
      </c>
      <c r="V1556" s="436" t="n">
        <f aca="false">AY1561</f>
        <v>0</v>
      </c>
    </row>
    <row r="1557" customFormat="false" ht="13.5" hidden="false" customHeight="false" outlineLevel="0" collapsed="false">
      <c r="A1557" s="424"/>
      <c r="B1557" s="424"/>
      <c r="C1557" s="424"/>
      <c r="D1557" s="424"/>
      <c r="E1557" s="424"/>
      <c r="F1557" s="424"/>
      <c r="G1557" s="424"/>
      <c r="H1557" s="424"/>
      <c r="I1557" s="424"/>
      <c r="J1557" s="424"/>
      <c r="K1557" s="424"/>
      <c r="L1557" s="424"/>
      <c r="M1557" s="424"/>
      <c r="N1557" s="424"/>
      <c r="O1557" s="424"/>
      <c r="P1557" s="424"/>
      <c r="Q1557" s="435" t="n">
        <v>94</v>
      </c>
      <c r="R1557" s="434" t="s">
        <v>694</v>
      </c>
      <c r="S1557" s="424"/>
      <c r="T1557" s="434" t="s">
        <v>695</v>
      </c>
      <c r="U1557" s="434" t="s">
        <v>696</v>
      </c>
      <c r="V1557" s="436" t="n">
        <f aca="false">AY1562</f>
        <v>0</v>
      </c>
    </row>
    <row r="1558" customFormat="false" ht="13.5" hidden="false" customHeight="false" outlineLevel="0" collapsed="false">
      <c r="A1558" s="424"/>
      <c r="B1558" s="424"/>
      <c r="C1558" s="424"/>
      <c r="D1558" s="424"/>
      <c r="E1558" s="424"/>
      <c r="F1558" s="424"/>
      <c r="G1558" s="424"/>
      <c r="H1558" s="424"/>
      <c r="I1558" s="424"/>
      <c r="J1558" s="424"/>
      <c r="K1558" s="424"/>
      <c r="L1558" s="424"/>
      <c r="M1558" s="424"/>
      <c r="N1558" s="424"/>
      <c r="O1558" s="424"/>
      <c r="P1558" s="424"/>
      <c r="Q1558" s="435" t="n">
        <v>95</v>
      </c>
      <c r="R1558" s="434" t="s">
        <v>697</v>
      </c>
      <c r="S1558" s="424"/>
      <c r="T1558" s="434" t="s">
        <v>698</v>
      </c>
      <c r="U1558" s="434" t="s">
        <v>699</v>
      </c>
      <c r="V1558" s="436" t="n">
        <f aca="false">AY1563</f>
        <v>0</v>
      </c>
    </row>
    <row r="1559" customFormat="false" ht="13.5" hidden="false" customHeight="false" outlineLevel="0" collapsed="false">
      <c r="A1559" s="424"/>
      <c r="B1559" s="424"/>
      <c r="C1559" s="424"/>
      <c r="D1559" s="424"/>
      <c r="E1559" s="424"/>
      <c r="F1559" s="424"/>
      <c r="G1559" s="424"/>
      <c r="H1559" s="424"/>
      <c r="I1559" s="424"/>
      <c r="J1559" s="424"/>
      <c r="K1559" s="424"/>
      <c r="L1559" s="424"/>
      <c r="M1559" s="424"/>
      <c r="N1559" s="424"/>
      <c r="O1559" s="424"/>
      <c r="P1559" s="424"/>
      <c r="Q1559" s="435" t="n">
        <v>96</v>
      </c>
      <c r="R1559" s="434" t="s">
        <v>700</v>
      </c>
      <c r="S1559" s="424"/>
      <c r="T1559" s="434" t="s">
        <v>701</v>
      </c>
      <c r="U1559" s="434" t="s">
        <v>702</v>
      </c>
      <c r="V1559" s="436" t="n">
        <f aca="false">AY1564</f>
        <v>0</v>
      </c>
    </row>
    <row r="1560" customFormat="false" ht="13.5" hidden="false" customHeight="false" outlineLevel="0" collapsed="false">
      <c r="A1560" s="424"/>
      <c r="B1560" s="424"/>
      <c r="C1560" s="424"/>
      <c r="D1560" s="424"/>
      <c r="E1560" s="424"/>
      <c r="F1560" s="424"/>
      <c r="G1560" s="424"/>
      <c r="H1560" s="424"/>
      <c r="I1560" s="424"/>
      <c r="J1560" s="424"/>
      <c r="K1560" s="424"/>
      <c r="L1560" s="424"/>
      <c r="M1560" s="424"/>
      <c r="N1560" s="424"/>
      <c r="O1560" s="424"/>
      <c r="P1560" s="424"/>
      <c r="Q1560" s="435" t="n">
        <v>97</v>
      </c>
      <c r="R1560" s="434" t="s">
        <v>703</v>
      </c>
      <c r="S1560" s="424"/>
      <c r="T1560" s="434" t="s">
        <v>704</v>
      </c>
      <c r="U1560" s="434" t="s">
        <v>705</v>
      </c>
      <c r="V1560" s="436" t="n">
        <f aca="false">AY1565</f>
        <v>0</v>
      </c>
    </row>
    <row r="1561" customFormat="false" ht="13.5" hidden="false" customHeight="false" outlineLevel="0" collapsed="false">
      <c r="A1561" s="424"/>
      <c r="B1561" s="424"/>
      <c r="C1561" s="424"/>
      <c r="D1561" s="424"/>
      <c r="E1561" s="424"/>
      <c r="F1561" s="424"/>
      <c r="G1561" s="424"/>
      <c r="H1561" s="424"/>
      <c r="I1561" s="424"/>
      <c r="J1561" s="424"/>
      <c r="K1561" s="424"/>
      <c r="L1561" s="424"/>
      <c r="M1561" s="424"/>
      <c r="N1561" s="424"/>
      <c r="O1561" s="424"/>
      <c r="P1561" s="424"/>
      <c r="Q1561" s="435" t="n">
        <v>98</v>
      </c>
      <c r="R1561" s="434" t="s">
        <v>706</v>
      </c>
      <c r="S1561" s="424"/>
      <c r="T1561" s="434" t="s">
        <v>707</v>
      </c>
      <c r="U1561" s="434" t="s">
        <v>708</v>
      </c>
      <c r="V1561" s="436" t="n">
        <f aca="false">AY1566</f>
        <v>0</v>
      </c>
    </row>
    <row r="1562" customFormat="false" ht="13.5" hidden="false" customHeight="false" outlineLevel="0" collapsed="false">
      <c r="A1562" s="424"/>
      <c r="B1562" s="424"/>
      <c r="C1562" s="424"/>
      <c r="D1562" s="424"/>
      <c r="E1562" s="424"/>
      <c r="F1562" s="424"/>
      <c r="G1562" s="424"/>
      <c r="H1562" s="424"/>
      <c r="I1562" s="424"/>
      <c r="J1562" s="424"/>
      <c r="K1562" s="424"/>
      <c r="L1562" s="424"/>
      <c r="M1562" s="424"/>
      <c r="N1562" s="424"/>
      <c r="O1562" s="424"/>
      <c r="P1562" s="424"/>
      <c r="Q1562" s="435" t="n">
        <v>99</v>
      </c>
      <c r="R1562" s="434" t="s">
        <v>709</v>
      </c>
      <c r="S1562" s="424"/>
      <c r="T1562" s="434" t="s">
        <v>710</v>
      </c>
      <c r="U1562" s="434" t="s">
        <v>711</v>
      </c>
      <c r="V1562" s="436" t="n">
        <f aca="false">AY1567</f>
        <v>0</v>
      </c>
    </row>
    <row r="1563" customFormat="false" ht="13.5" hidden="false" customHeight="false" outlineLevel="0" collapsed="false">
      <c r="A1563" s="424"/>
      <c r="B1563" s="424"/>
      <c r="C1563" s="424"/>
      <c r="D1563" s="424"/>
      <c r="E1563" s="424"/>
      <c r="F1563" s="424"/>
      <c r="G1563" s="424"/>
      <c r="H1563" s="424"/>
      <c r="I1563" s="424"/>
      <c r="J1563" s="424"/>
      <c r="K1563" s="424"/>
      <c r="L1563" s="424"/>
      <c r="M1563" s="424"/>
      <c r="N1563" s="424"/>
      <c r="O1563" s="424"/>
      <c r="P1563" s="424"/>
      <c r="Q1563" s="424"/>
      <c r="R1563" s="424"/>
      <c r="S1563" s="424"/>
      <c r="T1563" s="424"/>
      <c r="U1563" s="424"/>
      <c r="V1563" s="436" t="n">
        <f aca="false">AY1568</f>
        <v>0</v>
      </c>
    </row>
    <row r="1564" customFormat="false" ht="13.5" hidden="false" customHeight="false" outlineLevel="0" collapsed="false">
      <c r="A1564" s="424"/>
      <c r="B1564" s="424"/>
      <c r="C1564" s="424"/>
      <c r="D1564" s="424"/>
      <c r="E1564" s="424"/>
      <c r="F1564" s="424"/>
      <c r="G1564" s="424"/>
      <c r="H1564" s="424"/>
      <c r="I1564" s="424"/>
      <c r="J1564" s="424"/>
      <c r="K1564" s="424"/>
      <c r="L1564" s="424"/>
      <c r="M1564" s="424"/>
      <c r="N1564" s="424"/>
      <c r="O1564" s="424"/>
      <c r="P1564" s="424"/>
      <c r="Q1564" s="424"/>
      <c r="R1564" s="424"/>
      <c r="S1564" s="424"/>
      <c r="T1564" s="424"/>
      <c r="U1564" s="424"/>
      <c r="V1564" s="436" t="n">
        <f aca="false">AY1569</f>
        <v>0</v>
      </c>
    </row>
    <row r="1565" customFormat="false" ht="13.5" hidden="false" customHeight="false" outlineLevel="0" collapsed="false">
      <c r="A1565" s="424"/>
      <c r="B1565" s="424"/>
      <c r="C1565" s="424"/>
      <c r="D1565" s="424"/>
      <c r="E1565" s="424"/>
      <c r="F1565" s="424"/>
      <c r="G1565" s="424"/>
      <c r="H1565" s="424"/>
      <c r="I1565" s="424"/>
      <c r="J1565" s="424"/>
      <c r="K1565" s="424"/>
      <c r="L1565" s="424"/>
      <c r="M1565" s="424"/>
      <c r="N1565" s="424"/>
      <c r="O1565" s="424"/>
      <c r="P1565" s="424"/>
      <c r="Q1565" s="424"/>
      <c r="R1565" s="424"/>
      <c r="S1565" s="424"/>
      <c r="T1565" s="424"/>
      <c r="U1565" s="424"/>
      <c r="V1565" s="436" t="n">
        <f aca="false">AY1570</f>
        <v>0</v>
      </c>
    </row>
    <row r="1566" customFormat="false" ht="13.5" hidden="false" customHeight="false" outlineLevel="0" collapsed="false">
      <c r="A1566" s="424"/>
      <c r="B1566" s="424"/>
      <c r="C1566" s="424"/>
      <c r="D1566" s="424"/>
      <c r="E1566" s="424"/>
      <c r="F1566" s="424"/>
      <c r="G1566" s="424"/>
      <c r="H1566" s="424"/>
      <c r="I1566" s="424"/>
      <c r="J1566" s="424"/>
      <c r="K1566" s="424"/>
      <c r="L1566" s="424"/>
      <c r="M1566" s="424"/>
      <c r="N1566" s="424"/>
      <c r="O1566" s="424"/>
      <c r="P1566" s="424"/>
      <c r="Q1566" s="424"/>
      <c r="R1566" s="424"/>
      <c r="S1566" s="424"/>
      <c r="T1566" s="424"/>
      <c r="U1566" s="424"/>
      <c r="V1566" s="436" t="n">
        <f aca="false">AY1571</f>
        <v>0</v>
      </c>
    </row>
    <row r="1567" customFormat="false" ht="13.5" hidden="false" customHeight="false" outlineLevel="0" collapsed="false">
      <c r="A1567" s="424"/>
      <c r="B1567" s="424"/>
      <c r="C1567" s="424"/>
      <c r="D1567" s="424"/>
      <c r="E1567" s="424"/>
      <c r="F1567" s="424"/>
      <c r="G1567" s="424"/>
      <c r="H1567" s="424"/>
      <c r="I1567" s="424"/>
      <c r="J1567" s="424"/>
      <c r="K1567" s="424"/>
      <c r="L1567" s="424"/>
      <c r="M1567" s="424"/>
      <c r="N1567" s="424"/>
      <c r="O1567" s="424"/>
      <c r="P1567" s="424"/>
      <c r="Q1567" s="424"/>
      <c r="R1567" s="424"/>
      <c r="S1567" s="424"/>
      <c r="T1567" s="424"/>
      <c r="U1567" s="424"/>
      <c r="V1567" s="436" t="n">
        <f aca="false">AY1572</f>
        <v>0</v>
      </c>
    </row>
    <row r="1568" customFormat="false" ht="13.5" hidden="false" customHeight="false" outlineLevel="0" collapsed="false">
      <c r="A1568" s="424"/>
      <c r="B1568" s="424"/>
      <c r="C1568" s="424"/>
      <c r="D1568" s="424"/>
      <c r="E1568" s="424"/>
      <c r="F1568" s="424"/>
      <c r="G1568" s="424"/>
      <c r="H1568" s="424"/>
      <c r="I1568" s="424"/>
      <c r="J1568" s="424"/>
      <c r="K1568" s="424"/>
      <c r="L1568" s="424"/>
      <c r="M1568" s="424"/>
      <c r="N1568" s="424"/>
      <c r="O1568" s="424"/>
      <c r="P1568" s="424"/>
      <c r="Q1568" s="424"/>
      <c r="R1568" s="424"/>
      <c r="S1568" s="424"/>
      <c r="T1568" s="424"/>
      <c r="U1568" s="424"/>
      <c r="V1568" s="436" t="n">
        <f aca="false">AY1573</f>
        <v>0</v>
      </c>
    </row>
    <row r="1569" customFormat="false" ht="13.5" hidden="false" customHeight="false" outlineLevel="0" collapsed="false">
      <c r="A1569" s="424"/>
      <c r="B1569" s="424"/>
      <c r="C1569" s="424"/>
      <c r="D1569" s="424"/>
      <c r="E1569" s="424"/>
      <c r="F1569" s="424"/>
      <c r="G1569" s="424"/>
      <c r="H1569" s="424"/>
      <c r="I1569" s="424"/>
      <c r="J1569" s="424"/>
      <c r="K1569" s="424"/>
      <c r="L1569" s="424"/>
      <c r="M1569" s="424"/>
      <c r="N1569" s="424"/>
      <c r="O1569" s="424"/>
      <c r="P1569" s="424"/>
      <c r="Q1569" s="424"/>
      <c r="R1569" s="424"/>
      <c r="S1569" s="424"/>
      <c r="T1569" s="424"/>
      <c r="U1569" s="424"/>
      <c r="V1569" s="436" t="n">
        <f aca="false">AY1574</f>
        <v>0</v>
      </c>
    </row>
    <row r="1570" customFormat="false" ht="13.5" hidden="false" customHeight="false" outlineLevel="0" collapsed="false">
      <c r="A1570" s="424"/>
      <c r="B1570" s="424"/>
      <c r="C1570" s="424"/>
      <c r="D1570" s="424"/>
      <c r="E1570" s="424"/>
      <c r="F1570" s="424"/>
      <c r="G1570" s="424"/>
      <c r="H1570" s="424"/>
      <c r="I1570" s="424"/>
      <c r="J1570" s="424"/>
      <c r="K1570" s="424"/>
      <c r="L1570" s="424"/>
      <c r="M1570" s="424"/>
      <c r="N1570" s="424"/>
      <c r="O1570" s="424"/>
      <c r="P1570" s="424"/>
      <c r="Q1570" s="424"/>
      <c r="R1570" s="424"/>
      <c r="S1570" s="424"/>
      <c r="T1570" s="424"/>
      <c r="U1570" s="424"/>
      <c r="V1570" s="436" t="n">
        <f aca="false">AY1575</f>
        <v>0</v>
      </c>
    </row>
    <row r="1571" customFormat="false" ht="13.5" hidden="false" customHeight="false" outlineLevel="0" collapsed="false">
      <c r="A1571" s="424"/>
      <c r="B1571" s="424"/>
      <c r="C1571" s="424"/>
      <c r="D1571" s="424"/>
      <c r="E1571" s="424"/>
      <c r="F1571" s="424"/>
      <c r="G1571" s="424"/>
      <c r="H1571" s="424"/>
      <c r="I1571" s="424"/>
      <c r="J1571" s="424"/>
      <c r="K1571" s="424"/>
      <c r="L1571" s="424"/>
      <c r="M1571" s="424"/>
      <c r="N1571" s="424"/>
      <c r="O1571" s="424"/>
      <c r="P1571" s="424"/>
      <c r="Q1571" s="424"/>
      <c r="R1571" s="424"/>
      <c r="S1571" s="424"/>
      <c r="T1571" s="424"/>
      <c r="U1571" s="424"/>
      <c r="V1571" s="436" t="n">
        <f aca="false">AY1576</f>
        <v>0</v>
      </c>
    </row>
    <row r="1572" customFormat="false" ht="13.5" hidden="false" customHeight="false" outlineLevel="0" collapsed="false">
      <c r="A1572" s="424"/>
      <c r="B1572" s="424"/>
      <c r="C1572" s="424"/>
      <c r="D1572" s="424"/>
      <c r="E1572" s="424"/>
      <c r="F1572" s="424"/>
      <c r="G1572" s="424"/>
      <c r="H1572" s="424"/>
      <c r="I1572" s="424"/>
      <c r="J1572" s="424"/>
      <c r="K1572" s="424"/>
      <c r="L1572" s="424"/>
      <c r="M1572" s="424"/>
      <c r="N1572" s="424"/>
      <c r="O1572" s="424"/>
      <c r="P1572" s="424"/>
      <c r="Q1572" s="424"/>
      <c r="R1572" s="424"/>
      <c r="S1572" s="424"/>
      <c r="T1572" s="424"/>
      <c r="U1572" s="424"/>
      <c r="V1572" s="436" t="n">
        <f aca="false">AY1577</f>
        <v>0</v>
      </c>
    </row>
    <row r="1573" customFormat="false" ht="13.5" hidden="false" customHeight="false" outlineLevel="0" collapsed="false">
      <c r="A1573" s="424"/>
      <c r="B1573" s="424"/>
      <c r="C1573" s="424"/>
      <c r="D1573" s="424"/>
      <c r="E1573" s="424"/>
      <c r="F1573" s="424"/>
      <c r="G1573" s="424"/>
      <c r="H1573" s="424"/>
      <c r="I1573" s="424"/>
      <c r="J1573" s="424"/>
      <c r="K1573" s="424"/>
      <c r="L1573" s="424"/>
      <c r="M1573" s="424"/>
      <c r="N1573" s="424"/>
      <c r="O1573" s="424"/>
      <c r="P1573" s="424"/>
      <c r="Q1573" s="424"/>
      <c r="R1573" s="424"/>
      <c r="S1573" s="424"/>
      <c r="T1573" s="424"/>
      <c r="U1573" s="424"/>
      <c r="V1573" s="436" t="n">
        <f aca="false">AY1578</f>
        <v>0</v>
      </c>
    </row>
    <row r="1574" customFormat="false" ht="13.5" hidden="false" customHeight="false" outlineLevel="0" collapsed="false">
      <c r="A1574" s="424"/>
      <c r="B1574" s="424"/>
      <c r="C1574" s="424"/>
      <c r="D1574" s="424"/>
      <c r="E1574" s="424"/>
      <c r="F1574" s="424"/>
      <c r="G1574" s="424"/>
      <c r="H1574" s="424"/>
      <c r="I1574" s="424"/>
      <c r="J1574" s="424"/>
      <c r="K1574" s="424"/>
      <c r="L1574" s="424"/>
      <c r="M1574" s="424"/>
      <c r="N1574" s="424"/>
      <c r="O1574" s="424"/>
      <c r="P1574" s="424"/>
      <c r="Q1574" s="424"/>
      <c r="R1574" s="424"/>
      <c r="S1574" s="424"/>
      <c r="T1574" s="424"/>
      <c r="U1574" s="424"/>
      <c r="V1574" s="436" t="n">
        <f aca="false">AY1579</f>
        <v>0</v>
      </c>
    </row>
    <row r="1575" customFormat="false" ht="13.5" hidden="false" customHeight="false" outlineLevel="0" collapsed="false">
      <c r="A1575" s="424"/>
      <c r="B1575" s="424"/>
      <c r="C1575" s="424"/>
      <c r="D1575" s="424"/>
      <c r="E1575" s="424"/>
      <c r="F1575" s="424"/>
      <c r="G1575" s="424"/>
      <c r="H1575" s="424"/>
      <c r="I1575" s="424"/>
      <c r="J1575" s="424"/>
      <c r="K1575" s="424"/>
      <c r="L1575" s="424"/>
      <c r="M1575" s="424"/>
      <c r="N1575" s="424"/>
      <c r="O1575" s="424"/>
      <c r="P1575" s="424"/>
      <c r="Q1575" s="424"/>
      <c r="R1575" s="424"/>
      <c r="S1575" s="424"/>
      <c r="T1575" s="424"/>
      <c r="U1575" s="424"/>
      <c r="V1575" s="436" t="n">
        <f aca="false">AY1580</f>
        <v>0</v>
      </c>
    </row>
    <row r="1576" customFormat="false" ht="13.5" hidden="false" customHeight="false" outlineLevel="0" collapsed="false">
      <c r="A1576" s="424"/>
      <c r="B1576" s="424"/>
      <c r="C1576" s="424"/>
      <c r="D1576" s="424"/>
      <c r="E1576" s="424"/>
      <c r="F1576" s="424"/>
      <c r="G1576" s="424"/>
      <c r="H1576" s="424"/>
      <c r="I1576" s="424"/>
      <c r="J1576" s="424"/>
      <c r="K1576" s="424"/>
      <c r="L1576" s="424"/>
      <c r="M1576" s="424"/>
      <c r="N1576" s="424"/>
      <c r="O1576" s="424"/>
      <c r="P1576" s="424"/>
      <c r="Q1576" s="424"/>
      <c r="R1576" s="424"/>
      <c r="S1576" s="424"/>
      <c r="T1576" s="424"/>
      <c r="U1576" s="424"/>
      <c r="V1576" s="436" t="n">
        <f aca="false">AY1581</f>
        <v>0</v>
      </c>
    </row>
    <row r="1577" customFormat="false" ht="13.5" hidden="false" customHeight="false" outlineLevel="0" collapsed="false">
      <c r="A1577" s="424"/>
      <c r="B1577" s="424"/>
      <c r="C1577" s="424"/>
      <c r="D1577" s="424"/>
      <c r="E1577" s="424"/>
      <c r="F1577" s="424"/>
      <c r="G1577" s="424"/>
      <c r="H1577" s="424"/>
      <c r="I1577" s="424"/>
      <c r="J1577" s="424"/>
      <c r="K1577" s="424"/>
      <c r="L1577" s="424"/>
      <c r="M1577" s="424"/>
      <c r="N1577" s="424"/>
      <c r="O1577" s="424"/>
      <c r="P1577" s="424"/>
      <c r="Q1577" s="424"/>
      <c r="R1577" s="424"/>
      <c r="S1577" s="424"/>
      <c r="T1577" s="424"/>
      <c r="U1577" s="424"/>
      <c r="V1577" s="436" t="n">
        <f aca="false">AY1582</f>
        <v>0</v>
      </c>
    </row>
    <row r="1578" customFormat="false" ht="13.5" hidden="false" customHeight="false" outlineLevel="0" collapsed="false">
      <c r="A1578" s="424"/>
      <c r="B1578" s="424"/>
      <c r="C1578" s="424"/>
      <c r="D1578" s="424"/>
      <c r="E1578" s="424"/>
      <c r="F1578" s="424"/>
      <c r="G1578" s="424"/>
      <c r="H1578" s="424"/>
      <c r="I1578" s="424"/>
      <c r="J1578" s="424"/>
      <c r="K1578" s="424"/>
      <c r="L1578" s="424"/>
      <c r="M1578" s="424"/>
      <c r="N1578" s="424"/>
      <c r="O1578" s="424"/>
      <c r="P1578" s="424"/>
      <c r="Q1578" s="424"/>
      <c r="R1578" s="424"/>
      <c r="S1578" s="424"/>
      <c r="T1578" s="424"/>
      <c r="U1578" s="424"/>
      <c r="V1578" s="436" t="n">
        <f aca="false">AY1583</f>
        <v>0</v>
      </c>
    </row>
    <row r="1579" customFormat="false" ht="13.5" hidden="false" customHeight="false" outlineLevel="0" collapsed="false">
      <c r="A1579" s="424"/>
      <c r="B1579" s="424"/>
      <c r="C1579" s="424"/>
      <c r="D1579" s="424"/>
      <c r="E1579" s="424"/>
      <c r="F1579" s="424"/>
      <c r="G1579" s="424"/>
      <c r="H1579" s="424"/>
      <c r="I1579" s="424"/>
      <c r="J1579" s="424"/>
      <c r="K1579" s="424"/>
      <c r="L1579" s="424"/>
      <c r="M1579" s="424"/>
      <c r="N1579" s="424"/>
      <c r="O1579" s="424"/>
      <c r="P1579" s="424"/>
      <c r="Q1579" s="424"/>
      <c r="R1579" s="424"/>
      <c r="S1579" s="424"/>
      <c r="T1579" s="424"/>
      <c r="U1579" s="424"/>
      <c r="V1579" s="436" t="n">
        <f aca="false">AY1584</f>
        <v>0</v>
      </c>
    </row>
    <row r="1580" customFormat="false" ht="13.5" hidden="false" customHeight="false" outlineLevel="0" collapsed="false">
      <c r="A1580" s="424"/>
      <c r="B1580" s="424"/>
      <c r="C1580" s="424"/>
      <c r="D1580" s="424"/>
      <c r="E1580" s="424"/>
      <c r="F1580" s="424"/>
      <c r="G1580" s="424"/>
      <c r="H1580" s="424"/>
      <c r="I1580" s="424"/>
      <c r="J1580" s="424"/>
      <c r="K1580" s="424"/>
      <c r="L1580" s="424"/>
      <c r="M1580" s="424"/>
      <c r="N1580" s="424"/>
      <c r="O1580" s="424"/>
      <c r="P1580" s="424"/>
      <c r="Q1580" s="424"/>
      <c r="R1580" s="424"/>
      <c r="S1580" s="424"/>
      <c r="T1580" s="424"/>
      <c r="U1580" s="424"/>
      <c r="V1580" s="436" t="n">
        <f aca="false">AY1585</f>
        <v>0</v>
      </c>
    </row>
    <row r="1585" customFormat="false" ht="15" hidden="false" customHeight="true" outlineLevel="0" collapsed="false">
      <c r="A1585" s="424"/>
      <c r="B1585" s="424"/>
      <c r="C1585" s="424"/>
      <c r="D1585" s="424"/>
      <c r="E1585" s="424"/>
      <c r="F1585" s="424"/>
      <c r="G1585" s="424"/>
      <c r="H1585" s="424"/>
      <c r="I1585" s="424"/>
      <c r="J1585" s="424"/>
      <c r="K1585" s="424"/>
      <c r="L1585" s="424"/>
      <c r="M1585" s="424"/>
      <c r="N1585" s="424"/>
      <c r="O1585" s="424"/>
      <c r="P1585" s="424"/>
      <c r="Q1585" s="424"/>
      <c r="R1585" s="424"/>
      <c r="S1585" s="424"/>
      <c r="T1585" s="424"/>
      <c r="U1585" s="424"/>
      <c r="V1585" s="424"/>
      <c r="W1585" s="424"/>
      <c r="X1585" s="425"/>
      <c r="AB1585" s="426"/>
      <c r="AC1585" s="432"/>
      <c r="AG1585" s="425"/>
      <c r="AH1585" s="425"/>
      <c r="AI1585" s="425"/>
      <c r="AJ1585" s="425"/>
      <c r="AK1585" s="425"/>
      <c r="AL1585" s="425"/>
      <c r="AM1585" s="425"/>
      <c r="AN1585" s="425"/>
      <c r="AP1585" s="425"/>
      <c r="AQ1585" s="425"/>
      <c r="AR1585" s="425"/>
      <c r="AS1585" s="425"/>
      <c r="AT1585" s="425"/>
      <c r="AU1585" s="425"/>
      <c r="AV1585" s="425"/>
      <c r="AW1585" s="425"/>
      <c r="AX1585" s="425"/>
      <c r="AZ1585" s="426"/>
      <c r="BA1585" s="425"/>
      <c r="BB1585" s="425"/>
      <c r="BC1585" s="428"/>
      <c r="BO1585" s="428"/>
    </row>
    <row r="1586" customFormat="false" ht="10.5" hidden="false" customHeight="true" outlineLevel="0" collapsed="false">
      <c r="A1586" s="424"/>
      <c r="B1586" s="424"/>
      <c r="C1586" s="424"/>
      <c r="D1586" s="424"/>
      <c r="E1586" s="424"/>
      <c r="F1586" s="424"/>
      <c r="G1586" s="424"/>
      <c r="H1586" s="424"/>
      <c r="I1586" s="424"/>
      <c r="J1586" s="424"/>
      <c r="K1586" s="424"/>
      <c r="L1586" s="424"/>
      <c r="M1586" s="424"/>
      <c r="N1586" s="424"/>
      <c r="O1586" s="424"/>
      <c r="P1586" s="424"/>
      <c r="Q1586" s="424"/>
      <c r="R1586" s="434" t="s">
        <v>400</v>
      </c>
      <c r="S1586" s="424"/>
      <c r="T1586" s="424"/>
      <c r="U1586" s="424"/>
      <c r="V1586" s="435" t="n">
        <f aca="false">SUM(V1588:V1620)</f>
        <v>0</v>
      </c>
      <c r="W1586" s="424"/>
      <c r="Y1586" s="425"/>
      <c r="Z1586" s="426"/>
      <c r="AA1586" s="425"/>
      <c r="AB1586" s="425"/>
      <c r="AC1586" s="425"/>
      <c r="AD1586" s="425"/>
      <c r="AE1586" s="425"/>
      <c r="AF1586" s="425"/>
      <c r="AG1586" s="425"/>
      <c r="AH1586" s="425"/>
      <c r="AI1586" s="425"/>
      <c r="AJ1586" s="425"/>
      <c r="AK1586" s="425"/>
      <c r="AL1586" s="426"/>
      <c r="AM1586" s="425"/>
      <c r="AN1586" s="425"/>
      <c r="AO1586" s="428"/>
      <c r="AP1586" s="425"/>
      <c r="AQ1586" s="425"/>
      <c r="AR1586" s="425"/>
      <c r="AS1586" s="425"/>
      <c r="AT1586" s="425"/>
      <c r="AU1586" s="425"/>
      <c r="AX1586" s="425"/>
      <c r="BC1586" s="428"/>
      <c r="BO1586" s="428"/>
    </row>
    <row r="1587" customFormat="false" ht="17.25" hidden="false" customHeight="true" outlineLevel="0" collapsed="false">
      <c r="A1587" s="424"/>
      <c r="B1587" s="424"/>
      <c r="C1587" s="424"/>
      <c r="D1587" s="424"/>
      <c r="E1587" s="424"/>
      <c r="F1587" s="424"/>
      <c r="G1587" s="424"/>
      <c r="H1587" s="424"/>
      <c r="I1587" s="424"/>
      <c r="J1587" s="424"/>
      <c r="K1587" s="424"/>
      <c r="L1587" s="424"/>
      <c r="M1587" s="424"/>
      <c r="N1587" s="424"/>
      <c r="O1587" s="424"/>
      <c r="P1587" s="424"/>
      <c r="Q1587" s="435" t="n">
        <v>0</v>
      </c>
      <c r="R1587" s="424"/>
      <c r="S1587" s="435" t="n">
        <v>0</v>
      </c>
      <c r="T1587" s="424"/>
      <c r="U1587" s="424"/>
      <c r="V1587" s="436" t="n">
        <f aca="false">AY1587</f>
        <v>0</v>
      </c>
      <c r="W1587" s="424"/>
      <c r="X1587" s="429"/>
      <c r="Z1587" s="426"/>
      <c r="AA1587" s="426"/>
      <c r="AB1587" s="426"/>
      <c r="AD1587" s="427"/>
      <c r="AE1587" s="427"/>
      <c r="AF1587" s="427"/>
      <c r="AG1587" s="427"/>
      <c r="AH1587" s="427"/>
      <c r="AI1587" s="427"/>
      <c r="AJ1587" s="427"/>
      <c r="AK1587" s="427"/>
      <c r="AL1587" s="427"/>
      <c r="AM1587" s="427"/>
      <c r="AU1587" s="427"/>
      <c r="AV1587" s="427"/>
      <c r="AW1587" s="427"/>
      <c r="AX1587" s="433"/>
      <c r="AY1587" s="427"/>
      <c r="BC1587" s="428"/>
      <c r="BE1587" s="431"/>
      <c r="BO1587" s="428"/>
    </row>
    <row r="1588" customFormat="false" ht="15" hidden="false" customHeight="true" outlineLevel="0" collapsed="false">
      <c r="A1588" s="424"/>
      <c r="B1588" s="424"/>
      <c r="C1588" s="424"/>
      <c r="D1588" s="424"/>
      <c r="E1588" s="424"/>
      <c r="F1588" s="424"/>
      <c r="G1588" s="424"/>
      <c r="H1588" s="424"/>
      <c r="I1588" s="424"/>
      <c r="J1588" s="424"/>
      <c r="K1588" s="424"/>
      <c r="L1588" s="424"/>
      <c r="M1588" s="424"/>
      <c r="N1588" s="424"/>
      <c r="O1588" s="424"/>
      <c r="P1588" s="424"/>
      <c r="Q1588" s="435" t="n">
        <v>1</v>
      </c>
      <c r="R1588" s="434" t="s">
        <v>401</v>
      </c>
      <c r="S1588" s="434" t="s">
        <v>402</v>
      </c>
      <c r="T1588" s="434" t="s">
        <v>403</v>
      </c>
      <c r="U1588" s="434" t="s">
        <v>404</v>
      </c>
      <c r="V1588" s="436" t="n">
        <f aca="false">AY1588</f>
        <v>0</v>
      </c>
      <c r="W1588" s="424"/>
      <c r="X1588" s="429"/>
      <c r="Y1588" s="426"/>
      <c r="Z1588" s="429"/>
      <c r="AA1588" s="426"/>
      <c r="AB1588" s="426"/>
      <c r="AC1588" s="427"/>
      <c r="AD1588" s="427"/>
      <c r="AE1588" s="427"/>
      <c r="AF1588" s="427"/>
      <c r="AG1588" s="427"/>
      <c r="AH1588" s="427"/>
      <c r="AI1588" s="427"/>
      <c r="AJ1588" s="427"/>
      <c r="AK1588" s="427"/>
      <c r="AL1588" s="427"/>
      <c r="AM1588" s="427"/>
      <c r="AN1588" s="427"/>
      <c r="AO1588" s="428"/>
      <c r="AP1588" s="427"/>
      <c r="AQ1588" s="427"/>
      <c r="AR1588" s="427"/>
      <c r="AS1588" s="427"/>
      <c r="AT1588" s="427"/>
      <c r="AU1588" s="427"/>
      <c r="AV1588" s="427"/>
      <c r="AW1588" s="427"/>
      <c r="AX1588" s="433"/>
      <c r="AY1588" s="427"/>
      <c r="BC1588" s="428"/>
      <c r="BE1588" s="426"/>
      <c r="BO1588" s="428"/>
    </row>
    <row r="1589" customFormat="false" ht="15" hidden="false" customHeight="true" outlineLevel="0" collapsed="false">
      <c r="A1589" s="424"/>
      <c r="B1589" s="424"/>
      <c r="C1589" s="424"/>
      <c r="D1589" s="424"/>
      <c r="E1589" s="424"/>
      <c r="F1589" s="424"/>
      <c r="G1589" s="424"/>
      <c r="H1589" s="424"/>
      <c r="I1589" s="424"/>
      <c r="J1589" s="424"/>
      <c r="K1589" s="424"/>
      <c r="L1589" s="424"/>
      <c r="M1589" s="424"/>
      <c r="N1589" s="424"/>
      <c r="O1589" s="424"/>
      <c r="P1589" s="424"/>
      <c r="Q1589" s="435" t="n">
        <v>2</v>
      </c>
      <c r="R1589" s="434" t="s">
        <v>405</v>
      </c>
      <c r="S1589" s="434" t="s">
        <v>406</v>
      </c>
      <c r="T1589" s="434" t="s">
        <v>407</v>
      </c>
      <c r="U1589" s="434" t="s">
        <v>408</v>
      </c>
      <c r="V1589" s="436" t="n">
        <f aca="false">AY1589</f>
        <v>0</v>
      </c>
      <c r="W1589" s="424"/>
      <c r="X1589" s="429"/>
      <c r="Y1589" s="426"/>
      <c r="Z1589" s="429"/>
      <c r="AA1589" s="426"/>
      <c r="AB1589" s="426"/>
      <c r="AC1589" s="427"/>
      <c r="AD1589" s="427"/>
      <c r="AE1589" s="427"/>
      <c r="AF1589" s="427"/>
      <c r="AG1589" s="427"/>
      <c r="AH1589" s="427"/>
      <c r="AI1589" s="427"/>
      <c r="AJ1589" s="427"/>
      <c r="AK1589" s="427"/>
      <c r="AL1589" s="427"/>
      <c r="AM1589" s="427"/>
      <c r="AN1589" s="427"/>
      <c r="AO1589" s="428"/>
      <c r="AP1589" s="427"/>
      <c r="AQ1589" s="427"/>
      <c r="AR1589" s="427"/>
      <c r="AS1589" s="427"/>
      <c r="AT1589" s="427"/>
      <c r="AU1589" s="427"/>
      <c r="AV1589" s="427"/>
      <c r="AW1589" s="427"/>
      <c r="AX1589" s="433"/>
      <c r="AY1589" s="427"/>
      <c r="BC1589" s="428"/>
      <c r="BE1589" s="426"/>
      <c r="BO1589" s="428"/>
    </row>
    <row r="1590" customFormat="false" ht="15" hidden="false" customHeight="true" outlineLevel="0" collapsed="false">
      <c r="A1590" s="424"/>
      <c r="B1590" s="424"/>
      <c r="C1590" s="424"/>
      <c r="D1590" s="424"/>
      <c r="E1590" s="424"/>
      <c r="F1590" s="424"/>
      <c r="G1590" s="424"/>
      <c r="H1590" s="424"/>
      <c r="I1590" s="424"/>
      <c r="J1590" s="424"/>
      <c r="K1590" s="424"/>
      <c r="L1590" s="424"/>
      <c r="M1590" s="424"/>
      <c r="N1590" s="424"/>
      <c r="O1590" s="424"/>
      <c r="P1590" s="424"/>
      <c r="Q1590" s="435" t="n">
        <v>3</v>
      </c>
      <c r="R1590" s="434" t="s">
        <v>409</v>
      </c>
      <c r="S1590" s="434" t="s">
        <v>410</v>
      </c>
      <c r="T1590" s="434" t="s">
        <v>411</v>
      </c>
      <c r="U1590" s="434" t="s">
        <v>412</v>
      </c>
      <c r="V1590" s="436" t="n">
        <f aca="false">AY1590</f>
        <v>0</v>
      </c>
      <c r="W1590" s="424"/>
      <c r="X1590" s="429"/>
      <c r="Y1590" s="426"/>
      <c r="Z1590" s="429"/>
      <c r="AA1590" s="426"/>
      <c r="AB1590" s="426"/>
      <c r="AC1590" s="427"/>
      <c r="AD1590" s="427"/>
      <c r="AE1590" s="427"/>
      <c r="AF1590" s="427"/>
      <c r="AG1590" s="427"/>
      <c r="AH1590" s="427"/>
      <c r="AI1590" s="427"/>
      <c r="AJ1590" s="427"/>
      <c r="AK1590" s="427"/>
      <c r="AL1590" s="427"/>
      <c r="AM1590" s="427"/>
      <c r="AN1590" s="427"/>
      <c r="AO1590" s="428"/>
      <c r="AP1590" s="427"/>
      <c r="AQ1590" s="427"/>
      <c r="AR1590" s="427"/>
      <c r="AS1590" s="427"/>
      <c r="AT1590" s="427"/>
      <c r="AU1590" s="427"/>
      <c r="AV1590" s="427"/>
      <c r="AW1590" s="427"/>
      <c r="AX1590" s="433"/>
      <c r="AY1590" s="427"/>
      <c r="BC1590" s="428"/>
      <c r="BO1590" s="428"/>
    </row>
    <row r="1591" customFormat="false" ht="15" hidden="false" customHeight="true" outlineLevel="0" collapsed="false">
      <c r="A1591" s="424"/>
      <c r="B1591" s="424"/>
      <c r="C1591" s="424"/>
      <c r="D1591" s="424"/>
      <c r="E1591" s="424"/>
      <c r="F1591" s="424"/>
      <c r="G1591" s="424"/>
      <c r="H1591" s="424"/>
      <c r="I1591" s="424"/>
      <c r="J1591" s="424"/>
      <c r="K1591" s="424"/>
      <c r="L1591" s="424"/>
      <c r="M1591" s="424"/>
      <c r="N1591" s="424"/>
      <c r="O1591" s="424"/>
      <c r="P1591" s="424"/>
      <c r="Q1591" s="435" t="n">
        <v>4</v>
      </c>
      <c r="R1591" s="434" t="s">
        <v>413</v>
      </c>
      <c r="S1591" s="434" t="s">
        <v>414</v>
      </c>
      <c r="T1591" s="434" t="s">
        <v>415</v>
      </c>
      <c r="U1591" s="434" t="s">
        <v>416</v>
      </c>
      <c r="V1591" s="436" t="n">
        <f aca="false">AY1591</f>
        <v>0</v>
      </c>
      <c r="W1591" s="424"/>
      <c r="X1591" s="429"/>
      <c r="Y1591" s="426"/>
      <c r="Z1591" s="429"/>
      <c r="AA1591" s="426"/>
      <c r="AB1591" s="426"/>
      <c r="AC1591" s="427"/>
      <c r="AD1591" s="427"/>
      <c r="AE1591" s="427"/>
      <c r="AF1591" s="427"/>
      <c r="AG1591" s="427"/>
      <c r="AH1591" s="427"/>
      <c r="AI1591" s="427"/>
      <c r="AJ1591" s="427"/>
      <c r="AK1591" s="427"/>
      <c r="AL1591" s="427"/>
      <c r="AM1591" s="427"/>
      <c r="AN1591" s="427"/>
      <c r="AO1591" s="428"/>
      <c r="AP1591" s="427"/>
      <c r="AQ1591" s="427"/>
      <c r="AR1591" s="427"/>
      <c r="AS1591" s="427"/>
      <c r="AT1591" s="427"/>
      <c r="AU1591" s="427"/>
      <c r="AV1591" s="427"/>
      <c r="AW1591" s="427"/>
      <c r="AX1591" s="433"/>
      <c r="AY1591" s="427"/>
      <c r="AZ1591" s="427"/>
      <c r="BA1591" s="427"/>
      <c r="BC1591" s="428"/>
      <c r="BD1591" s="429"/>
      <c r="BE1591" s="429"/>
      <c r="BF1591" s="427"/>
      <c r="BG1591" s="437"/>
      <c r="BH1591" s="427"/>
      <c r="BJ1591" s="437"/>
      <c r="BK1591" s="427"/>
      <c r="BM1591" s="429"/>
      <c r="BN1591" s="427"/>
      <c r="BO1591" s="428"/>
      <c r="BP1591" s="430"/>
    </row>
    <row r="1592" customFormat="false" ht="15" hidden="false" customHeight="true" outlineLevel="0" collapsed="false">
      <c r="A1592" s="424"/>
      <c r="B1592" s="424"/>
      <c r="C1592" s="424"/>
      <c r="D1592" s="424"/>
      <c r="E1592" s="424"/>
      <c r="F1592" s="424"/>
      <c r="G1592" s="424"/>
      <c r="H1592" s="424"/>
      <c r="I1592" s="424"/>
      <c r="J1592" s="424"/>
      <c r="K1592" s="424"/>
      <c r="L1592" s="424"/>
      <c r="M1592" s="424"/>
      <c r="N1592" s="424"/>
      <c r="O1592" s="424"/>
      <c r="P1592" s="438" t="s">
        <v>417</v>
      </c>
      <c r="Q1592" s="435" t="n">
        <v>5</v>
      </c>
      <c r="R1592" s="434" t="s">
        <v>418</v>
      </c>
      <c r="S1592" s="434" t="s">
        <v>419</v>
      </c>
      <c r="T1592" s="434" t="s">
        <v>420</v>
      </c>
      <c r="U1592" s="434" t="s">
        <v>421</v>
      </c>
      <c r="V1592" s="436" t="n">
        <f aca="false">AY1592</f>
        <v>0</v>
      </c>
      <c r="W1592" s="424"/>
      <c r="X1592" s="429"/>
      <c r="Y1592" s="426"/>
      <c r="Z1592" s="429"/>
      <c r="AA1592" s="426"/>
      <c r="AB1592" s="426"/>
      <c r="AC1592" s="427"/>
      <c r="AD1592" s="427"/>
      <c r="AE1592" s="427"/>
      <c r="AF1592" s="427"/>
      <c r="AG1592" s="427"/>
      <c r="AH1592" s="427"/>
      <c r="AI1592" s="427"/>
      <c r="AJ1592" s="427"/>
      <c r="AK1592" s="427"/>
      <c r="AL1592" s="427"/>
      <c r="AM1592" s="427"/>
      <c r="AN1592" s="427"/>
      <c r="AO1592" s="428"/>
      <c r="AP1592" s="427"/>
      <c r="AQ1592" s="427"/>
      <c r="AR1592" s="427"/>
      <c r="AS1592" s="427"/>
      <c r="AT1592" s="427"/>
      <c r="AU1592" s="427"/>
      <c r="AV1592" s="427"/>
      <c r="AW1592" s="427"/>
      <c r="AX1592" s="433"/>
      <c r="AY1592" s="427"/>
      <c r="BC1592" s="428"/>
      <c r="BD1592" s="429"/>
      <c r="BE1592" s="429"/>
      <c r="BF1592" s="427"/>
      <c r="BG1592" s="437"/>
      <c r="BH1592" s="427"/>
      <c r="BJ1592" s="437"/>
      <c r="BK1592" s="427"/>
      <c r="BM1592" s="429"/>
      <c r="BN1592" s="427"/>
      <c r="BO1592" s="428"/>
      <c r="BP1592" s="430"/>
    </row>
    <row r="1593" customFormat="false" ht="15" hidden="false" customHeight="true" outlineLevel="0" collapsed="false">
      <c r="A1593" s="424"/>
      <c r="B1593" s="424"/>
      <c r="C1593" s="424"/>
      <c r="D1593" s="424"/>
      <c r="E1593" s="424"/>
      <c r="F1593" s="424"/>
      <c r="G1593" s="424"/>
      <c r="H1593" s="424"/>
      <c r="I1593" s="424"/>
      <c r="J1593" s="424"/>
      <c r="K1593" s="424"/>
      <c r="L1593" s="424"/>
      <c r="M1593" s="424"/>
      <c r="N1593" s="424"/>
      <c r="O1593" s="424"/>
      <c r="P1593" s="438" t="s">
        <v>417</v>
      </c>
      <c r="Q1593" s="435" t="n">
        <v>6</v>
      </c>
      <c r="R1593" s="434" t="s">
        <v>422</v>
      </c>
      <c r="S1593" s="434" t="s">
        <v>423</v>
      </c>
      <c r="T1593" s="434" t="s">
        <v>424</v>
      </c>
      <c r="U1593" s="434" t="s">
        <v>425</v>
      </c>
      <c r="V1593" s="436" t="n">
        <f aca="false">AY1593</f>
        <v>0</v>
      </c>
      <c r="W1593" s="424"/>
      <c r="X1593" s="429"/>
      <c r="Y1593" s="426"/>
      <c r="Z1593" s="429"/>
      <c r="AA1593" s="426"/>
      <c r="AB1593" s="426"/>
      <c r="AC1593" s="427"/>
      <c r="AD1593" s="427"/>
      <c r="AE1593" s="427"/>
      <c r="AF1593" s="427"/>
      <c r="AG1593" s="427"/>
      <c r="AH1593" s="427"/>
      <c r="AI1593" s="427"/>
      <c r="AJ1593" s="427"/>
      <c r="AK1593" s="427"/>
      <c r="AL1593" s="427"/>
      <c r="AM1593" s="427"/>
      <c r="AN1593" s="427"/>
      <c r="AO1593" s="428"/>
      <c r="AP1593" s="427"/>
      <c r="AQ1593" s="427"/>
      <c r="AR1593" s="427"/>
      <c r="AS1593" s="427"/>
      <c r="AT1593" s="427"/>
      <c r="AU1593" s="427"/>
      <c r="AV1593" s="427"/>
      <c r="AW1593" s="427"/>
      <c r="AX1593" s="433"/>
      <c r="AY1593" s="427"/>
      <c r="BC1593" s="428"/>
      <c r="BD1593" s="429"/>
      <c r="BE1593" s="429"/>
      <c r="BF1593" s="427"/>
      <c r="BG1593" s="437"/>
      <c r="BH1593" s="427"/>
      <c r="BJ1593" s="437"/>
      <c r="BK1593" s="427"/>
      <c r="BM1593" s="429"/>
      <c r="BN1593" s="427"/>
      <c r="BO1593" s="428"/>
      <c r="BP1593" s="430"/>
    </row>
    <row r="1594" customFormat="false" ht="15" hidden="false" customHeight="true" outlineLevel="0" collapsed="false">
      <c r="A1594" s="424"/>
      <c r="B1594" s="424"/>
      <c r="C1594" s="424"/>
      <c r="D1594" s="424"/>
      <c r="E1594" s="424"/>
      <c r="F1594" s="424"/>
      <c r="G1594" s="424"/>
      <c r="H1594" s="424"/>
      <c r="I1594" s="424"/>
      <c r="J1594" s="424"/>
      <c r="K1594" s="424"/>
      <c r="L1594" s="424"/>
      <c r="M1594" s="424"/>
      <c r="N1594" s="424"/>
      <c r="O1594" s="424"/>
      <c r="P1594" s="438" t="s">
        <v>417</v>
      </c>
      <c r="Q1594" s="435" t="n">
        <v>7</v>
      </c>
      <c r="R1594" s="434" t="s">
        <v>426</v>
      </c>
      <c r="S1594" s="434" t="s">
        <v>427</v>
      </c>
      <c r="T1594" s="434" t="s">
        <v>428</v>
      </c>
      <c r="U1594" s="434" t="s">
        <v>429</v>
      </c>
      <c r="V1594" s="436" t="n">
        <f aca="false">AY1594</f>
        <v>0</v>
      </c>
      <c r="W1594" s="424"/>
      <c r="X1594" s="437"/>
      <c r="AC1594" s="427"/>
      <c r="AD1594" s="427"/>
      <c r="AE1594" s="427"/>
      <c r="AF1594" s="427"/>
      <c r="AG1594" s="427"/>
      <c r="AH1594" s="427"/>
      <c r="AI1594" s="427"/>
      <c r="AJ1594" s="427"/>
      <c r="AK1594" s="427"/>
      <c r="AL1594" s="427"/>
      <c r="AM1594" s="427"/>
      <c r="AN1594" s="427"/>
      <c r="AP1594" s="427"/>
      <c r="AQ1594" s="427"/>
      <c r="AR1594" s="427"/>
      <c r="AS1594" s="427"/>
      <c r="AT1594" s="427"/>
      <c r="AU1594" s="427"/>
      <c r="AV1594" s="427"/>
      <c r="AW1594" s="427"/>
      <c r="AX1594" s="427"/>
      <c r="AY1594" s="427"/>
      <c r="BC1594" s="428"/>
      <c r="BF1594" s="427"/>
      <c r="BG1594" s="437"/>
      <c r="BH1594" s="427"/>
      <c r="BJ1594" s="437"/>
      <c r="BK1594" s="427"/>
      <c r="BM1594" s="429"/>
      <c r="BN1594" s="427"/>
      <c r="BO1594" s="428"/>
      <c r="BP1594" s="430"/>
    </row>
    <row r="1595" customFormat="false" ht="12" hidden="false" customHeight="true" outlineLevel="0" collapsed="false">
      <c r="A1595" s="424"/>
      <c r="B1595" s="424"/>
      <c r="C1595" s="424"/>
      <c r="D1595" s="424"/>
      <c r="E1595" s="424"/>
      <c r="F1595" s="424"/>
      <c r="G1595" s="424"/>
      <c r="H1595" s="424"/>
      <c r="I1595" s="424"/>
      <c r="J1595" s="424"/>
      <c r="K1595" s="424"/>
      <c r="L1595" s="424"/>
      <c r="M1595" s="424"/>
      <c r="N1595" s="424"/>
      <c r="O1595" s="424"/>
      <c r="P1595" s="438" t="s">
        <v>417</v>
      </c>
      <c r="Q1595" s="435" t="n">
        <v>8</v>
      </c>
      <c r="R1595" s="434" t="s">
        <v>430</v>
      </c>
      <c r="S1595" s="434" t="s">
        <v>431</v>
      </c>
      <c r="T1595" s="434" t="s">
        <v>432</v>
      </c>
      <c r="U1595" s="434" t="s">
        <v>433</v>
      </c>
      <c r="V1595" s="436" t="n">
        <f aca="false">AY1595</f>
        <v>0</v>
      </c>
      <c r="W1595" s="424"/>
      <c r="X1595" s="429"/>
      <c r="AC1595" s="427"/>
      <c r="AD1595" s="427"/>
      <c r="AE1595" s="427"/>
      <c r="AF1595" s="427"/>
      <c r="AG1595" s="427"/>
      <c r="AH1595" s="427"/>
      <c r="AI1595" s="427"/>
      <c r="AJ1595" s="427"/>
      <c r="AK1595" s="427"/>
      <c r="AL1595" s="427"/>
      <c r="AM1595" s="427"/>
      <c r="AN1595" s="427"/>
      <c r="AO1595" s="428"/>
      <c r="AP1595" s="427"/>
      <c r="AQ1595" s="427"/>
      <c r="AR1595" s="427"/>
      <c r="AS1595" s="427"/>
      <c r="AT1595" s="427"/>
      <c r="AU1595" s="427"/>
      <c r="AV1595" s="427"/>
      <c r="AW1595" s="427"/>
      <c r="AX1595" s="427"/>
      <c r="AY1595" s="427"/>
      <c r="BC1595" s="428"/>
      <c r="BF1595" s="437"/>
      <c r="BG1595" s="427"/>
      <c r="BH1595" s="437"/>
      <c r="BI1595" s="427"/>
      <c r="BJ1595" s="427"/>
      <c r="BK1595" s="437"/>
      <c r="BM1595" s="428"/>
      <c r="BN1595" s="439"/>
      <c r="BO1595" s="428"/>
      <c r="BP1595" s="431"/>
    </row>
    <row r="1596" customFormat="false" ht="15" hidden="false" customHeight="true" outlineLevel="0" collapsed="false">
      <c r="A1596" s="424"/>
      <c r="B1596" s="424"/>
      <c r="C1596" s="424"/>
      <c r="D1596" s="424"/>
      <c r="E1596" s="424"/>
      <c r="F1596" s="424"/>
      <c r="G1596" s="424"/>
      <c r="H1596" s="424"/>
      <c r="I1596" s="424"/>
      <c r="J1596" s="424"/>
      <c r="K1596" s="424"/>
      <c r="L1596" s="424"/>
      <c r="M1596" s="424"/>
      <c r="N1596" s="424"/>
      <c r="O1596" s="424"/>
      <c r="P1596" s="438" t="s">
        <v>417</v>
      </c>
      <c r="Q1596" s="435" t="n">
        <v>9</v>
      </c>
      <c r="R1596" s="434" t="s">
        <v>434</v>
      </c>
      <c r="S1596" s="434" t="s">
        <v>435</v>
      </c>
      <c r="T1596" s="434" t="s">
        <v>436</v>
      </c>
      <c r="U1596" s="434" t="s">
        <v>437</v>
      </c>
      <c r="V1596" s="436" t="n">
        <f aca="false">AY1596</f>
        <v>0</v>
      </c>
      <c r="W1596" s="424"/>
      <c r="X1596" s="429"/>
      <c r="AC1596" s="427"/>
      <c r="AD1596" s="427"/>
      <c r="AE1596" s="427"/>
      <c r="AF1596" s="427"/>
      <c r="AG1596" s="427"/>
      <c r="AH1596" s="427"/>
      <c r="AI1596" s="427"/>
      <c r="AJ1596" s="427"/>
      <c r="AK1596" s="427"/>
      <c r="AL1596" s="427"/>
      <c r="AM1596" s="427"/>
      <c r="AN1596" s="427"/>
      <c r="AO1596" s="428"/>
      <c r="AP1596" s="427"/>
      <c r="AQ1596" s="427"/>
      <c r="AR1596" s="427"/>
      <c r="AS1596" s="427"/>
      <c r="AT1596" s="427"/>
      <c r="AU1596" s="427"/>
      <c r="AV1596" s="427"/>
      <c r="AW1596" s="427"/>
      <c r="AX1596" s="427"/>
      <c r="AY1596" s="427"/>
      <c r="BC1596" s="428"/>
      <c r="BF1596" s="437"/>
      <c r="BG1596" s="427"/>
      <c r="BH1596" s="437"/>
      <c r="BI1596" s="427"/>
      <c r="BJ1596" s="427"/>
      <c r="BK1596" s="437"/>
      <c r="BM1596" s="429"/>
      <c r="BN1596" s="427"/>
      <c r="BO1596" s="428"/>
    </row>
    <row r="1597" customFormat="false" ht="15" hidden="false" customHeight="true" outlineLevel="0" collapsed="false">
      <c r="A1597" s="424"/>
      <c r="B1597" s="424"/>
      <c r="C1597" s="424"/>
      <c r="D1597" s="424"/>
      <c r="E1597" s="424"/>
      <c r="F1597" s="424"/>
      <c r="G1597" s="424"/>
      <c r="H1597" s="424"/>
      <c r="I1597" s="424"/>
      <c r="J1597" s="424"/>
      <c r="K1597" s="424"/>
      <c r="L1597" s="424"/>
      <c r="M1597" s="424"/>
      <c r="N1597" s="424"/>
      <c r="O1597" s="424"/>
      <c r="P1597" s="438" t="s">
        <v>417</v>
      </c>
      <c r="Q1597" s="435" t="n">
        <v>10</v>
      </c>
      <c r="R1597" s="434" t="s">
        <v>438</v>
      </c>
      <c r="S1597" s="424"/>
      <c r="T1597" s="434" t="s">
        <v>439</v>
      </c>
      <c r="U1597" s="434" t="s">
        <v>440</v>
      </c>
      <c r="V1597" s="436" t="n">
        <f aca="false">AY1597</f>
        <v>0</v>
      </c>
      <c r="W1597" s="424"/>
      <c r="X1597" s="429"/>
      <c r="AH1597" s="427"/>
      <c r="AR1597" s="427"/>
      <c r="AY1597" s="427"/>
      <c r="BA1597" s="427"/>
      <c r="BB1597" s="427"/>
      <c r="BC1597" s="428"/>
      <c r="BG1597" s="427"/>
      <c r="BH1597" s="437"/>
      <c r="BJ1597" s="427"/>
      <c r="BK1597" s="437"/>
      <c r="BL1597" s="427"/>
      <c r="BM1597" s="428"/>
      <c r="BN1597" s="439"/>
      <c r="BO1597" s="428"/>
    </row>
    <row r="1598" customFormat="false" ht="15" hidden="false" customHeight="true" outlineLevel="0" collapsed="false">
      <c r="A1598" s="424"/>
      <c r="B1598" s="424"/>
      <c r="C1598" s="424"/>
      <c r="D1598" s="424"/>
      <c r="E1598" s="424"/>
      <c r="F1598" s="435" t="n">
        <f aca="false">TRUNC(+A1600/1000000)</f>
        <v>0</v>
      </c>
      <c r="G1598" s="424"/>
      <c r="H1598" s="424"/>
      <c r="I1598" s="424"/>
      <c r="J1598" s="424"/>
      <c r="K1598" s="424"/>
      <c r="L1598" s="424"/>
      <c r="M1598" s="424"/>
      <c r="N1598" s="424"/>
      <c r="O1598" s="424"/>
      <c r="P1598" s="438" t="s">
        <v>417</v>
      </c>
      <c r="Q1598" s="435" t="n">
        <v>11</v>
      </c>
      <c r="R1598" s="434" t="s">
        <v>441</v>
      </c>
      <c r="S1598" s="424"/>
      <c r="T1598" s="434" t="s">
        <v>442</v>
      </c>
      <c r="U1598" s="434" t="s">
        <v>443</v>
      </c>
      <c r="V1598" s="436" t="n">
        <f aca="false">AY1598</f>
        <v>0</v>
      </c>
      <c r="W1598" s="424"/>
      <c r="X1598" s="429"/>
      <c r="AC1598" s="427"/>
      <c r="AD1598" s="427"/>
      <c r="AE1598" s="427"/>
      <c r="AF1598" s="427"/>
      <c r="AG1598" s="427"/>
      <c r="AH1598" s="427"/>
      <c r="AI1598" s="427"/>
      <c r="AJ1598" s="427"/>
      <c r="AK1598" s="427"/>
      <c r="AL1598" s="427"/>
      <c r="AM1598" s="427"/>
      <c r="AN1598" s="427"/>
      <c r="AP1598" s="427"/>
      <c r="AQ1598" s="427"/>
      <c r="AR1598" s="427"/>
      <c r="AS1598" s="427"/>
      <c r="AT1598" s="427"/>
      <c r="AU1598" s="427"/>
      <c r="AV1598" s="427"/>
      <c r="AW1598" s="427"/>
      <c r="AX1598" s="427"/>
      <c r="AY1598" s="427"/>
      <c r="BA1598" s="427"/>
      <c r="BC1598" s="428"/>
      <c r="BG1598" s="427"/>
      <c r="BH1598" s="437"/>
      <c r="BJ1598" s="427"/>
      <c r="BN1598" s="427"/>
      <c r="BO1598" s="428"/>
    </row>
    <row r="1599" customFormat="false" ht="15" hidden="false" customHeight="true" outlineLevel="0" collapsed="false">
      <c r="A1599" s="424"/>
      <c r="B1599" s="424"/>
      <c r="C1599" s="424"/>
      <c r="D1599" s="424"/>
      <c r="E1599" s="424"/>
      <c r="F1599" s="435" t="e">
        <f aca="false">(+B1603*100000+C1603*1000+E1603*100)</f>
        <v>#VALUE!</v>
      </c>
      <c r="G1599" s="424"/>
      <c r="H1599" s="424"/>
      <c r="I1599" s="424"/>
      <c r="J1599" s="424"/>
      <c r="K1599" s="424"/>
      <c r="L1599" s="434" t="s">
        <v>444</v>
      </c>
      <c r="M1599" s="424"/>
      <c r="N1599" s="424"/>
      <c r="O1599" s="424"/>
      <c r="P1599" s="438" t="s">
        <v>417</v>
      </c>
      <c r="Q1599" s="435" t="n">
        <v>12</v>
      </c>
      <c r="R1599" s="434" t="s">
        <v>445</v>
      </c>
      <c r="S1599" s="424"/>
      <c r="T1599" s="434" t="s">
        <v>446</v>
      </c>
      <c r="U1599" s="434" t="s">
        <v>447</v>
      </c>
      <c r="V1599" s="436" t="n">
        <f aca="false">AY1599</f>
        <v>0</v>
      </c>
      <c r="W1599" s="424"/>
      <c r="X1599" s="429"/>
      <c r="AC1599" s="427"/>
      <c r="AD1599" s="427"/>
      <c r="AE1599" s="427"/>
      <c r="AF1599" s="427"/>
      <c r="AG1599" s="427"/>
      <c r="AH1599" s="427"/>
      <c r="AI1599" s="427"/>
      <c r="AJ1599" s="427"/>
      <c r="AK1599" s="427"/>
      <c r="AL1599" s="427"/>
      <c r="AM1599" s="427"/>
      <c r="AN1599" s="427"/>
      <c r="AP1599" s="427"/>
      <c r="AQ1599" s="427"/>
      <c r="AR1599" s="427"/>
      <c r="AS1599" s="427"/>
      <c r="AT1599" s="427"/>
      <c r="AU1599" s="427"/>
      <c r="AV1599" s="427"/>
      <c r="AW1599" s="427"/>
      <c r="AX1599" s="427"/>
      <c r="AY1599" s="427"/>
      <c r="BA1599" s="427"/>
      <c r="BC1599" s="428"/>
      <c r="BG1599" s="427"/>
      <c r="BH1599" s="437"/>
      <c r="BJ1599" s="427"/>
      <c r="BK1599" s="431"/>
      <c r="BM1599" s="427"/>
      <c r="BN1599" s="427"/>
      <c r="BO1599" s="428"/>
    </row>
    <row r="1600" customFormat="false" ht="15" hidden="false" customHeight="true" outlineLevel="0" collapsed="false">
      <c r="A1600" s="436" t="n">
        <f aca="false">TRUNC(+A1601)</f>
        <v>1222</v>
      </c>
      <c r="B1600" s="424"/>
      <c r="C1600" s="424"/>
      <c r="D1600" s="424"/>
      <c r="E1600" s="440" t="n">
        <f aca="false">TRUNC(+A1600/100000000)</f>
        <v>0</v>
      </c>
      <c r="F1600" s="424"/>
      <c r="G1600" s="424"/>
      <c r="H1600" s="424"/>
      <c r="I1600" s="424"/>
      <c r="J1600" s="424"/>
      <c r="K1600" s="424"/>
      <c r="L1600" s="424"/>
      <c r="M1600" s="424"/>
      <c r="N1600" s="424"/>
      <c r="O1600" s="424"/>
      <c r="P1600" s="438" t="s">
        <v>417</v>
      </c>
      <c r="Q1600" s="435" t="n">
        <v>13</v>
      </c>
      <c r="R1600" s="434" t="s">
        <v>448</v>
      </c>
      <c r="S1600" s="424"/>
      <c r="T1600" s="434" t="s">
        <v>449</v>
      </c>
      <c r="U1600" s="434" t="s">
        <v>450</v>
      </c>
      <c r="V1600" s="436" t="n">
        <f aca="false">AY1600</f>
        <v>0</v>
      </c>
      <c r="W1600" s="424"/>
      <c r="X1600" s="429"/>
      <c r="AC1600" s="427"/>
      <c r="AD1600" s="427"/>
      <c r="AE1600" s="427"/>
      <c r="AF1600" s="427"/>
      <c r="AG1600" s="427"/>
      <c r="AH1600" s="427"/>
      <c r="AI1600" s="427"/>
      <c r="AJ1600" s="427"/>
      <c r="AK1600" s="427"/>
      <c r="AL1600" s="427"/>
      <c r="AM1600" s="427"/>
      <c r="AN1600" s="427"/>
      <c r="AP1600" s="427"/>
      <c r="AQ1600" s="427"/>
      <c r="AR1600" s="427"/>
      <c r="AS1600" s="427"/>
      <c r="AT1600" s="427"/>
      <c r="AU1600" s="427"/>
      <c r="AV1600" s="427"/>
      <c r="AW1600" s="427"/>
      <c r="AX1600" s="427"/>
      <c r="AY1600" s="427"/>
      <c r="BC1600" s="428"/>
      <c r="BM1600" s="427"/>
      <c r="BN1600" s="427"/>
      <c r="BO1600" s="428"/>
    </row>
    <row r="1601" customFormat="false" ht="15" hidden="false" customHeight="true" outlineLevel="0" collapsed="false">
      <c r="A1601" s="441" t="n">
        <v>1222</v>
      </c>
      <c r="B1601" s="434" t="s">
        <v>451</v>
      </c>
      <c r="C1601" s="434" t="s">
        <v>452</v>
      </c>
      <c r="D1601" s="424"/>
      <c r="E1601" s="434" t="s">
        <v>452</v>
      </c>
      <c r="F1601" s="424"/>
      <c r="G1601" s="424"/>
      <c r="H1601" s="424"/>
      <c r="I1601" s="440" t="n">
        <f aca="false">TRUNC((+A1600-(+F1598*1000000))/1000)</f>
        <v>1</v>
      </c>
      <c r="J1601" s="424"/>
      <c r="K1601" s="440" t="n">
        <f aca="false">(TRUNC((+A1600-(+F1598*1000000))/1))-I1601*1000</f>
        <v>222</v>
      </c>
      <c r="L1601" s="424"/>
      <c r="M1601" s="424"/>
      <c r="N1601" s="424"/>
      <c r="O1601" s="424"/>
      <c r="P1601" s="438" t="s">
        <v>417</v>
      </c>
      <c r="Q1601" s="435" t="n">
        <v>14</v>
      </c>
      <c r="R1601" s="434" t="s">
        <v>453</v>
      </c>
      <c r="S1601" s="424"/>
      <c r="T1601" s="434" t="s">
        <v>454</v>
      </c>
      <c r="U1601" s="434" t="s">
        <v>455</v>
      </c>
      <c r="V1601" s="436" t="n">
        <f aca="false">AY1601</f>
        <v>0</v>
      </c>
      <c r="W1601" s="424"/>
      <c r="X1601" s="429"/>
      <c r="AC1601" s="427"/>
      <c r="AD1601" s="427"/>
      <c r="AE1601" s="427"/>
      <c r="AF1601" s="427"/>
      <c r="AG1601" s="427"/>
      <c r="AH1601" s="427"/>
      <c r="AI1601" s="427"/>
      <c r="AJ1601" s="427"/>
      <c r="AK1601" s="427"/>
      <c r="AL1601" s="427"/>
      <c r="AM1601" s="427"/>
      <c r="AN1601" s="427"/>
      <c r="AP1601" s="427"/>
      <c r="AQ1601" s="427"/>
      <c r="AR1601" s="427"/>
      <c r="AS1601" s="427"/>
      <c r="AT1601" s="427"/>
      <c r="AU1601" s="427"/>
      <c r="AV1601" s="427"/>
      <c r="AW1601" s="427"/>
      <c r="AX1601" s="427"/>
      <c r="AY1601" s="427"/>
      <c r="BC1601" s="428"/>
      <c r="BL1601" s="426"/>
      <c r="BN1601" s="427"/>
      <c r="BO1601" s="428"/>
    </row>
    <row r="1602" customFormat="false" ht="15" hidden="false" customHeight="true" outlineLevel="0" collapsed="false">
      <c r="A1602" s="424"/>
      <c r="B1602" s="442" t="s">
        <v>456</v>
      </c>
      <c r="C1602" s="442" t="s">
        <v>456</v>
      </c>
      <c r="D1602" s="424"/>
      <c r="E1602" s="442" t="s">
        <v>456</v>
      </c>
      <c r="F1602" s="424"/>
      <c r="G1602" s="424"/>
      <c r="H1602" s="424"/>
      <c r="I1602" s="424"/>
      <c r="J1602" s="424"/>
      <c r="K1602" s="424"/>
      <c r="L1602" s="424"/>
      <c r="M1602" s="424"/>
      <c r="N1602" s="440" t="n">
        <f aca="false">ROUND(((+A1601-A1600)*100),1)</f>
        <v>0</v>
      </c>
      <c r="O1602" s="424"/>
      <c r="P1602" s="438" t="s">
        <v>417</v>
      </c>
      <c r="Q1602" s="435" t="n">
        <v>15</v>
      </c>
      <c r="R1602" s="434" t="s">
        <v>457</v>
      </c>
      <c r="S1602" s="424"/>
      <c r="T1602" s="434" t="s">
        <v>458</v>
      </c>
      <c r="U1602" s="434" t="s">
        <v>459</v>
      </c>
      <c r="V1602" s="436" t="n">
        <f aca="false">AY1602</f>
        <v>0</v>
      </c>
      <c r="W1602" s="424"/>
      <c r="X1602" s="429"/>
      <c r="AC1602" s="427"/>
      <c r="AD1602" s="427"/>
      <c r="AE1602" s="427"/>
      <c r="AF1602" s="427"/>
      <c r="AG1602" s="427"/>
      <c r="AH1602" s="427"/>
      <c r="AI1602" s="427"/>
      <c r="AJ1602" s="427"/>
      <c r="AK1602" s="427"/>
      <c r="AL1602" s="427"/>
      <c r="AM1602" s="427"/>
      <c r="AN1602" s="427"/>
      <c r="AP1602" s="427"/>
      <c r="AQ1602" s="427"/>
      <c r="AR1602" s="427"/>
      <c r="AS1602" s="427"/>
      <c r="AT1602" s="427"/>
      <c r="AU1602" s="427"/>
      <c r="AV1602" s="427"/>
      <c r="AW1602" s="427"/>
      <c r="AX1602" s="427"/>
      <c r="AY1602" s="427"/>
      <c r="BC1602" s="428"/>
      <c r="BK1602" s="426"/>
      <c r="BN1602" s="427"/>
      <c r="BO1602" s="428"/>
      <c r="BQ1602" s="429"/>
      <c r="BR1602" s="426"/>
      <c r="BS1602" s="426"/>
    </row>
    <row r="1603" customFormat="false" ht="15" hidden="false" customHeight="true" outlineLevel="0" collapsed="false">
      <c r="A1603" s="424"/>
      <c r="B1603" s="440" t="n">
        <f aca="false">TRUNC(+A1601/100000000000)</f>
        <v>0</v>
      </c>
      <c r="C1603" s="440" t="n">
        <f aca="false">(TRUNC(+A1600/1000000000))-B1603*100</f>
        <v>0</v>
      </c>
      <c r="D1603" s="424"/>
      <c r="E1603" s="435" t="str">
        <f aca="false">IF(E1600&gt;0,TRUNC(+E1600-B1603*1000-C1603*10),"")</f>
        <v/>
      </c>
      <c r="F1603" s="435" t="e">
        <f aca="false">F1598-F1599</f>
        <v>#VALUE!</v>
      </c>
      <c r="G1603" s="435" t="e">
        <f aca="false">G1605</f>
        <v>#VALUE!</v>
      </c>
      <c r="H1603" s="440" t="n">
        <f aca="false">TRUNC((+A1600-(+F1598*1000000))/100000)</f>
        <v>0</v>
      </c>
      <c r="I1603" s="440" t="n">
        <f aca="false">I1601-H1603*100</f>
        <v>1</v>
      </c>
      <c r="J1603" s="424"/>
      <c r="K1603" s="440" t="n">
        <f aca="false">TRUNC(+K1601/100)</f>
        <v>2</v>
      </c>
      <c r="L1603" s="440" t="n">
        <f aca="false">K1601-K1603*100</f>
        <v>22</v>
      </c>
      <c r="M1603" s="440" t="str">
        <f aca="false">IF(N1603&gt;0," &amp; Sen ","")</f>
        <v/>
      </c>
      <c r="N1603" s="435" t="n">
        <f aca="false">N1602</f>
        <v>0</v>
      </c>
      <c r="O1603" s="424"/>
      <c r="P1603" s="438" t="s">
        <v>417</v>
      </c>
      <c r="Q1603" s="435" t="n">
        <v>16</v>
      </c>
      <c r="R1603" s="434" t="s">
        <v>460</v>
      </c>
      <c r="S1603" s="424"/>
      <c r="T1603" s="434" t="s">
        <v>461</v>
      </c>
      <c r="U1603" s="434" t="s">
        <v>462</v>
      </c>
      <c r="V1603" s="436" t="n">
        <f aca="false">AY1603</f>
        <v>0</v>
      </c>
      <c r="W1603" s="424"/>
      <c r="X1603" s="429"/>
      <c r="AC1603" s="427"/>
      <c r="AD1603" s="427"/>
      <c r="AE1603" s="427"/>
      <c r="AF1603" s="427"/>
      <c r="AG1603" s="427"/>
      <c r="AH1603" s="427"/>
      <c r="AI1603" s="427"/>
      <c r="AJ1603" s="427"/>
      <c r="AK1603" s="427"/>
      <c r="AL1603" s="427"/>
      <c r="AM1603" s="427"/>
      <c r="AN1603" s="427"/>
      <c r="AO1603" s="428"/>
      <c r="AP1603" s="427"/>
      <c r="AQ1603" s="427"/>
      <c r="AR1603" s="427"/>
      <c r="AS1603" s="427"/>
      <c r="AT1603" s="427"/>
      <c r="AU1603" s="427"/>
      <c r="AV1603" s="427"/>
      <c r="AW1603" s="427"/>
      <c r="AX1603" s="427"/>
      <c r="AY1603" s="427"/>
      <c r="BC1603" s="428"/>
      <c r="BN1603" s="427"/>
      <c r="BO1603" s="428"/>
      <c r="BQ1603" s="429"/>
      <c r="BR1603" s="426"/>
      <c r="BS1603" s="426"/>
    </row>
    <row r="1604" customFormat="false" ht="15" hidden="false" customHeight="true" outlineLevel="0" collapsed="false">
      <c r="A1604" s="424"/>
      <c r="B1604" s="424"/>
      <c r="C1604" s="424"/>
      <c r="D1604" s="424"/>
      <c r="E1604" s="424"/>
      <c r="F1604" s="424"/>
      <c r="G1604" s="424"/>
      <c r="H1604" s="424"/>
      <c r="I1604" s="424"/>
      <c r="J1604" s="424"/>
      <c r="K1604" s="424"/>
      <c r="L1604" s="424"/>
      <c r="M1604" s="424"/>
      <c r="N1604" s="424"/>
      <c r="O1604" s="424"/>
      <c r="P1604" s="438" t="s">
        <v>417</v>
      </c>
      <c r="Q1604" s="435" t="n">
        <v>17</v>
      </c>
      <c r="R1604" s="434" t="s">
        <v>463</v>
      </c>
      <c r="S1604" s="424"/>
      <c r="T1604" s="434" t="s">
        <v>464</v>
      </c>
      <c r="U1604" s="434" t="s">
        <v>465</v>
      </c>
      <c r="V1604" s="436" t="n">
        <f aca="false">AY1604</f>
        <v>0</v>
      </c>
      <c r="W1604" s="424"/>
      <c r="X1604" s="429"/>
      <c r="AY1604" s="427"/>
      <c r="BB1604" s="429"/>
      <c r="BC1604" s="428"/>
      <c r="BG1604" s="427"/>
      <c r="BH1604" s="437"/>
      <c r="BJ1604" s="427"/>
      <c r="BK1604" s="437"/>
      <c r="BL1604" s="427"/>
      <c r="BM1604" s="429"/>
      <c r="BN1604" s="427"/>
      <c r="BO1604" s="428"/>
      <c r="BQ1604" s="429"/>
      <c r="BR1604" s="426"/>
      <c r="BS1604" s="426"/>
    </row>
    <row r="1605" customFormat="false" ht="15" hidden="false" customHeight="true" outlineLevel="0" collapsed="false">
      <c r="A1605" s="440" t="n">
        <f aca="false">B1603*100000000000</f>
        <v>0</v>
      </c>
      <c r="B1605" s="440" t="str">
        <f aca="false">IF(B1603&gt;0,VLOOKUP(B1603,$Q$7:$T$15,3),"")</f>
        <v/>
      </c>
      <c r="C1605" s="440" t="str">
        <f aca="false">IF(C1603&gt;0,VLOOKUP(C1603,Q1588:R1686,2),"")</f>
        <v/>
      </c>
      <c r="D1605" s="440" t="str">
        <f aca="false">IF(B1600+C1603&gt;0," Milyar ","")</f>
        <v/>
      </c>
      <c r="E1605" s="440" t="e">
        <f aca="false">IF(E1603&gt;0,VLOOKUP(E1603,$Q$7:$T$15,3),"")</f>
        <v>#N/A</v>
      </c>
      <c r="F1605" s="440" t="e">
        <f aca="false">IF(F1603&gt;0,VLOOKUP(F1603,Q1588:R1686,2),"")</f>
        <v>#VALUE!</v>
      </c>
      <c r="G1605" s="435" t="e">
        <f aca="false">IF(F1603+E1603&gt;0," Juta","")</f>
        <v>#VALUE!</v>
      </c>
      <c r="H1605" s="440" t="str">
        <f aca="false">IF(H1603&gt;0,VLOOKUP(H1603,$Q$7:$T$15,3),"")</f>
        <v/>
      </c>
      <c r="I1605" s="440" t="str">
        <f aca="false">IF(I1603=1," Se",IF(I1603=0,"",VLOOKUP(I1603,Q1588:R1686,2)))</f>
        <v> Se</v>
      </c>
      <c r="J1605" s="435" t="str">
        <f aca="false">IF(I1603+H1603&gt;0," ribu","")</f>
        <v> ribu</v>
      </c>
      <c r="K1605" s="440" t="str">
        <f aca="false">IF(K1603&gt;0,VLOOKUP(K1603,Q1588:S1596,3),"")</f>
        <v> Dua ratus</v>
      </c>
      <c r="L1605" s="440" t="str">
        <f aca="false">IF(L1603&gt;0,VLOOKUP(L1603,Q1588:R1686,2),"")</f>
        <v> Dua puluh dua</v>
      </c>
      <c r="M1605" s="440" t="str">
        <f aca="false">IF(N1603&gt;0,VLOOKUP(N1602,Q1587:U1686,5)," Rupiah ")</f>
        <v> Rupiah </v>
      </c>
      <c r="N1605" s="424"/>
      <c r="O1605" s="435" t="str">
        <f aca="false">IF(N1603&gt;0," ====","")</f>
        <v/>
      </c>
      <c r="P1605" s="435" t="str">
        <f aca="false">IF(N1603&gt;0,"-","====")</f>
        <v>====</v>
      </c>
      <c r="Q1605" s="435" t="n">
        <v>18</v>
      </c>
      <c r="R1605" s="434" t="s">
        <v>466</v>
      </c>
      <c r="S1605" s="424"/>
      <c r="T1605" s="434" t="s">
        <v>467</v>
      </c>
      <c r="U1605" s="434" t="s">
        <v>468</v>
      </c>
      <c r="V1605" s="436" t="n">
        <f aca="false">AY1605</f>
        <v>0</v>
      </c>
      <c r="W1605" s="424"/>
      <c r="X1605" s="429"/>
      <c r="AY1605" s="427"/>
      <c r="BC1605" s="428"/>
      <c r="BD1605" s="429"/>
      <c r="BG1605" s="427"/>
      <c r="BH1605" s="437"/>
      <c r="BJ1605" s="427"/>
      <c r="BK1605" s="437"/>
      <c r="BL1605" s="427"/>
      <c r="BM1605" s="429"/>
      <c r="BN1605" s="427"/>
      <c r="BO1605" s="428"/>
      <c r="BQ1605" s="429"/>
      <c r="BR1605" s="426"/>
      <c r="BS1605" s="426"/>
    </row>
    <row r="1606" customFormat="false" ht="15" hidden="false" customHeight="true" outlineLevel="0" collapsed="false">
      <c r="A1606" s="440"/>
      <c r="B1606" s="435" t="str">
        <f aca="false">B1605</f>
        <v/>
      </c>
      <c r="C1606" s="424"/>
      <c r="D1606" s="424"/>
      <c r="E1606" s="424"/>
      <c r="F1606" s="424"/>
      <c r="G1606" s="424"/>
      <c r="H1606" s="424"/>
      <c r="I1606" s="424"/>
      <c r="J1606" s="424"/>
      <c r="K1606" s="424"/>
      <c r="L1606" s="424"/>
      <c r="M1606" s="424"/>
      <c r="N1606" s="424"/>
      <c r="O1606" s="424"/>
      <c r="P1606" s="438" t="s">
        <v>417</v>
      </c>
      <c r="Q1606" s="435" t="n">
        <v>19</v>
      </c>
      <c r="R1606" s="434" t="s">
        <v>469</v>
      </c>
      <c r="S1606" s="424"/>
      <c r="T1606" s="434" t="s">
        <v>470</v>
      </c>
      <c r="U1606" s="434" t="s">
        <v>471</v>
      </c>
      <c r="V1606" s="436" t="n">
        <f aca="false">AY1611</f>
        <v>0</v>
      </c>
      <c r="W1606" s="424"/>
      <c r="BB1606" s="429"/>
      <c r="BC1606" s="428"/>
      <c r="BD1606" s="429"/>
      <c r="BG1606" s="427"/>
      <c r="BH1606" s="437"/>
      <c r="BJ1606" s="427"/>
      <c r="BK1606" s="431"/>
      <c r="BN1606" s="427"/>
      <c r="BO1606" s="428"/>
      <c r="BQ1606" s="429"/>
      <c r="BR1606" s="426"/>
      <c r="BS1606" s="426"/>
    </row>
    <row r="1607" customFormat="false" ht="15" hidden="false" customHeight="true" outlineLevel="0" collapsed="false">
      <c r="A1607" s="440"/>
      <c r="B1607" s="435" t="str">
        <f aca="false">C1605</f>
        <v/>
      </c>
      <c r="C1607" s="424"/>
      <c r="D1607" s="424"/>
      <c r="E1607" s="424"/>
      <c r="F1607" s="424"/>
      <c r="G1607" s="424"/>
      <c r="H1607" s="424"/>
      <c r="I1607" s="424"/>
      <c r="J1607" s="424"/>
      <c r="K1607" s="424"/>
      <c r="L1607" s="424"/>
      <c r="M1607" s="424"/>
      <c r="N1607" s="424"/>
      <c r="O1607" s="424"/>
      <c r="P1607" s="438" t="s">
        <v>417</v>
      </c>
      <c r="Q1607" s="435" t="n">
        <v>20</v>
      </c>
      <c r="R1607" s="434" t="s">
        <v>472</v>
      </c>
      <c r="S1607" s="424"/>
      <c r="T1607" s="434" t="s">
        <v>473</v>
      </c>
      <c r="U1607" s="434" t="s">
        <v>474</v>
      </c>
      <c r="V1607" s="436" t="n">
        <f aca="false">AY1612</f>
        <v>0</v>
      </c>
      <c r="W1607" s="424"/>
      <c r="AC1607" s="427"/>
      <c r="AD1607" s="427"/>
      <c r="AE1607" s="427"/>
      <c r="AH1607" s="427"/>
      <c r="AI1607" s="427"/>
      <c r="AK1607" s="427"/>
      <c r="AQ1607" s="427"/>
      <c r="AT1607" s="427"/>
      <c r="BC1607" s="428"/>
      <c r="BD1607" s="429"/>
      <c r="BG1607" s="427"/>
      <c r="BH1607" s="437"/>
      <c r="BJ1607" s="427"/>
      <c r="BK1607" s="437"/>
      <c r="BL1607" s="431"/>
      <c r="BN1607" s="427"/>
      <c r="BO1607" s="428"/>
      <c r="BQ1607" s="429"/>
      <c r="BR1607" s="426"/>
      <c r="BS1607" s="426"/>
    </row>
    <row r="1608" customFormat="false" ht="15" hidden="false" customHeight="true" outlineLevel="0" collapsed="false">
      <c r="A1608" s="440"/>
      <c r="B1608" s="435" t="str">
        <f aca="false">D1605</f>
        <v/>
      </c>
      <c r="C1608" s="424"/>
      <c r="D1608" s="424"/>
      <c r="E1608" s="424"/>
      <c r="F1608" s="424"/>
      <c r="G1608" s="424"/>
      <c r="H1608" s="424"/>
      <c r="I1608" s="424"/>
      <c r="J1608" s="424"/>
      <c r="K1608" s="424"/>
      <c r="L1608" s="424"/>
      <c r="M1608" s="424"/>
      <c r="N1608" s="424"/>
      <c r="O1608" s="424"/>
      <c r="P1608" s="438" t="s">
        <v>417</v>
      </c>
      <c r="Q1608" s="435" t="n">
        <v>21</v>
      </c>
      <c r="R1608" s="434" t="s">
        <v>475</v>
      </c>
      <c r="S1608" s="424"/>
      <c r="T1608" s="434" t="s">
        <v>476</v>
      </c>
      <c r="U1608" s="434" t="s">
        <v>477</v>
      </c>
      <c r="V1608" s="436" t="n">
        <f aca="false">AY1613</f>
        <v>0</v>
      </c>
      <c r="W1608" s="424"/>
      <c r="AQ1608" s="427"/>
      <c r="BC1608" s="428"/>
      <c r="BD1608" s="429"/>
      <c r="BG1608" s="427"/>
      <c r="BH1608" s="437"/>
      <c r="BJ1608" s="427"/>
      <c r="BK1608" s="437"/>
      <c r="BL1608" s="427"/>
      <c r="BM1608" s="429"/>
      <c r="BN1608" s="427"/>
      <c r="BO1608" s="428"/>
      <c r="BQ1608" s="429"/>
      <c r="BR1608" s="426"/>
      <c r="BS1608" s="426"/>
    </row>
    <row r="1609" customFormat="false" ht="15" hidden="false" customHeight="true" outlineLevel="0" collapsed="false">
      <c r="A1609" s="440"/>
      <c r="B1609" s="435" t="e">
        <f aca="false">E1605</f>
        <v>#N/A</v>
      </c>
      <c r="C1609" s="424"/>
      <c r="D1609" s="424"/>
      <c r="E1609" s="424"/>
      <c r="F1609" s="424"/>
      <c r="G1609" s="424"/>
      <c r="H1609" s="424"/>
      <c r="I1609" s="424"/>
      <c r="J1609" s="424"/>
      <c r="K1609" s="424"/>
      <c r="L1609" s="424"/>
      <c r="M1609" s="424"/>
      <c r="N1609" s="424"/>
      <c r="O1609" s="424"/>
      <c r="P1609" s="424"/>
      <c r="Q1609" s="435" t="n">
        <v>22</v>
      </c>
      <c r="R1609" s="434" t="s">
        <v>478</v>
      </c>
      <c r="S1609" s="424"/>
      <c r="T1609" s="434" t="s">
        <v>479</v>
      </c>
      <c r="U1609" s="434" t="s">
        <v>480</v>
      </c>
      <c r="V1609" s="436" t="n">
        <f aca="false">AY1614</f>
        <v>0</v>
      </c>
      <c r="W1609" s="424"/>
      <c r="AC1609" s="427"/>
      <c r="AH1609" s="427"/>
      <c r="BC1609" s="428"/>
      <c r="BG1609" s="427"/>
      <c r="BH1609" s="437"/>
      <c r="BJ1609" s="427"/>
      <c r="BK1609" s="437"/>
      <c r="BL1609" s="427"/>
      <c r="BM1609" s="429"/>
      <c r="BN1609" s="427"/>
      <c r="BO1609" s="428"/>
      <c r="BQ1609" s="429"/>
      <c r="BR1609" s="426"/>
      <c r="BS1609" s="426"/>
    </row>
    <row r="1610" customFormat="false" ht="15" hidden="false" customHeight="true" outlineLevel="0" collapsed="false">
      <c r="A1610" s="440"/>
      <c r="B1610" s="435" t="e">
        <f aca="false">F1605</f>
        <v>#VALUE!</v>
      </c>
      <c r="C1610" s="424"/>
      <c r="D1610" s="424"/>
      <c r="E1610" s="424"/>
      <c r="F1610" s="424"/>
      <c r="G1610" s="424"/>
      <c r="H1610" s="424"/>
      <c r="I1610" s="424"/>
      <c r="J1610" s="424"/>
      <c r="K1610" s="424"/>
      <c r="L1610" s="424"/>
      <c r="M1610" s="424"/>
      <c r="N1610" s="424"/>
      <c r="O1610" s="424"/>
      <c r="P1610" s="438" t="s">
        <v>417</v>
      </c>
      <c r="Q1610" s="435" t="n">
        <v>23</v>
      </c>
      <c r="R1610" s="434" t="s">
        <v>481</v>
      </c>
      <c r="S1610" s="424"/>
      <c r="T1610" s="434" t="s">
        <v>482</v>
      </c>
      <c r="U1610" s="434" t="s">
        <v>483</v>
      </c>
      <c r="V1610" s="436" t="n">
        <f aca="false">AY1615</f>
        <v>0</v>
      </c>
      <c r="W1610" s="424"/>
      <c r="BA1610" s="427"/>
      <c r="BB1610" s="429"/>
      <c r="BC1610" s="428"/>
      <c r="BG1610" s="427"/>
      <c r="BH1610" s="437"/>
      <c r="BJ1610" s="427"/>
      <c r="BK1610" s="437"/>
      <c r="BL1610" s="427"/>
      <c r="BM1610" s="429"/>
      <c r="BN1610" s="427"/>
      <c r="BO1610" s="428"/>
      <c r="BQ1610" s="429"/>
      <c r="BR1610" s="426"/>
      <c r="BS1610" s="426"/>
    </row>
    <row r="1611" customFormat="false" ht="15" hidden="false" customHeight="true" outlineLevel="0" collapsed="false">
      <c r="A1611" s="424"/>
      <c r="B1611" s="424"/>
      <c r="C1611" s="424"/>
      <c r="D1611" s="424"/>
      <c r="E1611" s="424"/>
      <c r="F1611" s="424"/>
      <c r="G1611" s="424"/>
      <c r="H1611" s="424"/>
      <c r="I1611" s="424"/>
      <c r="J1611" s="424"/>
      <c r="K1611" s="424"/>
      <c r="L1611" s="424"/>
      <c r="M1611" s="424"/>
      <c r="N1611" s="424"/>
      <c r="O1611" s="424"/>
      <c r="P1611" s="438" t="s">
        <v>417</v>
      </c>
      <c r="Q1611" s="435" t="n">
        <v>24</v>
      </c>
      <c r="R1611" s="434" t="s">
        <v>484</v>
      </c>
      <c r="S1611" s="424"/>
      <c r="T1611" s="434" t="s">
        <v>485</v>
      </c>
      <c r="U1611" s="434" t="s">
        <v>486</v>
      </c>
      <c r="V1611" s="436" t="n">
        <f aca="false">AY1616</f>
        <v>0</v>
      </c>
      <c r="W1611" s="424"/>
      <c r="X1611" s="429"/>
      <c r="Y1611" s="426"/>
      <c r="Z1611" s="429"/>
      <c r="AA1611" s="426"/>
      <c r="AB1611" s="426"/>
      <c r="AC1611" s="427"/>
      <c r="AD1611" s="427"/>
      <c r="AE1611" s="427"/>
      <c r="AF1611" s="427"/>
      <c r="AG1611" s="427"/>
      <c r="AH1611" s="427"/>
      <c r="AI1611" s="427"/>
      <c r="AJ1611" s="427"/>
      <c r="AK1611" s="427"/>
      <c r="AL1611" s="427"/>
      <c r="AM1611" s="427"/>
      <c r="AN1611" s="427"/>
      <c r="AO1611" s="428"/>
      <c r="AP1611" s="427"/>
      <c r="AQ1611" s="427"/>
      <c r="AR1611" s="427"/>
      <c r="AS1611" s="427"/>
      <c r="AT1611" s="427"/>
      <c r="AU1611" s="427"/>
      <c r="AV1611" s="427"/>
      <c r="AW1611" s="427"/>
      <c r="AX1611" s="433"/>
      <c r="AY1611" s="427"/>
      <c r="BN1611" s="427"/>
      <c r="BO1611" s="428"/>
      <c r="BQ1611" s="429"/>
      <c r="BR1611" s="426"/>
      <c r="BS1611" s="426"/>
    </row>
    <row r="1612" customFormat="false" ht="15" hidden="false" customHeight="true" outlineLevel="0" collapsed="false">
      <c r="A1612" s="424"/>
      <c r="B1612" s="424"/>
      <c r="C1612" s="424"/>
      <c r="D1612" s="424"/>
      <c r="E1612" s="424"/>
      <c r="F1612" s="424"/>
      <c r="G1612" s="424"/>
      <c r="H1612" s="424"/>
      <c r="I1612" s="424"/>
      <c r="J1612" s="424"/>
      <c r="K1612" s="424"/>
      <c r="L1612" s="424"/>
      <c r="M1612" s="424"/>
      <c r="N1612" s="424"/>
      <c r="O1612" s="424"/>
      <c r="P1612" s="438" t="s">
        <v>417</v>
      </c>
      <c r="Q1612" s="435" t="n">
        <v>25</v>
      </c>
      <c r="R1612" s="434" t="s">
        <v>487</v>
      </c>
      <c r="S1612" s="424"/>
      <c r="T1612" s="434" t="s">
        <v>488</v>
      </c>
      <c r="U1612" s="434" t="s">
        <v>489</v>
      </c>
      <c r="V1612" s="436" t="n">
        <f aca="false">AY1617</f>
        <v>0</v>
      </c>
      <c r="W1612" s="424"/>
      <c r="X1612" s="429"/>
      <c r="Y1612" s="426"/>
      <c r="Z1612" s="429"/>
      <c r="AA1612" s="426"/>
      <c r="AB1612" s="426"/>
      <c r="AC1612" s="427"/>
      <c r="AD1612" s="427"/>
      <c r="AE1612" s="427"/>
      <c r="AF1612" s="427"/>
      <c r="AG1612" s="427"/>
      <c r="AH1612" s="427"/>
      <c r="AI1612" s="427"/>
      <c r="AJ1612" s="427"/>
      <c r="AK1612" s="427"/>
      <c r="AL1612" s="427"/>
      <c r="AM1612" s="427"/>
      <c r="AN1612" s="427"/>
      <c r="AO1612" s="428"/>
      <c r="AP1612" s="427"/>
      <c r="AQ1612" s="427"/>
      <c r="AR1612" s="427"/>
      <c r="AS1612" s="427"/>
      <c r="AT1612" s="427"/>
      <c r="AU1612" s="427"/>
      <c r="AV1612" s="427"/>
      <c r="AW1612" s="427"/>
      <c r="AX1612" s="433"/>
      <c r="AY1612" s="427"/>
      <c r="BN1612" s="427"/>
      <c r="BP1612" s="428"/>
      <c r="BQ1612" s="429"/>
      <c r="BR1612" s="426"/>
      <c r="BS1612" s="426"/>
    </row>
    <row r="1613" customFormat="false" ht="15" hidden="false" customHeight="true" outlineLevel="0" collapsed="false">
      <c r="A1613" s="424"/>
      <c r="B1613" s="424"/>
      <c r="C1613" s="424"/>
      <c r="D1613" s="424"/>
      <c r="E1613" s="424"/>
      <c r="F1613" s="424"/>
      <c r="G1613" s="424"/>
      <c r="H1613" s="424"/>
      <c r="I1613" s="424"/>
      <c r="J1613" s="424"/>
      <c r="K1613" s="424"/>
      <c r="L1613" s="424"/>
      <c r="M1613" s="424"/>
      <c r="N1613" s="424"/>
      <c r="O1613" s="424"/>
      <c r="P1613" s="438" t="s">
        <v>417</v>
      </c>
      <c r="Q1613" s="435" t="n">
        <v>26</v>
      </c>
      <c r="R1613" s="434" t="s">
        <v>490</v>
      </c>
      <c r="S1613" s="424"/>
      <c r="T1613" s="434" t="s">
        <v>491</v>
      </c>
      <c r="U1613" s="434" t="s">
        <v>492</v>
      </c>
      <c r="V1613" s="436" t="n">
        <f aca="false">AY1618</f>
        <v>0</v>
      </c>
      <c r="W1613" s="424"/>
      <c r="X1613" s="429"/>
      <c r="Y1613" s="426"/>
      <c r="Z1613" s="429"/>
      <c r="AA1613" s="426"/>
      <c r="AB1613" s="426"/>
      <c r="AC1613" s="427"/>
      <c r="AD1613" s="427"/>
      <c r="AE1613" s="427"/>
      <c r="AF1613" s="427"/>
      <c r="AG1613" s="427"/>
      <c r="AH1613" s="427"/>
      <c r="AI1613" s="427"/>
      <c r="AJ1613" s="427"/>
      <c r="AK1613" s="427"/>
      <c r="AL1613" s="427"/>
      <c r="AM1613" s="427"/>
      <c r="AN1613" s="427"/>
      <c r="AO1613" s="428"/>
      <c r="AP1613" s="427"/>
      <c r="AQ1613" s="427"/>
      <c r="AR1613" s="427"/>
      <c r="AS1613" s="427"/>
      <c r="AT1613" s="427"/>
      <c r="AU1613" s="427"/>
      <c r="AV1613" s="427"/>
      <c r="AW1613" s="427"/>
      <c r="AX1613" s="433"/>
      <c r="AY1613" s="427"/>
      <c r="BN1613" s="427"/>
      <c r="BO1613" s="428"/>
      <c r="BP1613" s="428"/>
      <c r="BQ1613" s="429"/>
      <c r="BR1613" s="426"/>
      <c r="BS1613" s="426"/>
    </row>
    <row r="1614" customFormat="false" ht="15" hidden="false" customHeight="true" outlineLevel="0" collapsed="false">
      <c r="A1614" s="424"/>
      <c r="B1614" s="424"/>
      <c r="C1614" s="424"/>
      <c r="D1614" s="424"/>
      <c r="E1614" s="424"/>
      <c r="F1614" s="424"/>
      <c r="G1614" s="424"/>
      <c r="H1614" s="424"/>
      <c r="I1614" s="424"/>
      <c r="J1614" s="424"/>
      <c r="K1614" s="424"/>
      <c r="L1614" s="424"/>
      <c r="M1614" s="424"/>
      <c r="N1614" s="424"/>
      <c r="O1614" s="424"/>
      <c r="P1614" s="424"/>
      <c r="Q1614" s="435" t="n">
        <v>27</v>
      </c>
      <c r="R1614" s="434" t="s">
        <v>493</v>
      </c>
      <c r="S1614" s="424"/>
      <c r="T1614" s="434" t="s">
        <v>494</v>
      </c>
      <c r="U1614" s="434" t="s">
        <v>495</v>
      </c>
      <c r="V1614" s="436" t="n">
        <f aca="false">AY1619</f>
        <v>0</v>
      </c>
      <c r="W1614" s="424"/>
      <c r="X1614" s="429"/>
      <c r="Y1614" s="426"/>
      <c r="Z1614" s="429"/>
      <c r="AA1614" s="426"/>
      <c r="AB1614" s="426"/>
      <c r="AC1614" s="427"/>
      <c r="AD1614" s="427"/>
      <c r="AE1614" s="427"/>
      <c r="AF1614" s="427"/>
      <c r="AG1614" s="427"/>
      <c r="AH1614" s="427"/>
      <c r="AI1614" s="427"/>
      <c r="AJ1614" s="427"/>
      <c r="AK1614" s="427"/>
      <c r="AL1614" s="427"/>
      <c r="AM1614" s="427"/>
      <c r="AN1614" s="427"/>
      <c r="AO1614" s="428"/>
      <c r="AP1614" s="427"/>
      <c r="AQ1614" s="427"/>
      <c r="AR1614" s="427"/>
      <c r="AS1614" s="427"/>
      <c r="AT1614" s="427"/>
      <c r="AU1614" s="427"/>
      <c r="AV1614" s="427"/>
      <c r="AW1614" s="427"/>
      <c r="AX1614" s="433"/>
      <c r="AY1614" s="427"/>
      <c r="BN1614" s="427"/>
      <c r="BO1614" s="428"/>
      <c r="BP1614" s="428"/>
      <c r="BQ1614" s="429"/>
      <c r="BR1614" s="426"/>
      <c r="BS1614" s="426"/>
    </row>
    <row r="1615" customFormat="false" ht="15" hidden="false" customHeight="true" outlineLevel="0" collapsed="false">
      <c r="A1615" s="424"/>
      <c r="B1615" s="424"/>
      <c r="C1615" s="424"/>
      <c r="D1615" s="424"/>
      <c r="E1615" s="424"/>
      <c r="F1615" s="424"/>
      <c r="G1615" s="424"/>
      <c r="H1615" s="424"/>
      <c r="I1615" s="424"/>
      <c r="J1615" s="424"/>
      <c r="K1615" s="424"/>
      <c r="L1615" s="424"/>
      <c r="M1615" s="424"/>
      <c r="N1615" s="424"/>
      <c r="O1615" s="424"/>
      <c r="P1615" s="424"/>
      <c r="Q1615" s="435" t="n">
        <v>28</v>
      </c>
      <c r="R1615" s="434" t="s">
        <v>496</v>
      </c>
      <c r="S1615" s="424"/>
      <c r="T1615" s="434" t="s">
        <v>497</v>
      </c>
      <c r="U1615" s="434" t="s">
        <v>498</v>
      </c>
      <c r="V1615" s="436" t="n">
        <f aca="false">AY1620</f>
        <v>0</v>
      </c>
      <c r="W1615" s="424"/>
      <c r="X1615" s="429"/>
      <c r="Y1615" s="426"/>
      <c r="Z1615" s="429"/>
      <c r="AA1615" s="426"/>
      <c r="AB1615" s="426"/>
      <c r="AC1615" s="427"/>
      <c r="AD1615" s="427"/>
      <c r="AE1615" s="427"/>
      <c r="AF1615" s="427"/>
      <c r="AG1615" s="427"/>
      <c r="AH1615" s="427"/>
      <c r="AI1615" s="427"/>
      <c r="AJ1615" s="427"/>
      <c r="AK1615" s="427"/>
      <c r="AL1615" s="427"/>
      <c r="AM1615" s="427"/>
      <c r="AN1615" s="427"/>
      <c r="AO1615" s="428"/>
      <c r="AP1615" s="427"/>
      <c r="AQ1615" s="427"/>
      <c r="AR1615" s="427"/>
      <c r="AS1615" s="427"/>
      <c r="AT1615" s="427"/>
      <c r="AU1615" s="427"/>
      <c r="AV1615" s="427"/>
      <c r="AW1615" s="427"/>
      <c r="AX1615" s="433"/>
      <c r="AY1615" s="427"/>
      <c r="BN1615" s="427"/>
      <c r="BO1615" s="428"/>
      <c r="BP1615" s="428"/>
      <c r="BQ1615" s="429"/>
      <c r="BR1615" s="426"/>
      <c r="BS1615" s="426"/>
    </row>
    <row r="1616" customFormat="false" ht="15" hidden="false" customHeight="true" outlineLevel="0" collapsed="false">
      <c r="A1616" s="424"/>
      <c r="B1616" s="424"/>
      <c r="C1616" s="424"/>
      <c r="D1616" s="424"/>
      <c r="E1616" s="424"/>
      <c r="F1616" s="424"/>
      <c r="G1616" s="424"/>
      <c r="H1616" s="424"/>
      <c r="I1616" s="424"/>
      <c r="J1616" s="424"/>
      <c r="K1616" s="424"/>
      <c r="L1616" s="424"/>
      <c r="M1616" s="424"/>
      <c r="N1616" s="424"/>
      <c r="O1616" s="424"/>
      <c r="P1616" s="424"/>
      <c r="Q1616" s="435" t="n">
        <v>29</v>
      </c>
      <c r="R1616" s="434" t="s">
        <v>499</v>
      </c>
      <c r="S1616" s="424"/>
      <c r="T1616" s="434" t="s">
        <v>500</v>
      </c>
      <c r="U1616" s="434" t="s">
        <v>501</v>
      </c>
      <c r="V1616" s="436" t="n">
        <f aca="false">AY1621</f>
        <v>0</v>
      </c>
      <c r="W1616" s="424"/>
      <c r="X1616" s="429"/>
      <c r="Y1616" s="426"/>
      <c r="Z1616" s="429"/>
      <c r="AA1616" s="426"/>
      <c r="AB1616" s="426"/>
      <c r="AC1616" s="427"/>
      <c r="AD1616" s="427"/>
      <c r="AE1616" s="427"/>
      <c r="AF1616" s="427"/>
      <c r="AG1616" s="427"/>
      <c r="AH1616" s="427"/>
      <c r="AI1616" s="427"/>
      <c r="AJ1616" s="427"/>
      <c r="AK1616" s="427"/>
      <c r="AL1616" s="427"/>
      <c r="AM1616" s="427"/>
      <c r="AN1616" s="427"/>
      <c r="AO1616" s="428"/>
      <c r="AP1616" s="427"/>
      <c r="AQ1616" s="427"/>
      <c r="AR1616" s="427"/>
      <c r="AS1616" s="427"/>
      <c r="AT1616" s="427"/>
      <c r="AU1616" s="427"/>
      <c r="AV1616" s="427"/>
      <c r="AW1616" s="427"/>
      <c r="AX1616" s="433"/>
      <c r="AY1616" s="427"/>
      <c r="BN1616" s="427"/>
      <c r="BO1616" s="428"/>
      <c r="BP1616" s="428"/>
      <c r="BQ1616" s="429"/>
      <c r="BR1616" s="426"/>
      <c r="BS1616" s="426"/>
    </row>
    <row r="1617" customFormat="false" ht="15" hidden="false" customHeight="true" outlineLevel="0" collapsed="false">
      <c r="A1617" s="424"/>
      <c r="B1617" s="424"/>
      <c r="C1617" s="424"/>
      <c r="D1617" s="424"/>
      <c r="E1617" s="424"/>
      <c r="F1617" s="424"/>
      <c r="G1617" s="424"/>
      <c r="H1617" s="424"/>
      <c r="I1617" s="424"/>
      <c r="J1617" s="424"/>
      <c r="K1617" s="424"/>
      <c r="L1617" s="424"/>
      <c r="M1617" s="424"/>
      <c r="N1617" s="424"/>
      <c r="O1617" s="424"/>
      <c r="P1617" s="424"/>
      <c r="Q1617" s="435" t="n">
        <v>30</v>
      </c>
      <c r="R1617" s="434" t="s">
        <v>502</v>
      </c>
      <c r="S1617" s="424"/>
      <c r="T1617" s="434" t="s">
        <v>503</v>
      </c>
      <c r="U1617" s="434" t="s">
        <v>504</v>
      </c>
      <c r="V1617" s="436" t="n">
        <f aca="false">AY1622</f>
        <v>0</v>
      </c>
      <c r="W1617" s="424"/>
      <c r="X1617" s="429"/>
      <c r="Y1617" s="426"/>
      <c r="Z1617" s="429"/>
      <c r="AA1617" s="426"/>
      <c r="AB1617" s="426"/>
      <c r="AC1617" s="427"/>
      <c r="AD1617" s="427"/>
      <c r="AE1617" s="427"/>
      <c r="AF1617" s="427"/>
      <c r="AG1617" s="427"/>
      <c r="AH1617" s="427"/>
      <c r="AI1617" s="427"/>
      <c r="AJ1617" s="427"/>
      <c r="AK1617" s="427"/>
      <c r="AL1617" s="427"/>
      <c r="AM1617" s="427"/>
      <c r="AN1617" s="427"/>
      <c r="AO1617" s="428"/>
      <c r="AP1617" s="427"/>
      <c r="AQ1617" s="427"/>
      <c r="AR1617" s="427"/>
      <c r="AS1617" s="427"/>
      <c r="AT1617" s="427"/>
      <c r="AU1617" s="427"/>
      <c r="AV1617" s="427"/>
      <c r="AW1617" s="427"/>
      <c r="AX1617" s="433"/>
      <c r="AY1617" s="427"/>
      <c r="BN1617" s="427"/>
      <c r="BO1617" s="428"/>
      <c r="BP1617" s="428"/>
      <c r="BQ1617" s="429"/>
      <c r="BR1617" s="426"/>
      <c r="BS1617" s="426"/>
    </row>
    <row r="1618" customFormat="false" ht="15" hidden="false" customHeight="true" outlineLevel="0" collapsed="false">
      <c r="A1618" s="424"/>
      <c r="B1618" s="424"/>
      <c r="C1618" s="424"/>
      <c r="D1618" s="424"/>
      <c r="E1618" s="424"/>
      <c r="F1618" s="424"/>
      <c r="G1618" s="424"/>
      <c r="H1618" s="424"/>
      <c r="I1618" s="424"/>
      <c r="J1618" s="424"/>
      <c r="K1618" s="424"/>
      <c r="L1618" s="424"/>
      <c r="M1618" s="424"/>
      <c r="N1618" s="424"/>
      <c r="O1618" s="424"/>
      <c r="P1618" s="424"/>
      <c r="Q1618" s="435" t="n">
        <v>31</v>
      </c>
      <c r="R1618" s="434" t="s">
        <v>505</v>
      </c>
      <c r="S1618" s="424"/>
      <c r="T1618" s="434" t="s">
        <v>506</v>
      </c>
      <c r="U1618" s="434" t="s">
        <v>507</v>
      </c>
      <c r="V1618" s="436" t="n">
        <f aca="false">AY1623</f>
        <v>0</v>
      </c>
      <c r="W1618" s="424"/>
      <c r="X1618" s="429"/>
      <c r="Y1618" s="426"/>
      <c r="Z1618" s="429"/>
      <c r="AA1618" s="426"/>
      <c r="AB1618" s="426"/>
      <c r="AC1618" s="427"/>
      <c r="AD1618" s="427"/>
      <c r="AE1618" s="427"/>
      <c r="AF1618" s="427"/>
      <c r="AG1618" s="427"/>
      <c r="AH1618" s="427"/>
      <c r="AI1618" s="427"/>
      <c r="AJ1618" s="427"/>
      <c r="AK1618" s="427"/>
      <c r="AL1618" s="427"/>
      <c r="AM1618" s="427"/>
      <c r="AN1618" s="427"/>
      <c r="AO1618" s="428"/>
      <c r="AP1618" s="427"/>
      <c r="AQ1618" s="427"/>
      <c r="AR1618" s="427"/>
      <c r="AS1618" s="427"/>
      <c r="AT1618" s="427"/>
      <c r="AU1618" s="427"/>
      <c r="AV1618" s="427"/>
      <c r="AW1618" s="427"/>
      <c r="AX1618" s="433"/>
      <c r="AY1618" s="427"/>
      <c r="BN1618" s="427"/>
      <c r="BO1618" s="428"/>
      <c r="BP1618" s="428"/>
      <c r="BQ1618" s="429"/>
      <c r="BR1618" s="426"/>
      <c r="BS1618" s="426"/>
    </row>
    <row r="1619" customFormat="false" ht="15" hidden="false" customHeight="true" outlineLevel="0" collapsed="false">
      <c r="A1619" s="424"/>
      <c r="B1619" s="424"/>
      <c r="C1619" s="424"/>
      <c r="D1619" s="424"/>
      <c r="E1619" s="424"/>
      <c r="F1619" s="424"/>
      <c r="G1619" s="424"/>
      <c r="H1619" s="424"/>
      <c r="I1619" s="424"/>
      <c r="J1619" s="424"/>
      <c r="K1619" s="424"/>
      <c r="L1619" s="424"/>
      <c r="M1619" s="424"/>
      <c r="N1619" s="424"/>
      <c r="O1619" s="424"/>
      <c r="P1619" s="424"/>
      <c r="Q1619" s="435" t="n">
        <v>32</v>
      </c>
      <c r="R1619" s="434" t="s">
        <v>508</v>
      </c>
      <c r="S1619" s="424"/>
      <c r="T1619" s="434" t="s">
        <v>509</v>
      </c>
      <c r="U1619" s="434" t="s">
        <v>510</v>
      </c>
      <c r="V1619" s="436" t="n">
        <f aca="false">AY1624</f>
        <v>0</v>
      </c>
      <c r="W1619" s="424"/>
      <c r="X1619" s="429"/>
      <c r="Y1619" s="426"/>
      <c r="Z1619" s="429"/>
      <c r="AA1619" s="426"/>
      <c r="AB1619" s="426"/>
      <c r="AC1619" s="427"/>
      <c r="AD1619" s="427"/>
      <c r="AE1619" s="427"/>
      <c r="AF1619" s="427"/>
      <c r="AG1619" s="427"/>
      <c r="AH1619" s="427"/>
      <c r="AI1619" s="427"/>
      <c r="AJ1619" s="427"/>
      <c r="AK1619" s="427"/>
      <c r="AL1619" s="427"/>
      <c r="AM1619" s="427"/>
      <c r="AN1619" s="427"/>
      <c r="AO1619" s="428"/>
      <c r="AP1619" s="427"/>
      <c r="AQ1619" s="427"/>
      <c r="AR1619" s="427"/>
      <c r="AS1619" s="427"/>
      <c r="AT1619" s="427"/>
      <c r="AU1619" s="427"/>
      <c r="AV1619" s="427"/>
      <c r="AW1619" s="427"/>
      <c r="AX1619" s="433"/>
      <c r="AY1619" s="427"/>
      <c r="BN1619" s="427"/>
      <c r="BO1619" s="428"/>
      <c r="BP1619" s="428"/>
      <c r="BQ1619" s="429"/>
      <c r="BR1619" s="426"/>
      <c r="BS1619" s="426"/>
    </row>
    <row r="1620" customFormat="false" ht="15" hidden="false" customHeight="true" outlineLevel="0" collapsed="false">
      <c r="A1620" s="440"/>
      <c r="B1620" s="435" t="e">
        <f aca="false">G1605</f>
        <v>#VALUE!</v>
      </c>
      <c r="C1620" s="424"/>
      <c r="D1620" s="424"/>
      <c r="E1620" s="424"/>
      <c r="F1620" s="424"/>
      <c r="G1620" s="424"/>
      <c r="H1620" s="424"/>
      <c r="I1620" s="424"/>
      <c r="J1620" s="424"/>
      <c r="K1620" s="424"/>
      <c r="L1620" s="424"/>
      <c r="M1620" s="424"/>
      <c r="N1620" s="424"/>
      <c r="O1620" s="424"/>
      <c r="P1620" s="424"/>
      <c r="Q1620" s="435" t="n">
        <v>33</v>
      </c>
      <c r="R1620" s="434" t="s">
        <v>511</v>
      </c>
      <c r="S1620" s="424"/>
      <c r="T1620" s="434" t="s">
        <v>512</v>
      </c>
      <c r="U1620" s="434" t="s">
        <v>513</v>
      </c>
      <c r="V1620" s="436" t="n">
        <f aca="false">AY1625</f>
        <v>0</v>
      </c>
      <c r="W1620" s="424"/>
      <c r="X1620" s="429"/>
      <c r="Y1620" s="426"/>
      <c r="Z1620" s="429"/>
      <c r="AA1620" s="426"/>
      <c r="AB1620" s="426"/>
      <c r="AC1620" s="427"/>
      <c r="AD1620" s="427"/>
      <c r="AE1620" s="427"/>
      <c r="AF1620" s="427"/>
      <c r="AG1620" s="427"/>
      <c r="AH1620" s="427"/>
      <c r="AI1620" s="427"/>
      <c r="AJ1620" s="427"/>
      <c r="AK1620" s="427"/>
      <c r="AL1620" s="427"/>
      <c r="AM1620" s="427"/>
      <c r="AN1620" s="427"/>
      <c r="AO1620" s="428"/>
      <c r="AP1620" s="427"/>
      <c r="AQ1620" s="427"/>
      <c r="AR1620" s="427"/>
      <c r="AS1620" s="427"/>
      <c r="AT1620" s="427"/>
      <c r="AU1620" s="427"/>
      <c r="AV1620" s="427"/>
      <c r="AW1620" s="427"/>
      <c r="AX1620" s="433"/>
      <c r="AY1620" s="427"/>
      <c r="BB1620" s="429"/>
      <c r="BC1620" s="428"/>
      <c r="BG1620" s="427"/>
      <c r="BH1620" s="437"/>
      <c r="BJ1620" s="427"/>
      <c r="BK1620" s="437"/>
      <c r="BL1620" s="427"/>
      <c r="BM1620" s="429"/>
      <c r="BN1620" s="427"/>
      <c r="BO1620" s="428"/>
      <c r="BP1620" s="428"/>
      <c r="BQ1620" s="429"/>
      <c r="BR1620" s="426"/>
      <c r="BS1620" s="426"/>
    </row>
    <row r="1621" customFormat="false" ht="15" hidden="false" customHeight="true" outlineLevel="0" collapsed="false">
      <c r="A1621" s="440"/>
      <c r="B1621" s="435" t="str">
        <f aca="false">H1605</f>
        <v/>
      </c>
      <c r="C1621" s="424"/>
      <c r="D1621" s="424"/>
      <c r="E1621" s="424"/>
      <c r="F1621" s="424"/>
      <c r="G1621" s="424"/>
      <c r="H1621" s="424"/>
      <c r="I1621" s="424"/>
      <c r="J1621" s="424"/>
      <c r="K1621" s="424"/>
      <c r="L1621" s="424"/>
      <c r="M1621" s="424"/>
      <c r="N1621" s="424"/>
      <c r="O1621" s="424"/>
      <c r="P1621" s="424"/>
      <c r="Q1621" s="435" t="n">
        <v>34</v>
      </c>
      <c r="R1621" s="434" t="s">
        <v>514</v>
      </c>
      <c r="S1621" s="424"/>
      <c r="T1621" s="434" t="s">
        <v>515</v>
      </c>
      <c r="U1621" s="434" t="s">
        <v>516</v>
      </c>
      <c r="V1621" s="436" t="n">
        <f aca="false">AY1626</f>
        <v>0</v>
      </c>
      <c r="W1621" s="424"/>
      <c r="X1621" s="429"/>
      <c r="Y1621" s="426"/>
      <c r="Z1621" s="429"/>
      <c r="AA1621" s="426"/>
      <c r="AB1621" s="426"/>
      <c r="AC1621" s="427"/>
      <c r="AD1621" s="427"/>
      <c r="AE1621" s="427"/>
      <c r="AF1621" s="427"/>
      <c r="AG1621" s="427"/>
      <c r="AH1621" s="427"/>
      <c r="AI1621" s="427"/>
      <c r="AJ1621" s="427"/>
      <c r="AK1621" s="427"/>
      <c r="AL1621" s="427"/>
      <c r="AM1621" s="427"/>
      <c r="AN1621" s="427"/>
      <c r="AO1621" s="428"/>
      <c r="AP1621" s="427"/>
      <c r="AQ1621" s="427"/>
      <c r="AR1621" s="427"/>
      <c r="AS1621" s="427"/>
      <c r="AT1621" s="427"/>
      <c r="AU1621" s="427"/>
      <c r="AV1621" s="427"/>
      <c r="AW1621" s="427"/>
      <c r="AX1621" s="433"/>
      <c r="AY1621" s="427"/>
      <c r="BA1621" s="427"/>
      <c r="BB1621" s="427"/>
      <c r="BC1621" s="427"/>
      <c r="BD1621" s="427"/>
      <c r="BE1621" s="427"/>
      <c r="BG1621" s="427"/>
      <c r="BH1621" s="427"/>
      <c r="BJ1621" s="427"/>
      <c r="BK1621" s="427"/>
      <c r="BL1621" s="427"/>
      <c r="BN1621" s="427"/>
      <c r="BO1621" s="428"/>
      <c r="BP1621" s="428"/>
      <c r="BQ1621" s="429"/>
      <c r="BR1621" s="426"/>
      <c r="BS1621" s="426"/>
    </row>
    <row r="1622" customFormat="false" ht="15" hidden="false" customHeight="true" outlineLevel="0" collapsed="false">
      <c r="A1622" s="440"/>
      <c r="B1622" s="435" t="str">
        <f aca="false">I1605</f>
        <v> Se</v>
      </c>
      <c r="C1622" s="424"/>
      <c r="D1622" s="424"/>
      <c r="E1622" s="424"/>
      <c r="F1622" s="424"/>
      <c r="G1622" s="424"/>
      <c r="H1622" s="424"/>
      <c r="I1622" s="424"/>
      <c r="J1622" s="424"/>
      <c r="K1622" s="424"/>
      <c r="L1622" s="424"/>
      <c r="M1622" s="424"/>
      <c r="N1622" s="424"/>
      <c r="O1622" s="424"/>
      <c r="P1622" s="424"/>
      <c r="Q1622" s="435" t="n">
        <v>35</v>
      </c>
      <c r="R1622" s="434" t="s">
        <v>517</v>
      </c>
      <c r="S1622" s="424"/>
      <c r="T1622" s="434" t="s">
        <v>518</v>
      </c>
      <c r="U1622" s="434" t="s">
        <v>519</v>
      </c>
      <c r="V1622" s="436" t="n">
        <f aca="false">AY1627</f>
        <v>0</v>
      </c>
      <c r="W1622" s="424"/>
      <c r="X1622" s="429"/>
      <c r="Y1622" s="426"/>
      <c r="Z1622" s="429"/>
      <c r="AA1622" s="426"/>
      <c r="AB1622" s="426"/>
      <c r="AC1622" s="427"/>
      <c r="AD1622" s="427"/>
      <c r="AE1622" s="427"/>
      <c r="AF1622" s="427"/>
      <c r="AG1622" s="427"/>
      <c r="AH1622" s="427"/>
      <c r="AI1622" s="427"/>
      <c r="AJ1622" s="427"/>
      <c r="AK1622" s="427"/>
      <c r="AL1622" s="427"/>
      <c r="AM1622" s="427"/>
      <c r="AN1622" s="427"/>
      <c r="AO1622" s="428"/>
      <c r="AP1622" s="427"/>
      <c r="AQ1622" s="427"/>
      <c r="AR1622" s="427"/>
      <c r="AS1622" s="427"/>
      <c r="AT1622" s="427"/>
      <c r="AU1622" s="427"/>
      <c r="AV1622" s="427"/>
      <c r="AW1622" s="427"/>
      <c r="AX1622" s="433"/>
      <c r="AY1622" s="427"/>
      <c r="BC1622" s="428"/>
      <c r="BG1622" s="427"/>
      <c r="BH1622" s="437"/>
      <c r="BJ1622" s="427"/>
      <c r="BK1622" s="427"/>
      <c r="BL1622" s="427"/>
      <c r="BM1622" s="429"/>
      <c r="BN1622" s="427"/>
      <c r="BO1622" s="428"/>
      <c r="BP1622" s="428"/>
      <c r="BQ1622" s="429"/>
      <c r="BR1622" s="429"/>
      <c r="BS1622" s="426"/>
    </row>
    <row r="1623" customFormat="false" ht="13.5" hidden="false" customHeight="false" outlineLevel="0" collapsed="false">
      <c r="A1623" s="440"/>
      <c r="B1623" s="435" t="str">
        <f aca="false">J1605</f>
        <v> ribu</v>
      </c>
      <c r="C1623" s="424"/>
      <c r="D1623" s="424"/>
      <c r="E1623" s="424"/>
      <c r="F1623" s="424"/>
      <c r="G1623" s="424"/>
      <c r="H1623" s="424"/>
      <c r="I1623" s="424"/>
      <c r="J1623" s="424"/>
      <c r="K1623" s="424"/>
      <c r="L1623" s="424"/>
      <c r="M1623" s="424"/>
      <c r="N1623" s="424"/>
      <c r="O1623" s="424"/>
      <c r="P1623" s="424"/>
      <c r="Q1623" s="435" t="n">
        <v>36</v>
      </c>
      <c r="R1623" s="434" t="s">
        <v>520</v>
      </c>
      <c r="S1623" s="424"/>
      <c r="T1623" s="434" t="s">
        <v>521</v>
      </c>
      <c r="U1623" s="434" t="s">
        <v>522</v>
      </c>
      <c r="V1623" s="436" t="n">
        <f aca="false">AY1628</f>
        <v>0</v>
      </c>
      <c r="W1623" s="424"/>
      <c r="X1623" s="429"/>
      <c r="Y1623" s="426"/>
      <c r="Z1623" s="429"/>
      <c r="AA1623" s="426"/>
      <c r="AB1623" s="426"/>
      <c r="AC1623" s="427"/>
      <c r="AD1623" s="427"/>
      <c r="AE1623" s="427"/>
      <c r="AF1623" s="427"/>
      <c r="AG1623" s="427"/>
      <c r="AH1623" s="427"/>
      <c r="AI1623" s="427"/>
      <c r="AJ1623" s="427"/>
      <c r="AK1623" s="427"/>
      <c r="AL1623" s="427"/>
      <c r="AM1623" s="427"/>
      <c r="AN1623" s="427"/>
      <c r="AO1623" s="428"/>
      <c r="AP1623" s="427"/>
      <c r="AQ1623" s="427"/>
      <c r="AR1623" s="427"/>
      <c r="AS1623" s="427"/>
      <c r="AT1623" s="427"/>
      <c r="AU1623" s="427"/>
      <c r="AV1623" s="427"/>
      <c r="AW1623" s="427"/>
      <c r="AX1623" s="433"/>
      <c r="AY1623" s="427"/>
      <c r="BC1623" s="428"/>
      <c r="BG1623" s="427"/>
      <c r="BH1623" s="437"/>
      <c r="BJ1623" s="427"/>
      <c r="BK1623" s="427"/>
      <c r="BL1623" s="427"/>
      <c r="BM1623" s="429"/>
      <c r="BN1623" s="427"/>
      <c r="BO1623" s="428"/>
      <c r="BP1623" s="428"/>
      <c r="BQ1623" s="429"/>
      <c r="BR1623" s="429"/>
      <c r="BS1623" s="426"/>
    </row>
    <row r="1624" customFormat="false" ht="13.5" hidden="false" customHeight="false" outlineLevel="0" collapsed="false">
      <c r="A1624" s="440"/>
      <c r="B1624" s="440" t="str">
        <f aca="false">K1605</f>
        <v> Dua ratus</v>
      </c>
      <c r="C1624" s="424"/>
      <c r="D1624" s="424"/>
      <c r="E1624" s="424"/>
      <c r="F1624" s="424"/>
      <c r="G1624" s="424"/>
      <c r="H1624" s="424"/>
      <c r="I1624" s="424"/>
      <c r="J1624" s="424"/>
      <c r="K1624" s="424"/>
      <c r="L1624" s="424"/>
      <c r="M1624" s="424"/>
      <c r="N1624" s="424"/>
      <c r="O1624" s="424"/>
      <c r="P1624" s="424"/>
      <c r="Q1624" s="435" t="n">
        <v>37</v>
      </c>
      <c r="R1624" s="434" t="s">
        <v>523</v>
      </c>
      <c r="S1624" s="424"/>
      <c r="T1624" s="434" t="s">
        <v>524</v>
      </c>
      <c r="U1624" s="434" t="s">
        <v>525</v>
      </c>
      <c r="V1624" s="436" t="n">
        <f aca="false">AY1629</f>
        <v>0</v>
      </c>
      <c r="W1624" s="424"/>
      <c r="X1624" s="429"/>
      <c r="Y1624" s="426"/>
      <c r="Z1624" s="429"/>
      <c r="AA1624" s="426"/>
      <c r="AB1624" s="426"/>
      <c r="AC1624" s="427"/>
      <c r="AD1624" s="427"/>
      <c r="AE1624" s="427"/>
      <c r="AF1624" s="427"/>
      <c r="AG1624" s="427"/>
      <c r="AH1624" s="427"/>
      <c r="AI1624" s="427"/>
      <c r="AJ1624" s="427"/>
      <c r="AK1624" s="427"/>
      <c r="AL1624" s="427"/>
      <c r="AM1624" s="427"/>
      <c r="AN1624" s="427"/>
      <c r="AO1624" s="428"/>
      <c r="AP1624" s="427"/>
      <c r="AQ1624" s="427"/>
      <c r="AR1624" s="427"/>
      <c r="AS1624" s="427"/>
      <c r="AT1624" s="427"/>
      <c r="AU1624" s="427"/>
      <c r="AV1624" s="427"/>
      <c r="AW1624" s="427"/>
      <c r="AX1624" s="433"/>
      <c r="AY1624" s="427"/>
      <c r="BC1624" s="428"/>
      <c r="BG1624" s="427"/>
      <c r="BH1624" s="437"/>
      <c r="BJ1624" s="427"/>
      <c r="BK1624" s="427"/>
      <c r="BL1624" s="427"/>
      <c r="BM1624" s="429"/>
      <c r="BN1624" s="427"/>
      <c r="BO1624" s="428"/>
      <c r="BP1624" s="428"/>
      <c r="BQ1624" s="429"/>
      <c r="BR1624" s="429"/>
      <c r="BS1624" s="426"/>
    </row>
    <row r="1625" customFormat="false" ht="13.5" hidden="false" customHeight="false" outlineLevel="0" collapsed="false">
      <c r="A1625" s="440"/>
      <c r="B1625" s="435" t="str">
        <f aca="false">L1605</f>
        <v> Dua puluh dua</v>
      </c>
      <c r="C1625" s="424"/>
      <c r="D1625" s="424"/>
      <c r="E1625" s="424"/>
      <c r="F1625" s="424"/>
      <c r="G1625" s="424"/>
      <c r="H1625" s="424"/>
      <c r="I1625" s="424"/>
      <c r="J1625" s="424"/>
      <c r="K1625" s="424"/>
      <c r="L1625" s="424"/>
      <c r="M1625" s="424"/>
      <c r="N1625" s="424"/>
      <c r="O1625" s="424"/>
      <c r="P1625" s="424"/>
      <c r="Q1625" s="435" t="n">
        <v>38</v>
      </c>
      <c r="R1625" s="434" t="s">
        <v>526</v>
      </c>
      <c r="S1625" s="424"/>
      <c r="T1625" s="434" t="s">
        <v>527</v>
      </c>
      <c r="U1625" s="434" t="s">
        <v>528</v>
      </c>
      <c r="V1625" s="436" t="n">
        <f aca="false">AY1630</f>
        <v>0</v>
      </c>
      <c r="W1625" s="424"/>
      <c r="X1625" s="429"/>
      <c r="Y1625" s="426"/>
      <c r="Z1625" s="429"/>
      <c r="AA1625" s="426"/>
      <c r="AB1625" s="426"/>
      <c r="AC1625" s="427"/>
      <c r="AD1625" s="427"/>
      <c r="AE1625" s="427"/>
      <c r="AF1625" s="427"/>
      <c r="AG1625" s="427"/>
      <c r="AH1625" s="427"/>
      <c r="AI1625" s="427"/>
      <c r="AJ1625" s="427"/>
      <c r="AK1625" s="427"/>
      <c r="AL1625" s="427"/>
      <c r="AM1625" s="427"/>
      <c r="AN1625" s="427"/>
      <c r="AO1625" s="428"/>
      <c r="AP1625" s="427"/>
      <c r="AQ1625" s="427"/>
      <c r="AR1625" s="427"/>
      <c r="AS1625" s="427"/>
      <c r="AT1625" s="427"/>
      <c r="AU1625" s="427"/>
      <c r="AV1625" s="427"/>
      <c r="AW1625" s="427"/>
      <c r="AX1625" s="433"/>
      <c r="AY1625" s="427"/>
      <c r="BB1625" s="429"/>
      <c r="BC1625" s="428"/>
      <c r="BG1625" s="427"/>
      <c r="BH1625" s="437"/>
      <c r="BJ1625" s="427"/>
      <c r="BK1625" s="427"/>
      <c r="BL1625" s="427"/>
      <c r="BM1625" s="429"/>
      <c r="BN1625" s="427"/>
      <c r="BO1625" s="428"/>
      <c r="BP1625" s="429"/>
      <c r="BQ1625" s="429"/>
      <c r="BR1625" s="429"/>
      <c r="BS1625" s="426"/>
    </row>
    <row r="1626" customFormat="false" ht="13.5" hidden="false" customHeight="false" outlineLevel="0" collapsed="false">
      <c r="A1626" s="440"/>
      <c r="B1626" s="435" t="str">
        <f aca="false">M1605</f>
        <v> Rupiah </v>
      </c>
      <c r="C1626" s="424"/>
      <c r="D1626" s="424"/>
      <c r="E1626" s="424"/>
      <c r="F1626" s="424"/>
      <c r="G1626" s="424"/>
      <c r="H1626" s="424"/>
      <c r="I1626" s="424"/>
      <c r="J1626" s="424"/>
      <c r="K1626" s="424"/>
      <c r="L1626" s="424"/>
      <c r="M1626" s="424"/>
      <c r="N1626" s="424"/>
      <c r="O1626" s="424"/>
      <c r="P1626" s="424"/>
      <c r="Q1626" s="435" t="n">
        <v>39</v>
      </c>
      <c r="R1626" s="434" t="s">
        <v>529</v>
      </c>
      <c r="S1626" s="424"/>
      <c r="T1626" s="434" t="s">
        <v>530</v>
      </c>
      <c r="U1626" s="434" t="s">
        <v>531</v>
      </c>
      <c r="V1626" s="436" t="n">
        <f aca="false">AY1631</f>
        <v>0</v>
      </c>
      <c r="W1626" s="424"/>
      <c r="X1626" s="429"/>
      <c r="Y1626" s="426"/>
      <c r="Z1626" s="429"/>
      <c r="AA1626" s="426"/>
      <c r="AB1626" s="426"/>
      <c r="AC1626" s="427"/>
      <c r="AD1626" s="427"/>
      <c r="AE1626" s="427"/>
      <c r="AF1626" s="427"/>
      <c r="AG1626" s="427"/>
      <c r="AH1626" s="427"/>
      <c r="AI1626" s="427"/>
      <c r="AJ1626" s="427"/>
      <c r="AK1626" s="427"/>
      <c r="AL1626" s="427"/>
      <c r="AM1626" s="427"/>
      <c r="AN1626" s="427"/>
      <c r="AO1626" s="428"/>
      <c r="AP1626" s="427"/>
      <c r="AQ1626" s="427"/>
      <c r="AR1626" s="427"/>
      <c r="AS1626" s="427"/>
      <c r="AT1626" s="427"/>
      <c r="AU1626" s="427"/>
      <c r="AV1626" s="427"/>
      <c r="AW1626" s="427"/>
      <c r="AX1626" s="433"/>
      <c r="AY1626" s="427"/>
      <c r="BC1626" s="428"/>
      <c r="BG1626" s="427"/>
      <c r="BH1626" s="437"/>
      <c r="BJ1626" s="427"/>
      <c r="BK1626" s="427"/>
      <c r="BL1626" s="427"/>
      <c r="BM1626" s="429"/>
      <c r="BN1626" s="427"/>
      <c r="BO1626" s="428"/>
      <c r="BP1626" s="428"/>
      <c r="BQ1626" s="429"/>
      <c r="BR1626" s="429"/>
      <c r="BS1626" s="426"/>
    </row>
    <row r="1627" customFormat="false" ht="13.5" hidden="false" customHeight="false" outlineLevel="0" collapsed="false">
      <c r="A1627" s="436" t="e">
        <f aca="false">+#REF!</f>
        <v>#REF!</v>
      </c>
      <c r="B1627" s="435" t="str">
        <f aca="false">O1605</f>
        <v/>
      </c>
      <c r="C1627" s="424"/>
      <c r="D1627" s="424"/>
      <c r="E1627" s="424"/>
      <c r="F1627" s="424"/>
      <c r="G1627" s="424"/>
      <c r="H1627" s="424"/>
      <c r="I1627" s="424"/>
      <c r="J1627" s="424"/>
      <c r="K1627" s="424"/>
      <c r="L1627" s="424"/>
      <c r="M1627" s="424"/>
      <c r="N1627" s="424"/>
      <c r="O1627" s="424"/>
      <c r="P1627" s="424"/>
      <c r="Q1627" s="435" t="n">
        <v>40</v>
      </c>
      <c r="R1627" s="434" t="s">
        <v>532</v>
      </c>
      <c r="S1627" s="424"/>
      <c r="T1627" s="434" t="s">
        <v>533</v>
      </c>
      <c r="U1627" s="434" t="s">
        <v>534</v>
      </c>
      <c r="V1627" s="436" t="n">
        <f aca="false">AY1632</f>
        <v>0</v>
      </c>
      <c r="W1627" s="424"/>
      <c r="X1627" s="429"/>
      <c r="Z1627" s="426"/>
      <c r="AA1627" s="426"/>
      <c r="AB1627" s="426"/>
      <c r="AC1627" s="427"/>
      <c r="AD1627" s="427"/>
      <c r="AE1627" s="427"/>
      <c r="AF1627" s="427"/>
      <c r="AG1627" s="427"/>
      <c r="AH1627" s="427"/>
      <c r="AI1627" s="427"/>
      <c r="AJ1627" s="427"/>
      <c r="AK1627" s="427"/>
      <c r="AL1627" s="427"/>
      <c r="AM1627" s="427"/>
      <c r="AN1627" s="427"/>
      <c r="AO1627" s="428"/>
      <c r="AP1627" s="427"/>
      <c r="AQ1627" s="427"/>
      <c r="AR1627" s="427"/>
      <c r="AS1627" s="427"/>
      <c r="AT1627" s="427"/>
      <c r="AU1627" s="427"/>
      <c r="AV1627" s="427"/>
      <c r="AW1627" s="427"/>
      <c r="AX1627" s="427"/>
      <c r="AY1627" s="427"/>
      <c r="BC1627" s="428"/>
      <c r="BG1627" s="427"/>
      <c r="BH1627" s="437"/>
      <c r="BJ1627" s="427"/>
      <c r="BK1627" s="427"/>
      <c r="BL1627" s="427"/>
      <c r="BM1627" s="429"/>
      <c r="BN1627" s="427"/>
      <c r="BO1627" s="428"/>
      <c r="BP1627" s="428"/>
      <c r="BQ1627" s="429"/>
      <c r="BR1627" s="429"/>
      <c r="BS1627" s="426"/>
    </row>
    <row r="1628" customFormat="false" ht="13.5" hidden="false" customHeight="false" outlineLevel="0" collapsed="false">
      <c r="A1628" s="440"/>
      <c r="B1628" s="435" t="str">
        <f aca="false">IF(N1603&gt;0,"-","====")</f>
        <v>====</v>
      </c>
      <c r="C1628" s="424"/>
      <c r="D1628" s="424"/>
      <c r="E1628" s="424"/>
      <c r="F1628" s="424"/>
      <c r="G1628" s="424"/>
      <c r="H1628" s="424"/>
      <c r="I1628" s="424"/>
      <c r="J1628" s="424"/>
      <c r="K1628" s="424"/>
      <c r="L1628" s="424"/>
      <c r="M1628" s="424"/>
      <c r="N1628" s="424"/>
      <c r="O1628" s="424"/>
      <c r="P1628" s="424"/>
      <c r="Q1628" s="435" t="n">
        <v>41</v>
      </c>
      <c r="R1628" s="434" t="s">
        <v>535</v>
      </c>
      <c r="S1628" s="424"/>
      <c r="T1628" s="434" t="s">
        <v>536</v>
      </c>
      <c r="U1628" s="434" t="s">
        <v>537</v>
      </c>
      <c r="V1628" s="436" t="n">
        <f aca="false">AY1633</f>
        <v>0</v>
      </c>
      <c r="W1628" s="424"/>
      <c r="AB1628" s="427"/>
      <c r="AC1628" s="427"/>
      <c r="AE1628" s="427"/>
      <c r="AG1628" s="427"/>
      <c r="AO1628" s="428"/>
      <c r="AP1628" s="427"/>
      <c r="AR1628" s="427"/>
      <c r="AY1628" s="427"/>
      <c r="BB1628" s="429"/>
      <c r="BC1628" s="428"/>
      <c r="BG1628" s="427"/>
      <c r="BH1628" s="437"/>
      <c r="BJ1628" s="427"/>
      <c r="BK1628" s="427"/>
      <c r="BL1628" s="427"/>
      <c r="BM1628" s="429"/>
      <c r="BN1628" s="427"/>
      <c r="BO1628" s="428"/>
      <c r="BP1628" s="428"/>
      <c r="BQ1628" s="429"/>
      <c r="BR1628" s="429"/>
      <c r="BS1628" s="426"/>
    </row>
    <row r="1629" customFormat="false" ht="13.5" hidden="false" customHeight="false" outlineLevel="0" collapsed="false">
      <c r="A1629" s="435" t="e">
        <f aca="false">B1605&amp;C1605&amp;D1605&amp;E1605&amp;F1605&amp;G1605&amp;H1605&amp;I1605&amp;J1605&amp;K1605&amp;L1605&amp;M1605&amp;O1605</f>
        <v>#N/A</v>
      </c>
      <c r="B1629" s="424"/>
      <c r="C1629" s="424"/>
      <c r="D1629" s="424"/>
      <c r="E1629" s="424"/>
      <c r="F1629" s="424"/>
      <c r="G1629" s="424"/>
      <c r="H1629" s="424"/>
      <c r="I1629" s="424"/>
      <c r="J1629" s="424"/>
      <c r="K1629" s="424"/>
      <c r="L1629" s="424"/>
      <c r="M1629" s="424"/>
      <c r="N1629" s="424"/>
      <c r="O1629" s="424"/>
      <c r="P1629" s="424"/>
      <c r="Q1629" s="435" t="n">
        <v>42</v>
      </c>
      <c r="R1629" s="434" t="s">
        <v>538</v>
      </c>
      <c r="S1629" s="424"/>
      <c r="T1629" s="434" t="s">
        <v>539</v>
      </c>
      <c r="U1629" s="434" t="s">
        <v>540</v>
      </c>
      <c r="V1629" s="436" t="n">
        <f aca="false">AY1634</f>
        <v>0</v>
      </c>
      <c r="W1629" s="424"/>
      <c r="AC1629" s="427"/>
      <c r="AE1629" s="427"/>
      <c r="AG1629" s="427"/>
      <c r="AO1629" s="428"/>
      <c r="AY1629" s="427"/>
      <c r="BB1629" s="429"/>
      <c r="BC1629" s="428"/>
      <c r="BG1629" s="427"/>
      <c r="BH1629" s="437"/>
      <c r="BJ1629" s="427"/>
      <c r="BK1629" s="427"/>
      <c r="BL1629" s="427"/>
      <c r="BM1629" s="429"/>
      <c r="BN1629" s="427"/>
      <c r="BO1629" s="428"/>
      <c r="BQ1629" s="429"/>
      <c r="BR1629" s="429"/>
      <c r="BS1629" s="426"/>
    </row>
    <row r="1630" customFormat="false" ht="13.5" hidden="false" customHeight="false" outlineLevel="0" collapsed="false">
      <c r="A1630" s="440" t="str">
        <f aca="false">I1605&amp;J1605&amp;K1605&amp;L1605&amp;M1605&amp;O1605</f>
        <v> Se ribu Dua ratus Dua puluh dua Rupiah </v>
      </c>
      <c r="B1630" s="424"/>
      <c r="C1630" s="424"/>
      <c r="D1630" s="424"/>
      <c r="E1630" s="424"/>
      <c r="F1630" s="424"/>
      <c r="G1630" s="424"/>
      <c r="H1630" s="424"/>
      <c r="I1630" s="424"/>
      <c r="J1630" s="424"/>
      <c r="K1630" s="424"/>
      <c r="L1630" s="424"/>
      <c r="M1630" s="424"/>
      <c r="N1630" s="424"/>
      <c r="O1630" s="424"/>
      <c r="P1630" s="424"/>
      <c r="Q1630" s="435" t="n">
        <v>43</v>
      </c>
      <c r="R1630" s="434" t="s">
        <v>541</v>
      </c>
      <c r="S1630" s="424"/>
      <c r="T1630" s="434" t="s">
        <v>542</v>
      </c>
      <c r="U1630" s="434" t="s">
        <v>543</v>
      </c>
      <c r="V1630" s="436" t="n">
        <f aca="false">AY1635</f>
        <v>0</v>
      </c>
      <c r="W1630" s="424"/>
      <c r="AB1630" s="427"/>
      <c r="AO1630" s="428"/>
      <c r="AY1630" s="427"/>
      <c r="BC1630" s="428"/>
      <c r="BG1630" s="427"/>
      <c r="BH1630" s="437"/>
      <c r="BJ1630" s="427"/>
      <c r="BK1630" s="427"/>
      <c r="BL1630" s="427"/>
      <c r="BM1630" s="429"/>
      <c r="BN1630" s="427"/>
      <c r="BO1630" s="428"/>
      <c r="BP1630" s="428"/>
      <c r="BQ1630" s="429"/>
      <c r="BR1630" s="429"/>
      <c r="BS1630" s="426"/>
    </row>
    <row r="1631" customFormat="false" ht="13.5" hidden="false" customHeight="false" outlineLevel="0" collapsed="false">
      <c r="A1631" s="440"/>
      <c r="B1631" s="424"/>
      <c r="C1631" s="424"/>
      <c r="D1631" s="424"/>
      <c r="E1631" s="424"/>
      <c r="F1631" s="424"/>
      <c r="G1631" s="424"/>
      <c r="H1631" s="424"/>
      <c r="I1631" s="424"/>
      <c r="J1631" s="424"/>
      <c r="K1631" s="424"/>
      <c r="L1631" s="424"/>
      <c r="M1631" s="424"/>
      <c r="N1631" s="424"/>
      <c r="O1631" s="424"/>
      <c r="P1631" s="424"/>
      <c r="Q1631" s="435" t="n">
        <v>44</v>
      </c>
      <c r="R1631" s="434" t="s">
        <v>544</v>
      </c>
      <c r="S1631" s="424"/>
      <c r="T1631" s="434" t="s">
        <v>545</v>
      </c>
      <c r="U1631" s="434" t="s">
        <v>546</v>
      </c>
      <c r="V1631" s="436" t="n">
        <f aca="false">AY1636</f>
        <v>0</v>
      </c>
      <c r="W1631" s="424"/>
      <c r="AO1631" s="428"/>
      <c r="AY1631" s="427"/>
      <c r="BB1631" s="427"/>
      <c r="BC1631" s="428"/>
      <c r="BG1631" s="427"/>
      <c r="BH1631" s="437"/>
      <c r="BJ1631" s="427"/>
      <c r="BK1631" s="427"/>
      <c r="BL1631" s="427"/>
      <c r="BM1631" s="429"/>
      <c r="BN1631" s="427"/>
      <c r="BO1631" s="428"/>
      <c r="BP1631" s="428"/>
      <c r="BQ1631" s="429"/>
      <c r="BR1631" s="426"/>
      <c r="BS1631" s="426"/>
    </row>
    <row r="1632" customFormat="false" ht="13.5" hidden="false" customHeight="false" outlineLevel="0" collapsed="false">
      <c r="A1632" s="440"/>
      <c r="B1632" s="424"/>
      <c r="C1632" s="424"/>
      <c r="D1632" s="424"/>
      <c r="E1632" s="424"/>
      <c r="F1632" s="424"/>
      <c r="G1632" s="424"/>
      <c r="H1632" s="424"/>
      <c r="I1632" s="424"/>
      <c r="J1632" s="424"/>
      <c r="K1632" s="424"/>
      <c r="L1632" s="424"/>
      <c r="M1632" s="424"/>
      <c r="N1632" s="424"/>
      <c r="O1632" s="424"/>
      <c r="P1632" s="424"/>
      <c r="Q1632" s="435" t="n">
        <v>45</v>
      </c>
      <c r="R1632" s="434" t="s">
        <v>547</v>
      </c>
      <c r="S1632" s="424"/>
      <c r="T1632" s="434" t="s">
        <v>548</v>
      </c>
      <c r="U1632" s="434" t="s">
        <v>549</v>
      </c>
      <c r="V1632" s="436" t="n">
        <f aca="false">AY1637</f>
        <v>0</v>
      </c>
      <c r="W1632" s="424"/>
      <c r="X1632" s="429"/>
      <c r="Y1632" s="426"/>
      <c r="Z1632" s="429"/>
      <c r="AA1632" s="426"/>
      <c r="AB1632" s="426"/>
      <c r="AC1632" s="427"/>
      <c r="AD1632" s="427"/>
      <c r="AE1632" s="427"/>
      <c r="AF1632" s="427"/>
      <c r="AG1632" s="427"/>
      <c r="AH1632" s="427"/>
      <c r="AI1632" s="427"/>
      <c r="AJ1632" s="427"/>
      <c r="AK1632" s="427"/>
      <c r="AL1632" s="427"/>
      <c r="AM1632" s="427"/>
      <c r="AN1632" s="427"/>
      <c r="AO1632" s="428"/>
      <c r="AP1632" s="427"/>
      <c r="AQ1632" s="427"/>
      <c r="AR1632" s="427"/>
      <c r="AS1632" s="427"/>
      <c r="AT1632" s="427"/>
      <c r="AU1632" s="427"/>
      <c r="AV1632" s="427"/>
      <c r="AW1632" s="427"/>
      <c r="AX1632" s="427"/>
      <c r="AY1632" s="427"/>
      <c r="BB1632" s="427"/>
      <c r="BC1632" s="428"/>
      <c r="BG1632" s="427"/>
      <c r="BH1632" s="437"/>
      <c r="BJ1632" s="427"/>
      <c r="BK1632" s="427"/>
      <c r="BL1632" s="427"/>
      <c r="BN1632" s="427"/>
      <c r="BO1632" s="428"/>
      <c r="BP1632" s="428"/>
      <c r="BQ1632" s="429"/>
      <c r="BR1632" s="429"/>
      <c r="BS1632" s="426"/>
    </row>
    <row r="1633" customFormat="false" ht="13.5" hidden="false" customHeight="false" outlineLevel="0" collapsed="false">
      <c r="A1633" s="440"/>
      <c r="B1633" s="424"/>
      <c r="C1633" s="424"/>
      <c r="D1633" s="424"/>
      <c r="E1633" s="424"/>
      <c r="F1633" s="424"/>
      <c r="G1633" s="424"/>
      <c r="H1633" s="424"/>
      <c r="I1633" s="424"/>
      <c r="J1633" s="424"/>
      <c r="K1633" s="424"/>
      <c r="L1633" s="424"/>
      <c r="M1633" s="424"/>
      <c r="N1633" s="424"/>
      <c r="O1633" s="424"/>
      <c r="P1633" s="424"/>
      <c r="Q1633" s="435" t="n">
        <v>46</v>
      </c>
      <c r="R1633" s="434" t="s">
        <v>550</v>
      </c>
      <c r="S1633" s="424"/>
      <c r="T1633" s="434" t="s">
        <v>551</v>
      </c>
      <c r="U1633" s="434" t="s">
        <v>552</v>
      </c>
      <c r="V1633" s="436" t="n">
        <f aca="false">AY1638</f>
        <v>0</v>
      </c>
      <c r="W1633" s="424"/>
      <c r="X1633" s="429"/>
      <c r="Y1633" s="426"/>
      <c r="Z1633" s="429"/>
      <c r="AA1633" s="426"/>
      <c r="AB1633" s="426"/>
      <c r="AC1633" s="427"/>
      <c r="AD1633" s="427"/>
      <c r="AE1633" s="427"/>
      <c r="AF1633" s="427"/>
      <c r="AG1633" s="427"/>
      <c r="AH1633" s="427"/>
      <c r="AI1633" s="427"/>
      <c r="AJ1633" s="427"/>
      <c r="AK1633" s="427"/>
      <c r="AL1633" s="427"/>
      <c r="AM1633" s="427"/>
      <c r="AN1633" s="427"/>
      <c r="AO1633" s="428"/>
      <c r="AP1633" s="427"/>
      <c r="AQ1633" s="427"/>
      <c r="AR1633" s="427"/>
      <c r="AS1633" s="427"/>
      <c r="AT1633" s="427"/>
      <c r="AU1633" s="427"/>
      <c r="AV1633" s="427"/>
      <c r="AW1633" s="427"/>
      <c r="AX1633" s="427"/>
      <c r="AY1633" s="427"/>
      <c r="BC1633" s="428"/>
      <c r="BG1633" s="427"/>
      <c r="BH1633" s="437"/>
      <c r="BJ1633" s="427"/>
      <c r="BK1633" s="427"/>
      <c r="BL1633" s="427"/>
      <c r="BN1633" s="427"/>
      <c r="BO1633" s="428"/>
      <c r="BP1633" s="428"/>
      <c r="BQ1633" s="429"/>
      <c r="BR1633" s="429"/>
      <c r="BS1633" s="426"/>
    </row>
    <row r="1634" customFormat="false" ht="13.5" hidden="false" customHeight="false" outlineLevel="0" collapsed="false">
      <c r="A1634" s="440"/>
      <c r="B1634" s="424"/>
      <c r="C1634" s="424"/>
      <c r="D1634" s="424"/>
      <c r="E1634" s="424"/>
      <c r="F1634" s="424"/>
      <c r="G1634" s="424"/>
      <c r="H1634" s="424"/>
      <c r="I1634" s="424"/>
      <c r="J1634" s="424"/>
      <c r="K1634" s="424"/>
      <c r="L1634" s="424"/>
      <c r="M1634" s="424"/>
      <c r="N1634" s="424"/>
      <c r="O1634" s="424"/>
      <c r="P1634" s="424"/>
      <c r="Q1634" s="435" t="n">
        <v>47</v>
      </c>
      <c r="R1634" s="434" t="s">
        <v>553</v>
      </c>
      <c r="S1634" s="424"/>
      <c r="T1634" s="434" t="s">
        <v>554</v>
      </c>
      <c r="U1634" s="434" t="s">
        <v>555</v>
      </c>
      <c r="V1634" s="436" t="n">
        <f aca="false">AY1639</f>
        <v>0</v>
      </c>
      <c r="W1634" s="424"/>
      <c r="X1634" s="429"/>
      <c r="Y1634" s="426"/>
      <c r="Z1634" s="429"/>
      <c r="AA1634" s="426"/>
      <c r="AB1634" s="426"/>
      <c r="AC1634" s="427"/>
      <c r="AD1634" s="427"/>
      <c r="AE1634" s="427"/>
      <c r="AF1634" s="427"/>
      <c r="AG1634" s="427"/>
      <c r="AH1634" s="427"/>
      <c r="AI1634" s="427"/>
      <c r="AJ1634" s="427"/>
      <c r="AK1634" s="427"/>
      <c r="AL1634" s="427"/>
      <c r="AM1634" s="427"/>
      <c r="AN1634" s="427"/>
      <c r="AO1634" s="428"/>
      <c r="AP1634" s="427"/>
      <c r="AQ1634" s="427"/>
      <c r="AR1634" s="427"/>
      <c r="AS1634" s="427"/>
      <c r="AT1634" s="427"/>
      <c r="AU1634" s="427"/>
      <c r="AV1634" s="427"/>
      <c r="AW1634" s="427"/>
      <c r="AX1634" s="427"/>
      <c r="AY1634" s="427"/>
      <c r="BC1634" s="428"/>
      <c r="BG1634" s="427"/>
      <c r="BH1634" s="437"/>
      <c r="BJ1634" s="427"/>
      <c r="BK1634" s="427"/>
      <c r="BL1634" s="427"/>
      <c r="BN1634" s="427"/>
      <c r="BO1634" s="428"/>
      <c r="BQ1634" s="429"/>
      <c r="BR1634" s="429"/>
      <c r="BS1634" s="426"/>
    </row>
    <row r="1635" customFormat="false" ht="13.5" hidden="false" customHeight="false" outlineLevel="0" collapsed="false">
      <c r="A1635" s="424"/>
      <c r="B1635" s="424"/>
      <c r="C1635" s="424"/>
      <c r="D1635" s="424"/>
      <c r="E1635" s="424"/>
      <c r="F1635" s="424"/>
      <c r="G1635" s="424"/>
      <c r="H1635" s="424"/>
      <c r="I1635" s="424"/>
      <c r="J1635" s="424"/>
      <c r="K1635" s="424"/>
      <c r="L1635" s="424"/>
      <c r="M1635" s="424"/>
      <c r="N1635" s="424"/>
      <c r="O1635" s="424"/>
      <c r="P1635" s="424"/>
      <c r="Q1635" s="435" t="n">
        <v>48</v>
      </c>
      <c r="R1635" s="434" t="s">
        <v>556</v>
      </c>
      <c r="S1635" s="424"/>
      <c r="T1635" s="434" t="s">
        <v>557</v>
      </c>
      <c r="U1635" s="434" t="s">
        <v>558</v>
      </c>
      <c r="V1635" s="436" t="n">
        <f aca="false">AY1640</f>
        <v>0</v>
      </c>
      <c r="W1635" s="424"/>
      <c r="X1635" s="429"/>
      <c r="Y1635" s="426"/>
      <c r="Z1635" s="429"/>
      <c r="AA1635" s="426"/>
      <c r="AB1635" s="426"/>
      <c r="AC1635" s="427"/>
      <c r="AD1635" s="427"/>
      <c r="AE1635" s="427"/>
      <c r="AF1635" s="427"/>
      <c r="AG1635" s="427"/>
      <c r="AH1635" s="427"/>
      <c r="AI1635" s="427"/>
      <c r="AJ1635" s="427"/>
      <c r="AK1635" s="427"/>
      <c r="AL1635" s="427"/>
      <c r="AM1635" s="427"/>
      <c r="AN1635" s="427"/>
      <c r="AO1635" s="428"/>
      <c r="AP1635" s="427"/>
      <c r="AQ1635" s="427"/>
      <c r="AR1635" s="427"/>
      <c r="AS1635" s="427"/>
      <c r="AT1635" s="427"/>
      <c r="AU1635" s="427"/>
      <c r="AV1635" s="427"/>
      <c r="AW1635" s="427"/>
      <c r="AX1635" s="427"/>
      <c r="AY1635" s="427"/>
      <c r="BC1635" s="428"/>
      <c r="BG1635" s="427"/>
      <c r="BH1635" s="437"/>
      <c r="BJ1635" s="427"/>
      <c r="BK1635" s="427"/>
      <c r="BL1635" s="427"/>
      <c r="BN1635" s="427"/>
      <c r="BO1635" s="428"/>
      <c r="BQ1635" s="429"/>
      <c r="BR1635" s="429"/>
      <c r="BS1635" s="426"/>
    </row>
    <row r="1636" customFormat="false" ht="13.5" hidden="false" customHeight="false" outlineLevel="0" collapsed="false">
      <c r="A1636" s="424"/>
      <c r="B1636" s="424"/>
      <c r="C1636" s="424"/>
      <c r="D1636" s="424"/>
      <c r="E1636" s="424"/>
      <c r="F1636" s="424"/>
      <c r="G1636" s="424"/>
      <c r="H1636" s="424"/>
      <c r="I1636" s="424"/>
      <c r="J1636" s="424"/>
      <c r="K1636" s="424"/>
      <c r="L1636" s="424"/>
      <c r="M1636" s="424"/>
      <c r="N1636" s="424"/>
      <c r="O1636" s="424"/>
      <c r="P1636" s="424"/>
      <c r="Q1636" s="435" t="n">
        <v>49</v>
      </c>
      <c r="R1636" s="434" t="s">
        <v>559</v>
      </c>
      <c r="S1636" s="424"/>
      <c r="T1636" s="434" t="s">
        <v>560</v>
      </c>
      <c r="U1636" s="434" t="s">
        <v>561</v>
      </c>
      <c r="V1636" s="436" t="n">
        <f aca="false">AY1641</f>
        <v>0</v>
      </c>
      <c r="W1636" s="424"/>
      <c r="X1636" s="429"/>
      <c r="Y1636" s="426"/>
      <c r="Z1636" s="429"/>
      <c r="AA1636" s="426"/>
      <c r="AB1636" s="426"/>
      <c r="AC1636" s="427"/>
      <c r="AD1636" s="427"/>
      <c r="AE1636" s="427"/>
      <c r="AF1636" s="427"/>
      <c r="AG1636" s="427"/>
      <c r="AH1636" s="427"/>
      <c r="AI1636" s="427"/>
      <c r="AJ1636" s="427"/>
      <c r="AK1636" s="427"/>
      <c r="AL1636" s="427"/>
      <c r="AM1636" s="427"/>
      <c r="AN1636" s="427"/>
      <c r="AO1636" s="428"/>
      <c r="AP1636" s="427"/>
      <c r="AQ1636" s="427"/>
      <c r="AR1636" s="427"/>
      <c r="AS1636" s="427"/>
      <c r="AT1636" s="427"/>
      <c r="AU1636" s="427"/>
      <c r="AV1636" s="427"/>
      <c r="AW1636" s="427"/>
      <c r="AX1636" s="427"/>
      <c r="AY1636" s="427"/>
      <c r="BC1636" s="428"/>
      <c r="BG1636" s="427"/>
      <c r="BH1636" s="437"/>
      <c r="BJ1636" s="427"/>
      <c r="BK1636" s="427"/>
      <c r="BL1636" s="427"/>
      <c r="BN1636" s="427"/>
      <c r="BO1636" s="428"/>
      <c r="BQ1636" s="429"/>
      <c r="BR1636" s="429"/>
      <c r="BS1636" s="426"/>
    </row>
    <row r="1637" customFormat="false" ht="13.5" hidden="false" customHeight="false" outlineLevel="0" collapsed="false">
      <c r="A1637" s="424"/>
      <c r="B1637" s="424"/>
      <c r="C1637" s="424"/>
      <c r="D1637" s="424"/>
      <c r="E1637" s="424"/>
      <c r="F1637" s="424"/>
      <c r="G1637" s="424"/>
      <c r="H1637" s="424"/>
      <c r="I1637" s="424"/>
      <c r="J1637" s="424"/>
      <c r="K1637" s="424"/>
      <c r="L1637" s="424"/>
      <c r="M1637" s="424"/>
      <c r="N1637" s="424"/>
      <c r="O1637" s="424"/>
      <c r="P1637" s="424"/>
      <c r="Q1637" s="435" t="n">
        <v>50</v>
      </c>
      <c r="R1637" s="434" t="s">
        <v>562</v>
      </c>
      <c r="S1637" s="424"/>
      <c r="T1637" s="434" t="s">
        <v>563</v>
      </c>
      <c r="U1637" s="434" t="s">
        <v>564</v>
      </c>
      <c r="V1637" s="436" t="n">
        <f aca="false">AY1642</f>
        <v>0</v>
      </c>
      <c r="W1637" s="424"/>
      <c r="X1637" s="429"/>
      <c r="Y1637" s="426"/>
      <c r="Z1637" s="429"/>
      <c r="AA1637" s="426"/>
      <c r="AB1637" s="426"/>
      <c r="AC1637" s="427"/>
      <c r="AD1637" s="427"/>
      <c r="AE1637" s="427"/>
      <c r="AF1637" s="427"/>
      <c r="AG1637" s="427"/>
      <c r="AH1637" s="427"/>
      <c r="AI1637" s="427"/>
      <c r="AJ1637" s="427"/>
      <c r="AK1637" s="427"/>
      <c r="AL1637" s="427"/>
      <c r="AM1637" s="427"/>
      <c r="AN1637" s="427"/>
      <c r="AO1637" s="428"/>
      <c r="AP1637" s="427"/>
      <c r="AQ1637" s="427"/>
      <c r="AR1637" s="427"/>
      <c r="AS1637" s="427"/>
      <c r="AT1637" s="427"/>
      <c r="AU1637" s="427"/>
      <c r="AV1637" s="427"/>
      <c r="AW1637" s="427"/>
      <c r="AX1637" s="427"/>
      <c r="AY1637" s="427"/>
      <c r="BC1637" s="428"/>
      <c r="BG1637" s="427"/>
      <c r="BH1637" s="437"/>
      <c r="BJ1637" s="427"/>
      <c r="BK1637" s="427"/>
      <c r="BL1637" s="427"/>
      <c r="BN1637" s="427"/>
      <c r="BO1637" s="428"/>
      <c r="BQ1637" s="429"/>
      <c r="BR1637" s="429"/>
      <c r="BS1637" s="426"/>
    </row>
    <row r="1638" customFormat="false" ht="13.5" hidden="false" customHeight="false" outlineLevel="0" collapsed="false">
      <c r="A1638" s="424"/>
      <c r="B1638" s="424"/>
      <c r="C1638" s="424"/>
      <c r="D1638" s="424"/>
      <c r="E1638" s="424"/>
      <c r="F1638" s="424"/>
      <c r="G1638" s="424"/>
      <c r="H1638" s="424"/>
      <c r="I1638" s="424"/>
      <c r="J1638" s="424"/>
      <c r="K1638" s="424"/>
      <c r="L1638" s="424"/>
      <c r="M1638" s="424"/>
      <c r="N1638" s="424"/>
      <c r="O1638" s="424"/>
      <c r="P1638" s="424"/>
      <c r="Q1638" s="435" t="n">
        <v>51</v>
      </c>
      <c r="R1638" s="434" t="s">
        <v>565</v>
      </c>
      <c r="S1638" s="424"/>
      <c r="T1638" s="434" t="s">
        <v>566</v>
      </c>
      <c r="U1638" s="434" t="s">
        <v>567</v>
      </c>
      <c r="V1638" s="436" t="n">
        <f aca="false">AY1643</f>
        <v>0</v>
      </c>
      <c r="W1638" s="424"/>
      <c r="X1638" s="429"/>
      <c r="Y1638" s="426"/>
      <c r="Z1638" s="429"/>
      <c r="AA1638" s="426"/>
      <c r="AB1638" s="426"/>
      <c r="AC1638" s="427"/>
      <c r="AD1638" s="427"/>
      <c r="AE1638" s="427"/>
      <c r="AF1638" s="427"/>
      <c r="AG1638" s="427"/>
      <c r="AH1638" s="427"/>
      <c r="AI1638" s="427"/>
      <c r="AJ1638" s="427"/>
      <c r="AK1638" s="427"/>
      <c r="AL1638" s="427"/>
      <c r="AM1638" s="427"/>
      <c r="AN1638" s="427"/>
      <c r="AO1638" s="428"/>
      <c r="AP1638" s="427"/>
      <c r="AQ1638" s="427"/>
      <c r="AR1638" s="427"/>
      <c r="AS1638" s="427"/>
      <c r="AT1638" s="427"/>
      <c r="AU1638" s="427"/>
      <c r="AV1638" s="427"/>
      <c r="AW1638" s="427"/>
      <c r="AX1638" s="427"/>
      <c r="AY1638" s="427"/>
      <c r="BC1638" s="428"/>
      <c r="BG1638" s="427"/>
      <c r="BH1638" s="437"/>
      <c r="BJ1638" s="427"/>
      <c r="BK1638" s="427"/>
      <c r="BL1638" s="427"/>
      <c r="BN1638" s="427"/>
      <c r="BO1638" s="428"/>
      <c r="BQ1638" s="429"/>
      <c r="BR1638" s="429"/>
      <c r="BS1638" s="426"/>
    </row>
    <row r="1639" customFormat="false" ht="13.5" hidden="false" customHeight="false" outlineLevel="0" collapsed="false">
      <c r="A1639" s="424"/>
      <c r="B1639" s="424"/>
      <c r="C1639" s="424"/>
      <c r="D1639" s="424"/>
      <c r="E1639" s="424"/>
      <c r="F1639" s="424"/>
      <c r="G1639" s="424"/>
      <c r="H1639" s="424"/>
      <c r="I1639" s="424"/>
      <c r="J1639" s="424"/>
      <c r="K1639" s="424"/>
      <c r="L1639" s="424"/>
      <c r="M1639" s="424"/>
      <c r="N1639" s="424"/>
      <c r="O1639" s="424"/>
      <c r="P1639" s="424"/>
      <c r="Q1639" s="435" t="n">
        <v>52</v>
      </c>
      <c r="R1639" s="434" t="s">
        <v>568</v>
      </c>
      <c r="S1639" s="424"/>
      <c r="T1639" s="434" t="s">
        <v>569</v>
      </c>
      <c r="U1639" s="434" t="s">
        <v>570</v>
      </c>
      <c r="V1639" s="436" t="n">
        <f aca="false">AY1644</f>
        <v>0</v>
      </c>
      <c r="W1639" s="424"/>
      <c r="X1639" s="429"/>
      <c r="Y1639" s="426"/>
      <c r="Z1639" s="429"/>
      <c r="AA1639" s="426"/>
      <c r="AB1639" s="426"/>
      <c r="AC1639" s="427"/>
      <c r="AD1639" s="427"/>
      <c r="AE1639" s="427"/>
      <c r="AF1639" s="427"/>
      <c r="AG1639" s="427"/>
      <c r="AH1639" s="427"/>
      <c r="AI1639" s="427"/>
      <c r="AJ1639" s="427"/>
      <c r="AK1639" s="427"/>
      <c r="AL1639" s="427"/>
      <c r="AM1639" s="427"/>
      <c r="AN1639" s="427"/>
      <c r="AO1639" s="428"/>
      <c r="AP1639" s="427"/>
      <c r="AQ1639" s="427"/>
      <c r="AR1639" s="427"/>
      <c r="AS1639" s="427"/>
      <c r="AT1639" s="427"/>
      <c r="AU1639" s="427"/>
      <c r="AV1639" s="427"/>
      <c r="AW1639" s="427"/>
      <c r="AX1639" s="427"/>
      <c r="AY1639" s="427"/>
      <c r="BC1639" s="428"/>
      <c r="BG1639" s="427"/>
      <c r="BH1639" s="437"/>
      <c r="BJ1639" s="427"/>
      <c r="BK1639" s="427"/>
      <c r="BL1639" s="427"/>
      <c r="BN1639" s="427"/>
      <c r="BO1639" s="428"/>
      <c r="BQ1639" s="429"/>
      <c r="BR1639" s="429"/>
      <c r="BS1639" s="426"/>
    </row>
    <row r="1640" customFormat="false" ht="13.5" hidden="false" customHeight="false" outlineLevel="0" collapsed="false">
      <c r="A1640" s="424"/>
      <c r="B1640" s="424"/>
      <c r="C1640" s="424"/>
      <c r="D1640" s="424"/>
      <c r="E1640" s="424"/>
      <c r="F1640" s="424"/>
      <c r="G1640" s="424"/>
      <c r="H1640" s="424"/>
      <c r="I1640" s="424"/>
      <c r="J1640" s="424"/>
      <c r="K1640" s="424"/>
      <c r="L1640" s="424"/>
      <c r="M1640" s="424"/>
      <c r="N1640" s="424"/>
      <c r="O1640" s="424"/>
      <c r="P1640" s="424"/>
      <c r="Q1640" s="435" t="n">
        <v>53</v>
      </c>
      <c r="R1640" s="434" t="s">
        <v>571</v>
      </c>
      <c r="S1640" s="424"/>
      <c r="T1640" s="434" t="s">
        <v>572</v>
      </c>
      <c r="U1640" s="434" t="s">
        <v>573</v>
      </c>
      <c r="V1640" s="436" t="n">
        <f aca="false">AY1645</f>
        <v>0</v>
      </c>
      <c r="W1640" s="424"/>
      <c r="X1640" s="429"/>
      <c r="AC1640" s="427"/>
      <c r="AD1640" s="427"/>
      <c r="AE1640" s="427"/>
      <c r="AF1640" s="427"/>
      <c r="AG1640" s="427"/>
      <c r="AH1640" s="427"/>
      <c r="AI1640" s="427"/>
      <c r="AJ1640" s="427"/>
      <c r="AK1640" s="427"/>
      <c r="AL1640" s="427"/>
      <c r="AM1640" s="427"/>
      <c r="AN1640" s="427"/>
      <c r="AO1640" s="428"/>
      <c r="AP1640" s="427"/>
      <c r="AQ1640" s="427"/>
      <c r="AR1640" s="427"/>
      <c r="AS1640" s="427"/>
      <c r="AT1640" s="427"/>
      <c r="AX1640" s="427"/>
      <c r="AY1640" s="427"/>
      <c r="BC1640" s="428"/>
      <c r="BD1640" s="428"/>
      <c r="BE1640" s="428"/>
      <c r="BG1640" s="428"/>
      <c r="BH1640" s="428"/>
      <c r="BJ1640" s="428"/>
      <c r="BK1640" s="428"/>
      <c r="BL1640" s="428"/>
      <c r="BM1640" s="428"/>
      <c r="BN1640" s="439"/>
      <c r="BO1640" s="428"/>
      <c r="BQ1640" s="429"/>
      <c r="BR1640" s="429"/>
      <c r="BS1640" s="426"/>
    </row>
    <row r="1641" customFormat="false" ht="13.5" hidden="false" customHeight="false" outlineLevel="0" collapsed="false">
      <c r="A1641" s="424"/>
      <c r="B1641" s="424"/>
      <c r="C1641" s="424"/>
      <c r="D1641" s="424"/>
      <c r="E1641" s="424"/>
      <c r="F1641" s="424"/>
      <c r="G1641" s="424"/>
      <c r="H1641" s="424"/>
      <c r="I1641" s="424"/>
      <c r="J1641" s="424"/>
      <c r="K1641" s="424"/>
      <c r="L1641" s="424"/>
      <c r="M1641" s="424"/>
      <c r="N1641" s="424"/>
      <c r="O1641" s="424"/>
      <c r="P1641" s="424"/>
      <c r="Q1641" s="435" t="n">
        <v>54</v>
      </c>
      <c r="R1641" s="434" t="s">
        <v>574</v>
      </c>
      <c r="S1641" s="424"/>
      <c r="T1641" s="434" t="s">
        <v>575</v>
      </c>
      <c r="U1641" s="434" t="s">
        <v>576</v>
      </c>
      <c r="V1641" s="436" t="n">
        <f aca="false">AY1646</f>
        <v>0</v>
      </c>
      <c r="W1641" s="424"/>
      <c r="X1641" s="429"/>
      <c r="AC1641" s="427"/>
      <c r="AD1641" s="427"/>
      <c r="AE1641" s="427"/>
      <c r="AF1641" s="427"/>
      <c r="AG1641" s="427"/>
      <c r="AH1641" s="427"/>
      <c r="AI1641" s="427"/>
      <c r="AJ1641" s="427"/>
      <c r="AK1641" s="427"/>
      <c r="AL1641" s="427"/>
      <c r="AM1641" s="427"/>
      <c r="AN1641" s="427"/>
      <c r="AO1641" s="428"/>
      <c r="AP1641" s="427"/>
      <c r="AQ1641" s="427"/>
      <c r="AR1641" s="427"/>
      <c r="AS1641" s="427"/>
      <c r="AT1641" s="427"/>
      <c r="AU1641" s="427"/>
      <c r="AV1641" s="427"/>
      <c r="AW1641" s="427"/>
      <c r="AX1641" s="427"/>
      <c r="AY1641" s="427"/>
      <c r="BC1641" s="428"/>
      <c r="BD1641" s="429"/>
      <c r="BG1641" s="431"/>
      <c r="BH1641" s="437"/>
      <c r="BJ1641" s="431"/>
      <c r="BK1641" s="427"/>
      <c r="BL1641" s="427"/>
      <c r="BM1641" s="426"/>
      <c r="BN1641" s="427"/>
      <c r="BO1641" s="428"/>
      <c r="BQ1641" s="429"/>
      <c r="BR1641" s="426"/>
      <c r="BS1641" s="426"/>
    </row>
    <row r="1642" customFormat="false" ht="13.5" hidden="false" customHeight="false" outlineLevel="0" collapsed="false">
      <c r="A1642" s="424"/>
      <c r="B1642" s="424"/>
      <c r="C1642" s="424"/>
      <c r="D1642" s="424"/>
      <c r="E1642" s="424"/>
      <c r="F1642" s="424"/>
      <c r="G1642" s="424"/>
      <c r="H1642" s="424"/>
      <c r="I1642" s="424"/>
      <c r="J1642" s="424"/>
      <c r="K1642" s="424"/>
      <c r="L1642" s="424"/>
      <c r="M1642" s="424"/>
      <c r="N1642" s="424"/>
      <c r="O1642" s="424"/>
      <c r="P1642" s="424"/>
      <c r="Q1642" s="435" t="n">
        <v>55</v>
      </c>
      <c r="R1642" s="434" t="s">
        <v>577</v>
      </c>
      <c r="S1642" s="424"/>
      <c r="T1642" s="434" t="s">
        <v>578</v>
      </c>
      <c r="U1642" s="434" t="s">
        <v>579</v>
      </c>
      <c r="V1642" s="436" t="n">
        <f aca="false">AY1647</f>
        <v>0</v>
      </c>
      <c r="W1642" s="424"/>
      <c r="X1642" s="429"/>
      <c r="AC1642" s="427"/>
      <c r="AD1642" s="427"/>
      <c r="AE1642" s="427"/>
      <c r="AF1642" s="427"/>
      <c r="AG1642" s="427"/>
      <c r="AH1642" s="427"/>
      <c r="AI1642" s="427"/>
      <c r="AJ1642" s="427"/>
      <c r="AK1642" s="427"/>
      <c r="AL1642" s="427"/>
      <c r="AM1642" s="427"/>
      <c r="AN1642" s="427"/>
      <c r="AO1642" s="428"/>
      <c r="AP1642" s="427"/>
      <c r="AQ1642" s="427"/>
      <c r="AR1642" s="427"/>
      <c r="AS1642" s="427"/>
      <c r="AT1642" s="427"/>
      <c r="AU1642" s="427"/>
      <c r="AV1642" s="427"/>
      <c r="AW1642" s="427"/>
      <c r="AX1642" s="427"/>
      <c r="AY1642" s="427"/>
      <c r="BC1642" s="428"/>
      <c r="BE1642" s="426"/>
      <c r="BG1642" s="426"/>
      <c r="BN1642" s="427"/>
      <c r="BO1642" s="428"/>
      <c r="BQ1642" s="429"/>
      <c r="BR1642" s="429"/>
      <c r="BS1642" s="426"/>
    </row>
    <row r="1643" customFormat="false" ht="13.5" hidden="false" customHeight="false" outlineLevel="0" collapsed="false">
      <c r="A1643" s="424"/>
      <c r="B1643" s="424"/>
      <c r="C1643" s="424"/>
      <c r="D1643" s="424"/>
      <c r="E1643" s="424"/>
      <c r="F1643" s="424"/>
      <c r="G1643" s="424"/>
      <c r="H1643" s="424"/>
      <c r="I1643" s="424"/>
      <c r="J1643" s="424"/>
      <c r="K1643" s="424"/>
      <c r="L1643" s="424"/>
      <c r="M1643" s="424"/>
      <c r="N1643" s="424"/>
      <c r="O1643" s="424"/>
      <c r="P1643" s="424"/>
      <c r="Q1643" s="435" t="n">
        <v>56</v>
      </c>
      <c r="R1643" s="434" t="s">
        <v>580</v>
      </c>
      <c r="S1643" s="424"/>
      <c r="T1643" s="434" t="s">
        <v>581</v>
      </c>
      <c r="U1643" s="434" t="s">
        <v>582</v>
      </c>
      <c r="V1643" s="436" t="n">
        <f aca="false">AY1648</f>
        <v>0</v>
      </c>
      <c r="W1643" s="424"/>
      <c r="X1643" s="429"/>
      <c r="AC1643" s="427"/>
      <c r="AD1643" s="427"/>
      <c r="AE1643" s="427"/>
      <c r="AF1643" s="427"/>
      <c r="AG1643" s="427"/>
      <c r="AH1643" s="427"/>
      <c r="AI1643" s="427"/>
      <c r="AJ1643" s="427"/>
      <c r="AK1643" s="427"/>
      <c r="AL1643" s="427"/>
      <c r="AM1643" s="427"/>
      <c r="AN1643" s="427"/>
      <c r="AO1643" s="428"/>
      <c r="AP1643" s="427"/>
      <c r="AQ1643" s="427"/>
      <c r="AR1643" s="427"/>
      <c r="AS1643" s="427"/>
      <c r="AT1643" s="427"/>
      <c r="AU1643" s="427"/>
      <c r="AV1643" s="427"/>
      <c r="AW1643" s="427"/>
      <c r="AX1643" s="427"/>
      <c r="AY1643" s="427"/>
      <c r="BC1643" s="428"/>
      <c r="BE1643" s="426"/>
      <c r="BG1643" s="426"/>
      <c r="BN1643" s="427"/>
      <c r="BO1643" s="428"/>
      <c r="BQ1643" s="429"/>
      <c r="BR1643" s="429"/>
      <c r="BS1643" s="426"/>
    </row>
    <row r="1644" customFormat="false" ht="13.5" hidden="false" customHeight="false" outlineLevel="0" collapsed="false">
      <c r="A1644" s="424"/>
      <c r="B1644" s="424"/>
      <c r="C1644" s="424"/>
      <c r="D1644" s="424"/>
      <c r="E1644" s="424"/>
      <c r="F1644" s="424"/>
      <c r="G1644" s="424"/>
      <c r="H1644" s="424"/>
      <c r="I1644" s="424"/>
      <c r="J1644" s="424"/>
      <c r="K1644" s="424"/>
      <c r="L1644" s="424"/>
      <c r="M1644" s="424"/>
      <c r="N1644" s="424"/>
      <c r="O1644" s="424"/>
      <c r="P1644" s="424"/>
      <c r="Q1644" s="435" t="n">
        <v>57</v>
      </c>
      <c r="R1644" s="434" t="s">
        <v>583</v>
      </c>
      <c r="S1644" s="424"/>
      <c r="T1644" s="434" t="s">
        <v>584</v>
      </c>
      <c r="U1644" s="434" t="s">
        <v>585</v>
      </c>
      <c r="V1644" s="436" t="n">
        <f aca="false">AY1649</f>
        <v>0</v>
      </c>
      <c r="W1644" s="424"/>
      <c r="X1644" s="429"/>
      <c r="AC1644" s="427"/>
      <c r="AD1644" s="427"/>
      <c r="AE1644" s="427"/>
      <c r="AF1644" s="427"/>
      <c r="AG1644" s="427"/>
      <c r="AH1644" s="427"/>
      <c r="AI1644" s="427"/>
      <c r="AJ1644" s="427"/>
      <c r="AK1644" s="427"/>
      <c r="AL1644" s="427"/>
      <c r="AM1644" s="427"/>
      <c r="AN1644" s="427"/>
      <c r="AO1644" s="428"/>
      <c r="AP1644" s="427"/>
      <c r="AQ1644" s="427"/>
      <c r="AR1644" s="427"/>
      <c r="AS1644" s="427"/>
      <c r="AT1644" s="427"/>
      <c r="AU1644" s="427"/>
      <c r="AV1644" s="427"/>
      <c r="AW1644" s="427"/>
      <c r="AX1644" s="427"/>
      <c r="AY1644" s="427"/>
      <c r="BC1644" s="428"/>
      <c r="BN1644" s="427"/>
      <c r="BO1644" s="428"/>
      <c r="BQ1644" s="429"/>
      <c r="BR1644" s="429"/>
      <c r="BS1644" s="426"/>
    </row>
    <row r="1645" customFormat="false" ht="13.5" hidden="false" customHeight="false" outlineLevel="0" collapsed="false">
      <c r="A1645" s="424"/>
      <c r="B1645" s="424"/>
      <c r="C1645" s="424"/>
      <c r="D1645" s="424"/>
      <c r="E1645" s="424"/>
      <c r="F1645" s="424"/>
      <c r="G1645" s="424"/>
      <c r="H1645" s="424"/>
      <c r="I1645" s="424"/>
      <c r="J1645" s="424"/>
      <c r="K1645" s="424"/>
      <c r="L1645" s="424"/>
      <c r="M1645" s="424"/>
      <c r="N1645" s="424"/>
      <c r="O1645" s="424"/>
      <c r="P1645" s="424"/>
      <c r="Q1645" s="435" t="n">
        <v>58</v>
      </c>
      <c r="R1645" s="434" t="s">
        <v>586</v>
      </c>
      <c r="S1645" s="424"/>
      <c r="T1645" s="434" t="s">
        <v>587</v>
      </c>
      <c r="U1645" s="434" t="s">
        <v>588</v>
      </c>
      <c r="V1645" s="436" t="n">
        <f aca="false">AY1650</f>
        <v>0</v>
      </c>
      <c r="W1645" s="424"/>
      <c r="X1645" s="429"/>
      <c r="AC1645" s="427"/>
      <c r="AD1645" s="427"/>
      <c r="AE1645" s="427"/>
      <c r="AF1645" s="427"/>
      <c r="AG1645" s="427"/>
      <c r="AH1645" s="427"/>
      <c r="AI1645" s="427"/>
      <c r="AJ1645" s="427"/>
      <c r="AK1645" s="427"/>
      <c r="AL1645" s="427"/>
      <c r="AM1645" s="427"/>
      <c r="AN1645" s="427"/>
      <c r="AO1645" s="428"/>
      <c r="AP1645" s="427"/>
      <c r="AQ1645" s="427"/>
      <c r="AR1645" s="427"/>
      <c r="AS1645" s="427"/>
      <c r="AT1645" s="427"/>
      <c r="AU1645" s="427"/>
      <c r="AV1645" s="427"/>
      <c r="AW1645" s="427"/>
      <c r="AX1645" s="427"/>
      <c r="AY1645" s="427"/>
      <c r="BC1645" s="428"/>
      <c r="BN1645" s="427"/>
      <c r="BO1645" s="428"/>
      <c r="BQ1645" s="429"/>
      <c r="BR1645" s="429"/>
      <c r="BS1645" s="426"/>
    </row>
    <row r="1646" customFormat="false" ht="13.5" hidden="false" customHeight="false" outlineLevel="0" collapsed="false">
      <c r="A1646" s="424"/>
      <c r="B1646" s="424"/>
      <c r="C1646" s="424"/>
      <c r="D1646" s="424"/>
      <c r="E1646" s="424"/>
      <c r="F1646" s="424"/>
      <c r="G1646" s="424"/>
      <c r="H1646" s="424"/>
      <c r="I1646" s="424"/>
      <c r="J1646" s="424"/>
      <c r="K1646" s="424"/>
      <c r="L1646" s="424"/>
      <c r="M1646" s="424"/>
      <c r="N1646" s="424"/>
      <c r="O1646" s="424"/>
      <c r="P1646" s="424"/>
      <c r="Q1646" s="435" t="n">
        <v>59</v>
      </c>
      <c r="R1646" s="434" t="s">
        <v>589</v>
      </c>
      <c r="S1646" s="424"/>
      <c r="T1646" s="434" t="s">
        <v>590</v>
      </c>
      <c r="U1646" s="434" t="s">
        <v>591</v>
      </c>
      <c r="V1646" s="436" t="n">
        <f aca="false">AY1651</f>
        <v>0</v>
      </c>
      <c r="W1646" s="424"/>
      <c r="X1646" s="429"/>
      <c r="AC1646" s="427"/>
      <c r="AD1646" s="427"/>
      <c r="AE1646" s="427"/>
      <c r="AF1646" s="427"/>
      <c r="AG1646" s="427"/>
      <c r="AH1646" s="427"/>
      <c r="AI1646" s="427"/>
      <c r="AJ1646" s="427"/>
      <c r="AK1646" s="427"/>
      <c r="AL1646" s="427"/>
      <c r="AM1646" s="427"/>
      <c r="AN1646" s="427"/>
      <c r="AO1646" s="428"/>
      <c r="AP1646" s="427"/>
      <c r="AQ1646" s="427"/>
      <c r="AR1646" s="427"/>
      <c r="AS1646" s="427"/>
      <c r="AT1646" s="427"/>
      <c r="AU1646" s="427"/>
      <c r="AV1646" s="427"/>
      <c r="AW1646" s="427"/>
      <c r="AX1646" s="427"/>
      <c r="AY1646" s="427"/>
      <c r="BC1646" s="428"/>
      <c r="BE1646" s="431"/>
      <c r="BN1646" s="427"/>
      <c r="BO1646" s="428"/>
      <c r="BQ1646" s="429"/>
      <c r="BR1646" s="429"/>
      <c r="BS1646" s="426"/>
    </row>
    <row r="1647" customFormat="false" ht="13.5" hidden="false" customHeight="false" outlineLevel="0" collapsed="false">
      <c r="A1647" s="424"/>
      <c r="B1647" s="424"/>
      <c r="C1647" s="424"/>
      <c r="D1647" s="424"/>
      <c r="E1647" s="424"/>
      <c r="F1647" s="424"/>
      <c r="G1647" s="424"/>
      <c r="H1647" s="424"/>
      <c r="I1647" s="424"/>
      <c r="J1647" s="424"/>
      <c r="K1647" s="424"/>
      <c r="L1647" s="424"/>
      <c r="M1647" s="424"/>
      <c r="N1647" s="424"/>
      <c r="O1647" s="424"/>
      <c r="P1647" s="424"/>
      <c r="Q1647" s="435" t="n">
        <v>60</v>
      </c>
      <c r="R1647" s="434" t="s">
        <v>592</v>
      </c>
      <c r="S1647" s="424"/>
      <c r="T1647" s="434" t="s">
        <v>593</v>
      </c>
      <c r="U1647" s="434" t="s">
        <v>594</v>
      </c>
      <c r="V1647" s="436" t="n">
        <f aca="false">AY1652</f>
        <v>0</v>
      </c>
      <c r="W1647" s="424"/>
      <c r="X1647" s="429"/>
      <c r="AC1647" s="427"/>
      <c r="AD1647" s="427"/>
      <c r="AE1647" s="427"/>
      <c r="AF1647" s="427"/>
      <c r="AG1647" s="427"/>
      <c r="AH1647" s="427"/>
      <c r="AI1647" s="427"/>
      <c r="AJ1647" s="427"/>
      <c r="AK1647" s="427"/>
      <c r="AL1647" s="427"/>
      <c r="AM1647" s="427"/>
      <c r="AN1647" s="427"/>
      <c r="AO1647" s="428"/>
      <c r="AP1647" s="427"/>
      <c r="AQ1647" s="427"/>
      <c r="AR1647" s="427"/>
      <c r="AS1647" s="427"/>
      <c r="AT1647" s="427"/>
      <c r="AU1647" s="427"/>
      <c r="AV1647" s="427"/>
      <c r="AW1647" s="427"/>
      <c r="AX1647" s="427"/>
      <c r="AY1647" s="427"/>
      <c r="BC1647" s="428"/>
      <c r="BE1647" s="426"/>
      <c r="BN1647" s="427"/>
      <c r="BO1647" s="428"/>
      <c r="BQ1647" s="429"/>
      <c r="BR1647" s="429"/>
      <c r="BS1647" s="426"/>
    </row>
    <row r="1648" customFormat="false" ht="13.5" hidden="false" customHeight="false" outlineLevel="0" collapsed="false">
      <c r="A1648" s="424"/>
      <c r="B1648" s="424"/>
      <c r="C1648" s="424"/>
      <c r="D1648" s="424"/>
      <c r="E1648" s="424"/>
      <c r="F1648" s="424"/>
      <c r="G1648" s="424"/>
      <c r="H1648" s="424"/>
      <c r="I1648" s="424"/>
      <c r="J1648" s="424"/>
      <c r="K1648" s="424"/>
      <c r="L1648" s="424"/>
      <c r="M1648" s="424"/>
      <c r="N1648" s="424"/>
      <c r="O1648" s="424"/>
      <c r="P1648" s="424"/>
      <c r="Q1648" s="435" t="n">
        <v>61</v>
      </c>
      <c r="R1648" s="434" t="s">
        <v>595</v>
      </c>
      <c r="S1648" s="424"/>
      <c r="T1648" s="434" t="s">
        <v>596</v>
      </c>
      <c r="U1648" s="434" t="s">
        <v>597</v>
      </c>
      <c r="V1648" s="436" t="n">
        <f aca="false">AY1653</f>
        <v>0</v>
      </c>
      <c r="W1648" s="424"/>
      <c r="X1648" s="429"/>
      <c r="AC1648" s="427"/>
      <c r="AD1648" s="427"/>
      <c r="AE1648" s="427"/>
      <c r="AF1648" s="427"/>
      <c r="AG1648" s="427"/>
      <c r="AH1648" s="427"/>
      <c r="AI1648" s="427"/>
      <c r="AJ1648" s="427"/>
      <c r="AK1648" s="427"/>
      <c r="AL1648" s="427"/>
      <c r="AM1648" s="427"/>
      <c r="AN1648" s="427"/>
      <c r="AO1648" s="428"/>
      <c r="AP1648" s="427"/>
      <c r="AQ1648" s="427"/>
      <c r="AR1648" s="427"/>
      <c r="AS1648" s="427"/>
      <c r="AT1648" s="427"/>
      <c r="AU1648" s="427"/>
      <c r="AV1648" s="427"/>
      <c r="AW1648" s="427"/>
      <c r="AX1648" s="427"/>
      <c r="AY1648" s="427"/>
      <c r="BC1648" s="428"/>
      <c r="BE1648" s="426"/>
      <c r="BN1648" s="427"/>
      <c r="BO1648" s="428"/>
      <c r="BQ1648" s="429"/>
      <c r="BR1648" s="429"/>
      <c r="BS1648" s="426"/>
    </row>
    <row r="1649" customFormat="false" ht="13.5" hidden="false" customHeight="false" outlineLevel="0" collapsed="false">
      <c r="A1649" s="424"/>
      <c r="B1649" s="424"/>
      <c r="C1649" s="424"/>
      <c r="D1649" s="424"/>
      <c r="E1649" s="424"/>
      <c r="F1649" s="424"/>
      <c r="G1649" s="424"/>
      <c r="H1649" s="424"/>
      <c r="I1649" s="424"/>
      <c r="J1649" s="424"/>
      <c r="K1649" s="424"/>
      <c r="L1649" s="424"/>
      <c r="M1649" s="424"/>
      <c r="N1649" s="424"/>
      <c r="O1649" s="424"/>
      <c r="P1649" s="424"/>
      <c r="Q1649" s="435" t="n">
        <v>62</v>
      </c>
      <c r="R1649" s="434" t="s">
        <v>598</v>
      </c>
      <c r="S1649" s="424"/>
      <c r="T1649" s="434" t="s">
        <v>599</v>
      </c>
      <c r="U1649" s="434" t="s">
        <v>600</v>
      </c>
      <c r="V1649" s="436" t="n">
        <f aca="false">AY1654</f>
        <v>0</v>
      </c>
      <c r="W1649" s="424"/>
      <c r="X1649" s="429"/>
      <c r="AC1649" s="427"/>
      <c r="AD1649" s="427"/>
      <c r="AE1649" s="427"/>
      <c r="AF1649" s="427"/>
      <c r="AG1649" s="427"/>
      <c r="AH1649" s="427"/>
      <c r="AI1649" s="427"/>
      <c r="AJ1649" s="427"/>
      <c r="AK1649" s="427"/>
      <c r="AL1649" s="427"/>
      <c r="AM1649" s="427"/>
      <c r="AN1649" s="427"/>
      <c r="AO1649" s="428"/>
      <c r="AP1649" s="427"/>
      <c r="AQ1649" s="427"/>
      <c r="AR1649" s="427"/>
      <c r="AS1649" s="427"/>
      <c r="AT1649" s="427"/>
      <c r="AU1649" s="427"/>
      <c r="AV1649" s="427"/>
      <c r="AW1649" s="427"/>
      <c r="AX1649" s="427"/>
      <c r="AY1649" s="427"/>
      <c r="BC1649" s="428"/>
      <c r="BG1649" s="443"/>
      <c r="BH1649" s="443"/>
      <c r="BK1649" s="443"/>
      <c r="BL1649" s="443"/>
      <c r="BN1649" s="427"/>
      <c r="BO1649" s="428"/>
      <c r="BQ1649" s="429"/>
      <c r="BR1649" s="429"/>
      <c r="BS1649" s="426"/>
    </row>
    <row r="1650" customFormat="false" ht="13.5" hidden="false" customHeight="false" outlineLevel="0" collapsed="false">
      <c r="A1650" s="424"/>
      <c r="B1650" s="424"/>
      <c r="C1650" s="424"/>
      <c r="D1650" s="424"/>
      <c r="E1650" s="424"/>
      <c r="F1650" s="424"/>
      <c r="G1650" s="424"/>
      <c r="H1650" s="424"/>
      <c r="I1650" s="424"/>
      <c r="J1650" s="424"/>
      <c r="K1650" s="424"/>
      <c r="L1650" s="424"/>
      <c r="M1650" s="424"/>
      <c r="N1650" s="424"/>
      <c r="O1650" s="424"/>
      <c r="P1650" s="424"/>
      <c r="Q1650" s="435" t="n">
        <v>63</v>
      </c>
      <c r="R1650" s="434" t="s">
        <v>601</v>
      </c>
      <c r="S1650" s="424"/>
      <c r="T1650" s="434" t="s">
        <v>602</v>
      </c>
      <c r="U1650" s="434" t="s">
        <v>603</v>
      </c>
      <c r="V1650" s="436" t="n">
        <f aca="false">AY1655</f>
        <v>0</v>
      </c>
      <c r="W1650" s="424"/>
      <c r="X1650" s="429"/>
      <c r="AC1650" s="427"/>
      <c r="AD1650" s="427"/>
      <c r="AE1650" s="427"/>
      <c r="AF1650" s="427"/>
      <c r="AG1650" s="427"/>
      <c r="AH1650" s="427"/>
      <c r="AI1650" s="427"/>
      <c r="AJ1650" s="427"/>
      <c r="AK1650" s="427"/>
      <c r="AL1650" s="427"/>
      <c r="AM1650" s="427"/>
      <c r="AN1650" s="427"/>
      <c r="AO1650" s="428"/>
      <c r="AP1650" s="427"/>
      <c r="AQ1650" s="427"/>
      <c r="AR1650" s="427"/>
      <c r="AS1650" s="427"/>
      <c r="AT1650" s="427"/>
      <c r="AU1650" s="427"/>
      <c r="AV1650" s="427"/>
      <c r="AW1650" s="427"/>
      <c r="AX1650" s="427"/>
      <c r="AY1650" s="427"/>
      <c r="BC1650" s="428"/>
      <c r="BD1650" s="429"/>
      <c r="BE1650" s="429"/>
      <c r="BF1650" s="427"/>
      <c r="BG1650" s="437"/>
      <c r="BH1650" s="427"/>
      <c r="BJ1650" s="437"/>
      <c r="BK1650" s="427"/>
      <c r="BM1650" s="426"/>
      <c r="BN1650" s="427"/>
      <c r="BO1650" s="439"/>
      <c r="BP1650" s="427"/>
      <c r="BQ1650" s="427"/>
      <c r="BR1650" s="427"/>
      <c r="BS1650" s="431"/>
      <c r="BT1650" s="427"/>
      <c r="BU1650" s="427"/>
      <c r="BV1650" s="427"/>
      <c r="BW1650" s="427"/>
      <c r="BX1650" s="427"/>
      <c r="BY1650" s="427"/>
      <c r="BZ1650" s="427"/>
      <c r="CA1650" s="427"/>
      <c r="CB1650" s="427"/>
      <c r="CC1650" s="427"/>
      <c r="CD1650" s="427"/>
      <c r="CE1650" s="427"/>
      <c r="CF1650" s="427"/>
      <c r="CG1650" s="427"/>
      <c r="CH1650" s="427"/>
      <c r="CI1650" s="427"/>
    </row>
    <row r="1651" customFormat="false" ht="13.5" hidden="false" customHeight="false" outlineLevel="0" collapsed="false">
      <c r="A1651" s="424"/>
      <c r="B1651" s="424"/>
      <c r="C1651" s="424"/>
      <c r="D1651" s="424"/>
      <c r="E1651" s="424"/>
      <c r="F1651" s="424"/>
      <c r="G1651" s="424"/>
      <c r="H1651" s="424"/>
      <c r="I1651" s="424"/>
      <c r="J1651" s="424"/>
      <c r="K1651" s="424"/>
      <c r="L1651" s="424"/>
      <c r="M1651" s="424"/>
      <c r="N1651" s="424"/>
      <c r="O1651" s="424"/>
      <c r="P1651" s="424"/>
      <c r="Q1651" s="435" t="n">
        <v>64</v>
      </c>
      <c r="R1651" s="434" t="s">
        <v>604</v>
      </c>
      <c r="S1651" s="424"/>
      <c r="T1651" s="434" t="s">
        <v>605</v>
      </c>
      <c r="U1651" s="434" t="s">
        <v>606</v>
      </c>
      <c r="V1651" s="436" t="n">
        <f aca="false">AY1656</f>
        <v>0</v>
      </c>
      <c r="W1651" s="424"/>
      <c r="X1651" s="429"/>
      <c r="Y1651" s="427"/>
      <c r="AC1651" s="427"/>
      <c r="AD1651" s="427"/>
      <c r="AE1651" s="427"/>
      <c r="AF1651" s="427"/>
      <c r="AG1651" s="427"/>
      <c r="AH1651" s="427"/>
      <c r="AI1651" s="427"/>
      <c r="AJ1651" s="427"/>
      <c r="AK1651" s="427"/>
      <c r="AL1651" s="427"/>
      <c r="AM1651" s="427"/>
      <c r="AN1651" s="427"/>
      <c r="AO1651" s="428"/>
      <c r="AP1651" s="427"/>
      <c r="AQ1651" s="427"/>
      <c r="AR1651" s="427"/>
      <c r="AS1651" s="427"/>
      <c r="AT1651" s="427"/>
      <c r="AU1651" s="427"/>
      <c r="AV1651" s="427"/>
      <c r="AW1651" s="427"/>
      <c r="AX1651" s="427"/>
      <c r="AY1651" s="427"/>
      <c r="BC1651" s="428"/>
      <c r="BD1651" s="429"/>
      <c r="BE1651" s="429"/>
      <c r="BF1651" s="427"/>
      <c r="BG1651" s="437"/>
      <c r="BH1651" s="427"/>
      <c r="BJ1651" s="437"/>
      <c r="BK1651" s="427"/>
      <c r="BM1651" s="426"/>
      <c r="BN1651" s="427"/>
      <c r="BO1651" s="439"/>
      <c r="BP1651" s="427"/>
      <c r="BQ1651" s="427"/>
      <c r="BR1651" s="431"/>
      <c r="BS1651" s="431"/>
      <c r="BT1651" s="427"/>
      <c r="BU1651" s="427"/>
      <c r="BV1651" s="427"/>
      <c r="BW1651" s="427"/>
      <c r="BX1651" s="427"/>
      <c r="BY1651" s="427"/>
      <c r="BZ1651" s="427"/>
      <c r="CA1651" s="427"/>
      <c r="CB1651" s="427"/>
      <c r="CC1651" s="427"/>
      <c r="CD1651" s="427"/>
      <c r="CE1651" s="427"/>
      <c r="CF1651" s="427"/>
      <c r="CG1651" s="427"/>
      <c r="CH1651" s="427"/>
      <c r="CI1651" s="427"/>
    </row>
    <row r="1652" customFormat="false" ht="13.5" hidden="false" customHeight="false" outlineLevel="0" collapsed="false">
      <c r="A1652" s="424"/>
      <c r="B1652" s="424"/>
      <c r="C1652" s="424"/>
      <c r="D1652" s="424"/>
      <c r="E1652" s="424"/>
      <c r="F1652" s="424"/>
      <c r="G1652" s="424"/>
      <c r="H1652" s="424"/>
      <c r="I1652" s="424"/>
      <c r="J1652" s="424"/>
      <c r="K1652" s="424"/>
      <c r="L1652" s="424"/>
      <c r="M1652" s="424"/>
      <c r="N1652" s="424"/>
      <c r="O1652" s="424"/>
      <c r="P1652" s="424"/>
      <c r="Q1652" s="435" t="n">
        <v>65</v>
      </c>
      <c r="R1652" s="434" t="s">
        <v>607</v>
      </c>
      <c r="S1652" s="424"/>
      <c r="T1652" s="434" t="s">
        <v>608</v>
      </c>
      <c r="U1652" s="434" t="s">
        <v>609</v>
      </c>
      <c r="V1652" s="436" t="n">
        <f aca="false">AY1657</f>
        <v>0</v>
      </c>
      <c r="W1652" s="424"/>
      <c r="X1652" s="429"/>
      <c r="Y1652" s="427"/>
      <c r="AC1652" s="427"/>
      <c r="AD1652" s="427"/>
      <c r="AE1652" s="427"/>
      <c r="AF1652" s="427"/>
      <c r="AG1652" s="427"/>
      <c r="AH1652" s="427"/>
      <c r="AI1652" s="427"/>
      <c r="AJ1652" s="427"/>
      <c r="AK1652" s="427"/>
      <c r="AL1652" s="427"/>
      <c r="AM1652" s="427"/>
      <c r="AN1652" s="427"/>
      <c r="AO1652" s="428"/>
      <c r="AP1652" s="427"/>
      <c r="AQ1652" s="427"/>
      <c r="AR1652" s="427"/>
      <c r="AS1652" s="427"/>
      <c r="AT1652" s="427"/>
      <c r="AU1652" s="427"/>
      <c r="AV1652" s="427"/>
      <c r="AW1652" s="427"/>
      <c r="AX1652" s="427"/>
      <c r="AY1652" s="427"/>
      <c r="BC1652" s="428"/>
      <c r="BD1652" s="429"/>
      <c r="BE1652" s="429"/>
      <c r="BF1652" s="427"/>
      <c r="BG1652" s="437"/>
      <c r="BH1652" s="427"/>
      <c r="BJ1652" s="437"/>
      <c r="BK1652" s="427"/>
      <c r="BM1652" s="426"/>
      <c r="BN1652" s="427"/>
      <c r="BO1652" s="439"/>
      <c r="BP1652" s="427"/>
      <c r="BQ1652" s="427"/>
      <c r="BR1652" s="427"/>
      <c r="BS1652" s="431"/>
      <c r="BT1652" s="427"/>
      <c r="BU1652" s="427"/>
      <c r="BV1652" s="427"/>
      <c r="BW1652" s="427"/>
      <c r="BX1652" s="427"/>
      <c r="BY1652" s="427"/>
      <c r="BZ1652" s="427"/>
      <c r="CA1652" s="427"/>
      <c r="CB1652" s="427"/>
      <c r="CC1652" s="427"/>
      <c r="CD1652" s="427"/>
      <c r="CE1652" s="427"/>
      <c r="CF1652" s="427"/>
      <c r="CG1652" s="427"/>
      <c r="CH1652" s="427"/>
      <c r="CI1652" s="427"/>
    </row>
    <row r="1653" customFormat="false" ht="13.5" hidden="false" customHeight="false" outlineLevel="0" collapsed="false">
      <c r="A1653" s="424"/>
      <c r="B1653" s="424"/>
      <c r="C1653" s="424"/>
      <c r="D1653" s="424"/>
      <c r="E1653" s="424"/>
      <c r="F1653" s="424"/>
      <c r="G1653" s="424"/>
      <c r="H1653" s="424"/>
      <c r="I1653" s="424"/>
      <c r="J1653" s="424"/>
      <c r="K1653" s="424"/>
      <c r="L1653" s="424"/>
      <c r="M1653" s="424"/>
      <c r="N1653" s="424"/>
      <c r="O1653" s="424"/>
      <c r="P1653" s="424"/>
      <c r="Q1653" s="435" t="n">
        <v>66</v>
      </c>
      <c r="R1653" s="434" t="s">
        <v>610</v>
      </c>
      <c r="S1653" s="424"/>
      <c r="T1653" s="434" t="s">
        <v>611</v>
      </c>
      <c r="U1653" s="434" t="s">
        <v>612</v>
      </c>
      <c r="V1653" s="436" t="n">
        <f aca="false">AY1658</f>
        <v>0</v>
      </c>
      <c r="W1653" s="424"/>
      <c r="X1653" s="429"/>
      <c r="Y1653" s="427"/>
      <c r="AC1653" s="427"/>
      <c r="AD1653" s="427"/>
      <c r="AE1653" s="427"/>
      <c r="AF1653" s="427"/>
      <c r="AG1653" s="427"/>
      <c r="AH1653" s="427"/>
      <c r="AI1653" s="427"/>
      <c r="AJ1653" s="427"/>
      <c r="AK1653" s="427"/>
      <c r="AL1653" s="427"/>
      <c r="AM1653" s="427"/>
      <c r="AN1653" s="427"/>
      <c r="AO1653" s="428"/>
      <c r="AP1653" s="427"/>
      <c r="AQ1653" s="427"/>
      <c r="AR1653" s="427"/>
      <c r="AS1653" s="427"/>
      <c r="AT1653" s="427"/>
      <c r="AU1653" s="427"/>
      <c r="AV1653" s="427"/>
      <c r="AW1653" s="427"/>
      <c r="AX1653" s="427"/>
      <c r="AY1653" s="427"/>
      <c r="BC1653" s="428"/>
      <c r="BD1653" s="429"/>
      <c r="BE1653" s="429"/>
      <c r="BF1653" s="427"/>
      <c r="BG1653" s="437"/>
      <c r="BH1653" s="427"/>
      <c r="BJ1653" s="437"/>
      <c r="BK1653" s="427"/>
      <c r="BM1653" s="426"/>
      <c r="BN1653" s="427"/>
      <c r="BO1653" s="439"/>
      <c r="BP1653" s="427"/>
      <c r="BQ1653" s="427"/>
      <c r="BR1653" s="427"/>
      <c r="BS1653" s="431"/>
      <c r="BT1653" s="427"/>
      <c r="BU1653" s="427"/>
      <c r="BV1653" s="427"/>
      <c r="BW1653" s="427"/>
      <c r="BX1653" s="427"/>
      <c r="BY1653" s="427"/>
      <c r="BZ1653" s="427"/>
      <c r="CA1653" s="427"/>
      <c r="CB1653" s="427"/>
      <c r="CC1653" s="427"/>
      <c r="CD1653" s="427"/>
      <c r="CE1653" s="427"/>
      <c r="CF1653" s="427"/>
      <c r="CG1653" s="427"/>
      <c r="CH1653" s="427"/>
      <c r="CI1653" s="427"/>
    </row>
    <row r="1654" customFormat="false" ht="13.5" hidden="false" customHeight="false" outlineLevel="0" collapsed="false">
      <c r="A1654" s="424"/>
      <c r="B1654" s="424"/>
      <c r="C1654" s="424"/>
      <c r="D1654" s="424"/>
      <c r="E1654" s="424"/>
      <c r="F1654" s="424"/>
      <c r="G1654" s="424"/>
      <c r="H1654" s="424"/>
      <c r="I1654" s="424"/>
      <c r="J1654" s="424"/>
      <c r="K1654" s="424"/>
      <c r="L1654" s="424"/>
      <c r="M1654" s="424"/>
      <c r="N1654" s="424"/>
      <c r="O1654" s="424"/>
      <c r="P1654" s="424"/>
      <c r="Q1654" s="435" t="n">
        <v>67</v>
      </c>
      <c r="R1654" s="434" t="s">
        <v>613</v>
      </c>
      <c r="S1654" s="424"/>
      <c r="T1654" s="434" t="s">
        <v>614</v>
      </c>
      <c r="U1654" s="434" t="s">
        <v>615</v>
      </c>
      <c r="V1654" s="436" t="n">
        <f aca="false">AY1659</f>
        <v>0</v>
      </c>
      <c r="W1654" s="424"/>
      <c r="Y1654" s="427"/>
      <c r="AC1654" s="427"/>
      <c r="AD1654" s="427"/>
      <c r="AE1654" s="427"/>
      <c r="AF1654" s="427"/>
      <c r="AG1654" s="427"/>
      <c r="AH1654" s="427"/>
      <c r="AI1654" s="427"/>
      <c r="AJ1654" s="427"/>
      <c r="AK1654" s="427"/>
      <c r="AL1654" s="427"/>
      <c r="AM1654" s="427"/>
      <c r="AN1654" s="427"/>
      <c r="AO1654" s="428"/>
      <c r="AP1654" s="427"/>
      <c r="AQ1654" s="427"/>
      <c r="AR1654" s="427"/>
      <c r="AS1654" s="427"/>
      <c r="AT1654" s="427"/>
      <c r="AU1654" s="427"/>
      <c r="AV1654" s="427"/>
      <c r="AW1654" s="427"/>
      <c r="AX1654" s="427"/>
      <c r="AY1654" s="427"/>
      <c r="BC1654" s="428"/>
      <c r="BD1654" s="429"/>
      <c r="BF1654" s="427"/>
      <c r="BG1654" s="437"/>
      <c r="BH1654" s="427"/>
      <c r="BJ1654" s="437"/>
      <c r="BK1654" s="427"/>
      <c r="BN1654" s="427"/>
      <c r="BO1654" s="439"/>
      <c r="BP1654" s="427"/>
      <c r="BQ1654" s="427"/>
      <c r="BR1654" s="427"/>
      <c r="BS1654" s="431"/>
      <c r="BT1654" s="427"/>
      <c r="BU1654" s="427"/>
      <c r="BV1654" s="427"/>
      <c r="BW1654" s="427"/>
      <c r="BX1654" s="427"/>
      <c r="BY1654" s="427"/>
      <c r="BZ1654" s="427"/>
      <c r="CA1654" s="427"/>
      <c r="CB1654" s="427"/>
      <c r="CC1654" s="427"/>
      <c r="CD1654" s="427"/>
      <c r="CE1654" s="427"/>
      <c r="CF1654" s="427"/>
      <c r="CG1654" s="427"/>
      <c r="CH1654" s="427"/>
      <c r="CI1654" s="427"/>
    </row>
    <row r="1655" customFormat="false" ht="13.5" hidden="false" customHeight="false" outlineLevel="0" collapsed="false">
      <c r="A1655" s="424"/>
      <c r="B1655" s="424"/>
      <c r="C1655" s="424"/>
      <c r="D1655" s="424"/>
      <c r="E1655" s="424"/>
      <c r="F1655" s="424"/>
      <c r="G1655" s="424"/>
      <c r="H1655" s="424"/>
      <c r="I1655" s="424"/>
      <c r="J1655" s="424"/>
      <c r="K1655" s="424"/>
      <c r="L1655" s="424"/>
      <c r="M1655" s="424"/>
      <c r="N1655" s="424"/>
      <c r="O1655" s="424"/>
      <c r="P1655" s="424"/>
      <c r="Q1655" s="435" t="n">
        <v>68</v>
      </c>
      <c r="R1655" s="434" t="s">
        <v>616</v>
      </c>
      <c r="S1655" s="424"/>
      <c r="T1655" s="434" t="s">
        <v>617</v>
      </c>
      <c r="U1655" s="434" t="s">
        <v>618</v>
      </c>
      <c r="V1655" s="436" t="n">
        <f aca="false">AY1660</f>
        <v>0</v>
      </c>
      <c r="W1655" s="424"/>
      <c r="AC1655" s="427"/>
      <c r="AD1655" s="427"/>
      <c r="AE1655" s="427"/>
      <c r="AF1655" s="427"/>
      <c r="AG1655" s="427"/>
      <c r="AH1655" s="427"/>
      <c r="AI1655" s="427"/>
      <c r="AJ1655" s="427"/>
      <c r="AK1655" s="427"/>
      <c r="AL1655" s="427"/>
      <c r="AM1655" s="427"/>
      <c r="AN1655" s="427"/>
      <c r="AO1655" s="428"/>
      <c r="AP1655" s="427"/>
      <c r="AQ1655" s="427"/>
      <c r="AR1655" s="427"/>
      <c r="AS1655" s="427"/>
      <c r="AT1655" s="427"/>
      <c r="AU1655" s="427"/>
      <c r="AV1655" s="427"/>
      <c r="AW1655" s="427"/>
      <c r="AX1655" s="427"/>
      <c r="AY1655" s="427"/>
      <c r="BC1655" s="428"/>
      <c r="BD1655" s="429"/>
      <c r="BF1655" s="427"/>
      <c r="BG1655" s="437"/>
      <c r="BH1655" s="427"/>
      <c r="BJ1655" s="437"/>
      <c r="BK1655" s="427"/>
      <c r="BN1655" s="427"/>
      <c r="BO1655" s="439"/>
      <c r="BP1655" s="427"/>
      <c r="BQ1655" s="427"/>
      <c r="BR1655" s="427"/>
      <c r="BS1655" s="431"/>
      <c r="BT1655" s="427"/>
      <c r="BU1655" s="427"/>
      <c r="BV1655" s="427"/>
      <c r="BW1655" s="427"/>
      <c r="BX1655" s="427"/>
      <c r="BY1655" s="427"/>
      <c r="BZ1655" s="427"/>
      <c r="CA1655" s="427"/>
      <c r="CB1655" s="427"/>
      <c r="CC1655" s="427"/>
      <c r="CD1655" s="427"/>
      <c r="CE1655" s="427"/>
      <c r="CF1655" s="427"/>
      <c r="CG1655" s="427"/>
      <c r="CH1655" s="427"/>
      <c r="CI1655" s="427"/>
    </row>
    <row r="1656" customFormat="false" ht="13.5" hidden="false" customHeight="false" outlineLevel="0" collapsed="false">
      <c r="A1656" s="424"/>
      <c r="B1656" s="424"/>
      <c r="C1656" s="424"/>
      <c r="D1656" s="424"/>
      <c r="E1656" s="424"/>
      <c r="F1656" s="424"/>
      <c r="G1656" s="424"/>
      <c r="H1656" s="424"/>
      <c r="I1656" s="424"/>
      <c r="J1656" s="424"/>
      <c r="K1656" s="424"/>
      <c r="L1656" s="424"/>
      <c r="M1656" s="424"/>
      <c r="N1656" s="424"/>
      <c r="O1656" s="424"/>
      <c r="P1656" s="424"/>
      <c r="Q1656" s="435" t="n">
        <v>69</v>
      </c>
      <c r="R1656" s="434" t="s">
        <v>619</v>
      </c>
      <c r="S1656" s="424"/>
      <c r="T1656" s="434" t="s">
        <v>620</v>
      </c>
      <c r="U1656" s="434" t="s">
        <v>621</v>
      </c>
      <c r="V1656" s="436" t="n">
        <f aca="false">AY1661</f>
        <v>0</v>
      </c>
      <c r="W1656" s="424"/>
      <c r="AC1656" s="427"/>
      <c r="AD1656" s="427"/>
      <c r="AE1656" s="427"/>
      <c r="AF1656" s="427"/>
      <c r="AG1656" s="427"/>
      <c r="AH1656" s="427"/>
      <c r="AI1656" s="427"/>
      <c r="AJ1656" s="427"/>
      <c r="AK1656" s="427"/>
      <c r="AL1656" s="427"/>
      <c r="AM1656" s="427"/>
      <c r="AN1656" s="427"/>
      <c r="AO1656" s="428"/>
      <c r="AP1656" s="427"/>
      <c r="AQ1656" s="427"/>
      <c r="AR1656" s="427"/>
      <c r="AS1656" s="427"/>
      <c r="AT1656" s="427"/>
      <c r="AU1656" s="427"/>
      <c r="AV1656" s="427"/>
      <c r="AW1656" s="427"/>
      <c r="AX1656" s="427"/>
      <c r="AY1656" s="427"/>
      <c r="BC1656" s="428"/>
      <c r="BD1656" s="429"/>
      <c r="BF1656" s="427"/>
      <c r="BG1656" s="437"/>
      <c r="BH1656" s="427"/>
      <c r="BJ1656" s="437"/>
      <c r="BM1656" s="428"/>
      <c r="BN1656" s="439"/>
      <c r="BO1656" s="439"/>
      <c r="BP1656" s="427"/>
      <c r="BQ1656" s="427"/>
      <c r="BR1656" s="427"/>
      <c r="BS1656" s="431"/>
      <c r="BT1656" s="427"/>
      <c r="BU1656" s="427"/>
      <c r="BV1656" s="427"/>
      <c r="BW1656" s="427"/>
      <c r="BX1656" s="427"/>
      <c r="BY1656" s="427"/>
      <c r="BZ1656" s="427"/>
      <c r="CA1656" s="427"/>
      <c r="CB1656" s="427"/>
      <c r="CC1656" s="427"/>
      <c r="CD1656" s="427"/>
      <c r="CE1656" s="427"/>
      <c r="CF1656" s="427"/>
      <c r="CG1656" s="427"/>
      <c r="CH1656" s="427"/>
      <c r="CI1656" s="427"/>
    </row>
    <row r="1657" customFormat="false" ht="13.5" hidden="false" customHeight="false" outlineLevel="0" collapsed="false">
      <c r="A1657" s="424"/>
      <c r="B1657" s="424"/>
      <c r="C1657" s="424"/>
      <c r="D1657" s="424"/>
      <c r="E1657" s="424"/>
      <c r="F1657" s="424"/>
      <c r="G1657" s="424"/>
      <c r="H1657" s="424"/>
      <c r="I1657" s="424"/>
      <c r="J1657" s="424"/>
      <c r="K1657" s="424"/>
      <c r="L1657" s="424"/>
      <c r="M1657" s="424"/>
      <c r="N1657" s="424"/>
      <c r="O1657" s="424"/>
      <c r="P1657" s="424"/>
      <c r="Q1657" s="435" t="n">
        <v>70</v>
      </c>
      <c r="R1657" s="434" t="s">
        <v>622</v>
      </c>
      <c r="S1657" s="424"/>
      <c r="T1657" s="434" t="s">
        <v>623</v>
      </c>
      <c r="U1657" s="434" t="s">
        <v>624</v>
      </c>
      <c r="V1657" s="436" t="n">
        <f aca="false">AY1662</f>
        <v>0</v>
      </c>
      <c r="W1657" s="424"/>
      <c r="AC1657" s="427"/>
      <c r="AD1657" s="427"/>
      <c r="AE1657" s="427"/>
      <c r="AF1657" s="427"/>
      <c r="AG1657" s="427"/>
      <c r="AH1657" s="427"/>
      <c r="AI1657" s="427"/>
      <c r="AJ1657" s="427"/>
      <c r="AK1657" s="427"/>
      <c r="AL1657" s="427"/>
      <c r="AM1657" s="427"/>
      <c r="AN1657" s="427"/>
      <c r="AO1657" s="428"/>
      <c r="AP1657" s="427"/>
      <c r="AQ1657" s="427"/>
      <c r="AR1657" s="427"/>
      <c r="AS1657" s="427"/>
      <c r="AT1657" s="427"/>
      <c r="AU1657" s="427"/>
      <c r="AV1657" s="427"/>
      <c r="AW1657" s="427"/>
      <c r="AX1657" s="427"/>
      <c r="AY1657" s="427"/>
      <c r="BC1657" s="428"/>
      <c r="BD1657" s="429"/>
      <c r="BF1657" s="427"/>
      <c r="BG1657" s="437"/>
      <c r="BH1657" s="427"/>
      <c r="BJ1657" s="437"/>
      <c r="BK1657" s="430"/>
      <c r="BL1657" s="427"/>
      <c r="BM1657" s="426"/>
      <c r="BN1657" s="427"/>
      <c r="BO1657" s="439"/>
      <c r="BP1657" s="427"/>
      <c r="BQ1657" s="427"/>
      <c r="BR1657" s="427"/>
      <c r="BS1657" s="431"/>
      <c r="BT1657" s="427"/>
      <c r="BU1657" s="427"/>
      <c r="BV1657" s="427"/>
      <c r="BW1657" s="427"/>
      <c r="BX1657" s="427"/>
      <c r="BY1657" s="427"/>
      <c r="BZ1657" s="427"/>
      <c r="CA1657" s="427"/>
      <c r="CB1657" s="427"/>
      <c r="CC1657" s="427"/>
      <c r="CD1657" s="427"/>
      <c r="CE1657" s="427"/>
      <c r="CF1657" s="427"/>
      <c r="CG1657" s="427"/>
      <c r="CH1657" s="427"/>
      <c r="CI1657" s="427"/>
    </row>
    <row r="1658" customFormat="false" ht="13.5" hidden="false" customHeight="false" outlineLevel="0" collapsed="false">
      <c r="A1658" s="424"/>
      <c r="B1658" s="424"/>
      <c r="C1658" s="424"/>
      <c r="D1658" s="424"/>
      <c r="E1658" s="424"/>
      <c r="F1658" s="424"/>
      <c r="G1658" s="424"/>
      <c r="H1658" s="424"/>
      <c r="I1658" s="424"/>
      <c r="J1658" s="424"/>
      <c r="K1658" s="424"/>
      <c r="L1658" s="424"/>
      <c r="M1658" s="424"/>
      <c r="N1658" s="424"/>
      <c r="O1658" s="424"/>
      <c r="P1658" s="424"/>
      <c r="Q1658" s="435" t="n">
        <v>71</v>
      </c>
      <c r="R1658" s="434" t="s">
        <v>625</v>
      </c>
      <c r="S1658" s="424"/>
      <c r="T1658" s="434" t="s">
        <v>626</v>
      </c>
      <c r="U1658" s="434" t="s">
        <v>627</v>
      </c>
      <c r="V1658" s="436" t="n">
        <f aca="false">AY1663</f>
        <v>0</v>
      </c>
      <c r="W1658" s="424"/>
      <c r="AC1658" s="427"/>
      <c r="AD1658" s="427"/>
      <c r="AE1658" s="427"/>
      <c r="AF1658" s="427"/>
      <c r="AG1658" s="427"/>
      <c r="AH1658" s="427"/>
      <c r="AI1658" s="427"/>
      <c r="AJ1658" s="427"/>
      <c r="AK1658" s="427"/>
      <c r="AL1658" s="427"/>
      <c r="AM1658" s="427"/>
      <c r="AN1658" s="427"/>
      <c r="AO1658" s="428"/>
      <c r="AP1658" s="427"/>
      <c r="AQ1658" s="427"/>
      <c r="AR1658" s="427"/>
      <c r="AS1658" s="427"/>
      <c r="AT1658" s="427"/>
      <c r="AU1658" s="427"/>
      <c r="AV1658" s="427"/>
      <c r="AW1658" s="427"/>
      <c r="AX1658" s="427"/>
      <c r="AY1658" s="427"/>
      <c r="BC1658" s="428"/>
      <c r="BD1658" s="429"/>
      <c r="BF1658" s="427"/>
      <c r="BG1658" s="437"/>
      <c r="BH1658" s="427"/>
      <c r="BJ1658" s="437"/>
      <c r="BK1658" s="437"/>
      <c r="BM1658" s="428"/>
      <c r="BN1658" s="439"/>
      <c r="BO1658" s="439"/>
      <c r="BP1658" s="427"/>
      <c r="BQ1658" s="427"/>
      <c r="BR1658" s="427"/>
      <c r="BS1658" s="431"/>
      <c r="BT1658" s="427"/>
      <c r="BU1658" s="427"/>
      <c r="BV1658" s="427"/>
      <c r="BW1658" s="427"/>
      <c r="BX1658" s="427"/>
      <c r="BY1658" s="427"/>
      <c r="BZ1658" s="427"/>
      <c r="CA1658" s="427"/>
      <c r="CB1658" s="427"/>
      <c r="CC1658" s="427"/>
      <c r="CD1658" s="427"/>
      <c r="CE1658" s="427"/>
      <c r="CF1658" s="427"/>
      <c r="CG1658" s="427"/>
      <c r="CH1658" s="427"/>
      <c r="CI1658" s="427"/>
    </row>
    <row r="1659" customFormat="false" ht="13.5" hidden="false" customHeight="false" outlineLevel="0" collapsed="false">
      <c r="A1659" s="424"/>
      <c r="B1659" s="424"/>
      <c r="C1659" s="424"/>
      <c r="D1659" s="424"/>
      <c r="E1659" s="424"/>
      <c r="F1659" s="424"/>
      <c r="G1659" s="424"/>
      <c r="H1659" s="424"/>
      <c r="I1659" s="424"/>
      <c r="J1659" s="424"/>
      <c r="K1659" s="424"/>
      <c r="L1659" s="424"/>
      <c r="M1659" s="424"/>
      <c r="N1659" s="424"/>
      <c r="O1659" s="424"/>
      <c r="P1659" s="424"/>
      <c r="Q1659" s="435" t="n">
        <v>72</v>
      </c>
      <c r="R1659" s="434" t="s">
        <v>628</v>
      </c>
      <c r="S1659" s="424"/>
      <c r="T1659" s="434" t="s">
        <v>629</v>
      </c>
      <c r="U1659" s="434" t="s">
        <v>630</v>
      </c>
      <c r="V1659" s="436" t="n">
        <f aca="false">AY1664</f>
        <v>0</v>
      </c>
      <c r="W1659" s="424"/>
      <c r="AC1659" s="427"/>
      <c r="AD1659" s="427"/>
      <c r="AE1659" s="427"/>
      <c r="AF1659" s="427"/>
      <c r="AG1659" s="427"/>
      <c r="AH1659" s="427"/>
      <c r="AI1659" s="427"/>
      <c r="AJ1659" s="427"/>
      <c r="AK1659" s="427"/>
      <c r="AL1659" s="427"/>
      <c r="AM1659" s="427"/>
      <c r="AN1659" s="427"/>
      <c r="AO1659" s="428"/>
      <c r="AP1659" s="427"/>
      <c r="AQ1659" s="427"/>
      <c r="AR1659" s="427"/>
      <c r="AS1659" s="427"/>
      <c r="AT1659" s="427"/>
      <c r="AU1659" s="427"/>
      <c r="AV1659" s="427"/>
      <c r="AW1659" s="427"/>
      <c r="AX1659" s="427"/>
      <c r="AY1659" s="427"/>
      <c r="BC1659" s="428"/>
      <c r="BD1659" s="429"/>
      <c r="BF1659" s="427"/>
      <c r="BG1659" s="437"/>
      <c r="BH1659" s="427"/>
      <c r="BJ1659" s="437"/>
      <c r="BK1659" s="437"/>
      <c r="BN1659" s="427"/>
      <c r="BO1659" s="439"/>
      <c r="BP1659" s="427"/>
      <c r="BQ1659" s="427"/>
      <c r="BR1659" s="427"/>
      <c r="BS1659" s="431"/>
      <c r="BT1659" s="427"/>
      <c r="BU1659" s="427"/>
      <c r="BV1659" s="427"/>
      <c r="BW1659" s="427"/>
      <c r="BX1659" s="427"/>
      <c r="BY1659" s="427"/>
      <c r="BZ1659" s="427"/>
      <c r="CA1659" s="427"/>
      <c r="CB1659" s="427"/>
      <c r="CC1659" s="427"/>
      <c r="CD1659" s="427"/>
      <c r="CE1659" s="427"/>
      <c r="CF1659" s="427"/>
      <c r="CG1659" s="427"/>
      <c r="CH1659" s="427"/>
      <c r="CI1659" s="427"/>
    </row>
    <row r="1660" customFormat="false" ht="13.5" hidden="false" customHeight="false" outlineLevel="0" collapsed="false">
      <c r="A1660" s="424"/>
      <c r="B1660" s="424"/>
      <c r="C1660" s="424"/>
      <c r="D1660" s="424"/>
      <c r="E1660" s="424"/>
      <c r="F1660" s="424"/>
      <c r="G1660" s="424"/>
      <c r="H1660" s="424"/>
      <c r="I1660" s="424"/>
      <c r="J1660" s="424"/>
      <c r="K1660" s="424"/>
      <c r="L1660" s="424"/>
      <c r="M1660" s="424"/>
      <c r="N1660" s="424"/>
      <c r="O1660" s="424"/>
      <c r="P1660" s="424"/>
      <c r="Q1660" s="435" t="n">
        <v>73</v>
      </c>
      <c r="R1660" s="434" t="s">
        <v>631</v>
      </c>
      <c r="S1660" s="424"/>
      <c r="T1660" s="434" t="s">
        <v>632</v>
      </c>
      <c r="U1660" s="434" t="s">
        <v>633</v>
      </c>
      <c r="V1660" s="436" t="n">
        <f aca="false">AY1665</f>
        <v>0</v>
      </c>
      <c r="W1660" s="424"/>
      <c r="AC1660" s="427"/>
      <c r="AD1660" s="427"/>
      <c r="AE1660" s="427"/>
      <c r="AF1660" s="427"/>
      <c r="AG1660" s="427"/>
      <c r="AH1660" s="427"/>
      <c r="AI1660" s="427"/>
      <c r="AJ1660" s="427"/>
      <c r="AK1660" s="427"/>
      <c r="AL1660" s="427"/>
      <c r="AM1660" s="427"/>
      <c r="AN1660" s="427"/>
      <c r="AO1660" s="428"/>
      <c r="AP1660" s="427"/>
      <c r="AQ1660" s="427"/>
      <c r="AR1660" s="427"/>
      <c r="AS1660" s="427"/>
      <c r="AT1660" s="427"/>
      <c r="AU1660" s="427"/>
      <c r="AV1660" s="427"/>
      <c r="AW1660" s="427"/>
      <c r="AX1660" s="427"/>
      <c r="AY1660" s="427"/>
      <c r="BC1660" s="428"/>
      <c r="BD1660" s="429"/>
      <c r="BF1660" s="427"/>
      <c r="BG1660" s="437"/>
      <c r="BH1660" s="427"/>
      <c r="BJ1660" s="437"/>
      <c r="BK1660" s="431"/>
      <c r="BM1660" s="427"/>
      <c r="BN1660" s="427"/>
      <c r="BO1660" s="439"/>
      <c r="BP1660" s="427"/>
      <c r="BQ1660" s="427"/>
      <c r="BR1660" s="427"/>
      <c r="BS1660" s="431"/>
      <c r="BT1660" s="427"/>
      <c r="BU1660" s="427"/>
      <c r="BV1660" s="427"/>
      <c r="BW1660" s="427"/>
      <c r="BX1660" s="427"/>
      <c r="BY1660" s="427"/>
      <c r="BZ1660" s="427"/>
      <c r="CA1660" s="427"/>
      <c r="CB1660" s="427"/>
      <c r="CC1660" s="427"/>
      <c r="CD1660" s="427"/>
      <c r="CE1660" s="427"/>
      <c r="CF1660" s="427"/>
      <c r="CG1660" s="427"/>
      <c r="CH1660" s="427"/>
      <c r="CI1660" s="427"/>
    </row>
    <row r="1661" customFormat="false" ht="13.5" hidden="false" customHeight="false" outlineLevel="0" collapsed="false">
      <c r="A1661" s="424"/>
      <c r="B1661" s="424"/>
      <c r="C1661" s="424"/>
      <c r="D1661" s="424"/>
      <c r="E1661" s="424"/>
      <c r="F1661" s="424"/>
      <c r="G1661" s="424"/>
      <c r="H1661" s="424"/>
      <c r="I1661" s="424"/>
      <c r="J1661" s="424"/>
      <c r="K1661" s="424"/>
      <c r="L1661" s="424"/>
      <c r="M1661" s="424"/>
      <c r="N1661" s="424"/>
      <c r="O1661" s="424"/>
      <c r="P1661" s="424"/>
      <c r="Q1661" s="435" t="n">
        <v>74</v>
      </c>
      <c r="R1661" s="434" t="s">
        <v>634</v>
      </c>
      <c r="S1661" s="424"/>
      <c r="T1661" s="434" t="s">
        <v>635</v>
      </c>
      <c r="U1661" s="434" t="s">
        <v>636</v>
      </c>
      <c r="V1661" s="436" t="n">
        <f aca="false">AY1666</f>
        <v>0</v>
      </c>
      <c r="W1661" s="424"/>
      <c r="AC1661" s="427"/>
      <c r="AD1661" s="427"/>
      <c r="AE1661" s="427"/>
      <c r="AF1661" s="427"/>
      <c r="AG1661" s="427"/>
      <c r="AH1661" s="427"/>
      <c r="AI1661" s="427"/>
      <c r="AJ1661" s="427"/>
      <c r="AK1661" s="427"/>
      <c r="AL1661" s="427"/>
      <c r="AM1661" s="427"/>
      <c r="AN1661" s="427"/>
      <c r="AO1661" s="428"/>
      <c r="AP1661" s="427"/>
      <c r="AQ1661" s="427"/>
      <c r="AR1661" s="427"/>
      <c r="AS1661" s="427"/>
      <c r="AT1661" s="427"/>
      <c r="AU1661" s="427"/>
      <c r="AV1661" s="427"/>
      <c r="AW1661" s="427"/>
      <c r="AX1661" s="427"/>
      <c r="AY1661" s="427"/>
      <c r="BC1661" s="428"/>
      <c r="BD1661" s="429"/>
      <c r="BF1661" s="427"/>
      <c r="BG1661" s="437"/>
      <c r="BH1661" s="427"/>
      <c r="BJ1661" s="437"/>
      <c r="BM1661" s="427"/>
      <c r="BN1661" s="427"/>
      <c r="BO1661" s="439"/>
      <c r="BP1661" s="427"/>
      <c r="BQ1661" s="427"/>
      <c r="BR1661" s="431"/>
      <c r="BS1661" s="431"/>
      <c r="BT1661" s="427"/>
      <c r="BU1661" s="427"/>
      <c r="BV1661" s="427"/>
      <c r="BW1661" s="427"/>
      <c r="BX1661" s="427"/>
      <c r="BY1661" s="427"/>
      <c r="BZ1661" s="427"/>
      <c r="CA1661" s="427"/>
      <c r="CB1661" s="427"/>
      <c r="CC1661" s="427"/>
      <c r="CD1661" s="427"/>
      <c r="CE1661" s="427"/>
      <c r="CF1661" s="427"/>
      <c r="CG1661" s="427"/>
      <c r="CH1661" s="427"/>
      <c r="CI1661" s="427"/>
    </row>
    <row r="1662" customFormat="false" ht="13.5" hidden="false" customHeight="false" outlineLevel="0" collapsed="false">
      <c r="A1662" s="424"/>
      <c r="B1662" s="424"/>
      <c r="C1662" s="424"/>
      <c r="D1662" s="424"/>
      <c r="E1662" s="424"/>
      <c r="F1662" s="424"/>
      <c r="G1662" s="424"/>
      <c r="H1662" s="424"/>
      <c r="I1662" s="424"/>
      <c r="J1662" s="424"/>
      <c r="K1662" s="424"/>
      <c r="L1662" s="424"/>
      <c r="M1662" s="424"/>
      <c r="N1662" s="424"/>
      <c r="O1662" s="424"/>
      <c r="P1662" s="424"/>
      <c r="Q1662" s="435" t="n">
        <v>75</v>
      </c>
      <c r="R1662" s="434" t="s">
        <v>637</v>
      </c>
      <c r="S1662" s="424"/>
      <c r="T1662" s="434" t="s">
        <v>638</v>
      </c>
      <c r="U1662" s="434" t="s">
        <v>639</v>
      </c>
      <c r="V1662" s="436" t="n">
        <f aca="false">AY1667</f>
        <v>0</v>
      </c>
      <c r="W1662" s="424"/>
      <c r="AC1662" s="427"/>
      <c r="AD1662" s="427"/>
      <c r="AE1662" s="427"/>
      <c r="AF1662" s="427"/>
      <c r="AG1662" s="427"/>
      <c r="AH1662" s="427"/>
      <c r="AI1662" s="427"/>
      <c r="AJ1662" s="427"/>
      <c r="AK1662" s="427"/>
      <c r="AL1662" s="427"/>
      <c r="AM1662" s="427"/>
      <c r="AN1662" s="427"/>
      <c r="AO1662" s="428"/>
      <c r="AP1662" s="427"/>
      <c r="AQ1662" s="427"/>
      <c r="AR1662" s="427"/>
      <c r="AS1662" s="427"/>
      <c r="AT1662" s="427"/>
      <c r="AU1662" s="427"/>
      <c r="AV1662" s="427"/>
      <c r="AW1662" s="427"/>
      <c r="AX1662" s="427"/>
      <c r="AY1662" s="427"/>
      <c r="BC1662" s="428"/>
      <c r="BD1662" s="429"/>
      <c r="BF1662" s="427"/>
      <c r="BG1662" s="437"/>
      <c r="BH1662" s="427"/>
      <c r="BJ1662" s="437"/>
      <c r="BK1662" s="426"/>
      <c r="BN1662" s="427"/>
      <c r="BO1662" s="439"/>
      <c r="BP1662" s="427"/>
      <c r="BQ1662" s="427"/>
      <c r="BR1662" s="427"/>
      <c r="BS1662" s="431"/>
      <c r="BT1662" s="427"/>
      <c r="BU1662" s="427"/>
      <c r="BV1662" s="427"/>
      <c r="BW1662" s="427"/>
      <c r="BX1662" s="427"/>
      <c r="BY1662" s="427"/>
      <c r="BZ1662" s="427"/>
      <c r="CA1662" s="427"/>
      <c r="CB1662" s="427"/>
      <c r="CC1662" s="427"/>
      <c r="CD1662" s="427"/>
      <c r="CE1662" s="427"/>
      <c r="CF1662" s="427"/>
      <c r="CG1662" s="427"/>
      <c r="CH1662" s="427"/>
      <c r="CI1662" s="427"/>
    </row>
    <row r="1663" customFormat="false" ht="13.5" hidden="false" customHeight="false" outlineLevel="0" collapsed="false">
      <c r="A1663" s="424"/>
      <c r="B1663" s="424"/>
      <c r="C1663" s="424"/>
      <c r="D1663" s="424"/>
      <c r="E1663" s="424"/>
      <c r="F1663" s="424"/>
      <c r="G1663" s="424"/>
      <c r="H1663" s="424"/>
      <c r="I1663" s="424"/>
      <c r="J1663" s="424"/>
      <c r="K1663" s="424"/>
      <c r="L1663" s="424"/>
      <c r="M1663" s="424"/>
      <c r="N1663" s="424"/>
      <c r="O1663" s="424"/>
      <c r="P1663" s="424"/>
      <c r="Q1663" s="435" t="n">
        <v>76</v>
      </c>
      <c r="R1663" s="434" t="s">
        <v>640</v>
      </c>
      <c r="S1663" s="424"/>
      <c r="T1663" s="434" t="s">
        <v>641</v>
      </c>
      <c r="U1663" s="434" t="s">
        <v>642</v>
      </c>
      <c r="V1663" s="436" t="n">
        <f aca="false">AY1668</f>
        <v>0</v>
      </c>
      <c r="W1663" s="424"/>
      <c r="AC1663" s="427"/>
      <c r="AD1663" s="427"/>
      <c r="AE1663" s="427"/>
      <c r="AF1663" s="427"/>
      <c r="AG1663" s="427"/>
      <c r="AH1663" s="427"/>
      <c r="AI1663" s="427"/>
      <c r="AJ1663" s="427"/>
      <c r="AK1663" s="427"/>
      <c r="AL1663" s="427"/>
      <c r="AM1663" s="427"/>
      <c r="AN1663" s="427"/>
      <c r="AO1663" s="428"/>
      <c r="AP1663" s="427"/>
      <c r="AQ1663" s="427"/>
      <c r="AR1663" s="427"/>
      <c r="AS1663" s="427"/>
      <c r="AT1663" s="427"/>
      <c r="AU1663" s="427"/>
      <c r="AV1663" s="427"/>
      <c r="AW1663" s="427"/>
      <c r="AX1663" s="427"/>
      <c r="AY1663" s="427"/>
      <c r="BC1663" s="428"/>
      <c r="BD1663" s="429"/>
      <c r="BF1663" s="427"/>
      <c r="BG1663" s="437"/>
      <c r="BH1663" s="427"/>
      <c r="BJ1663" s="437"/>
      <c r="BK1663" s="426"/>
      <c r="BN1663" s="427"/>
      <c r="BO1663" s="439"/>
      <c r="BP1663" s="427"/>
      <c r="BQ1663" s="427"/>
      <c r="BR1663" s="427"/>
      <c r="BS1663" s="431"/>
      <c r="BT1663" s="427"/>
      <c r="BU1663" s="427"/>
      <c r="BV1663" s="427"/>
      <c r="BW1663" s="427"/>
      <c r="BX1663" s="427"/>
      <c r="BY1663" s="427"/>
      <c r="BZ1663" s="427"/>
      <c r="CA1663" s="427"/>
      <c r="CB1663" s="427"/>
      <c r="CC1663" s="427"/>
      <c r="CD1663" s="427"/>
      <c r="CE1663" s="427"/>
      <c r="CF1663" s="427"/>
      <c r="CG1663" s="427"/>
      <c r="CH1663" s="427"/>
      <c r="CI1663" s="427"/>
    </row>
    <row r="1664" customFormat="false" ht="13.5" hidden="false" customHeight="false" outlineLevel="0" collapsed="false">
      <c r="A1664" s="424"/>
      <c r="B1664" s="424"/>
      <c r="C1664" s="424"/>
      <c r="D1664" s="424"/>
      <c r="E1664" s="424"/>
      <c r="F1664" s="424"/>
      <c r="G1664" s="424"/>
      <c r="H1664" s="424"/>
      <c r="I1664" s="424"/>
      <c r="J1664" s="424"/>
      <c r="K1664" s="424"/>
      <c r="L1664" s="424"/>
      <c r="M1664" s="424"/>
      <c r="N1664" s="424"/>
      <c r="O1664" s="424"/>
      <c r="P1664" s="424"/>
      <c r="Q1664" s="435" t="n">
        <v>77</v>
      </c>
      <c r="R1664" s="434" t="s">
        <v>643</v>
      </c>
      <c r="S1664" s="424"/>
      <c r="T1664" s="434" t="s">
        <v>644</v>
      </c>
      <c r="U1664" s="434" t="s">
        <v>645</v>
      </c>
      <c r="V1664" s="436" t="n">
        <f aca="false">AY1669</f>
        <v>0</v>
      </c>
      <c r="W1664" s="424"/>
      <c r="AC1664" s="427"/>
      <c r="AD1664" s="427"/>
      <c r="AE1664" s="427"/>
      <c r="AF1664" s="427"/>
      <c r="AG1664" s="427"/>
      <c r="AH1664" s="427"/>
      <c r="AI1664" s="427"/>
      <c r="AJ1664" s="427"/>
      <c r="AK1664" s="427"/>
      <c r="AL1664" s="427"/>
      <c r="AM1664" s="427"/>
      <c r="AN1664" s="427"/>
      <c r="AO1664" s="428"/>
      <c r="AP1664" s="427"/>
      <c r="AQ1664" s="427"/>
      <c r="AR1664" s="427"/>
      <c r="AS1664" s="427"/>
      <c r="AT1664" s="427"/>
      <c r="AU1664" s="427"/>
      <c r="AV1664" s="427"/>
      <c r="AW1664" s="427"/>
      <c r="AX1664" s="427"/>
      <c r="AY1664" s="427"/>
      <c r="BC1664" s="428"/>
      <c r="BD1664" s="429"/>
      <c r="BF1664" s="427"/>
      <c r="BG1664" s="437"/>
      <c r="BH1664" s="427"/>
      <c r="BJ1664" s="437"/>
      <c r="BN1664" s="427"/>
      <c r="BO1664" s="439"/>
      <c r="BP1664" s="427"/>
      <c r="BQ1664" s="427"/>
      <c r="BR1664" s="427"/>
      <c r="BS1664" s="431"/>
      <c r="BT1664" s="427"/>
      <c r="BU1664" s="427"/>
      <c r="BV1664" s="427"/>
      <c r="BW1664" s="427"/>
      <c r="BX1664" s="427"/>
      <c r="BY1664" s="427"/>
      <c r="BZ1664" s="427"/>
      <c r="CA1664" s="427"/>
      <c r="CB1664" s="427"/>
      <c r="CC1664" s="427"/>
      <c r="CD1664" s="427"/>
      <c r="CE1664" s="427"/>
      <c r="CF1664" s="427"/>
      <c r="CG1664" s="427"/>
      <c r="CH1664" s="427"/>
      <c r="CI1664" s="427"/>
    </row>
    <row r="1665" customFormat="false" ht="13.5" hidden="false" customHeight="false" outlineLevel="0" collapsed="false">
      <c r="A1665" s="424"/>
      <c r="B1665" s="424"/>
      <c r="C1665" s="424"/>
      <c r="D1665" s="424"/>
      <c r="E1665" s="424"/>
      <c r="F1665" s="424"/>
      <c r="G1665" s="424"/>
      <c r="H1665" s="424"/>
      <c r="I1665" s="424"/>
      <c r="J1665" s="424"/>
      <c r="K1665" s="424"/>
      <c r="L1665" s="424"/>
      <c r="M1665" s="424"/>
      <c r="N1665" s="424"/>
      <c r="O1665" s="424"/>
      <c r="P1665" s="424"/>
      <c r="Q1665" s="435" t="n">
        <v>78</v>
      </c>
      <c r="R1665" s="434" t="s">
        <v>646</v>
      </c>
      <c r="S1665" s="424"/>
      <c r="T1665" s="434" t="s">
        <v>647</v>
      </c>
      <c r="U1665" s="434" t="s">
        <v>648</v>
      </c>
      <c r="V1665" s="436" t="n">
        <f aca="false">AY1670</f>
        <v>0</v>
      </c>
      <c r="W1665" s="424"/>
      <c r="X1665" s="429"/>
      <c r="AC1665" s="427"/>
      <c r="AD1665" s="427"/>
      <c r="AE1665" s="427"/>
      <c r="AF1665" s="427"/>
      <c r="AG1665" s="427"/>
      <c r="AH1665" s="427"/>
      <c r="AI1665" s="427"/>
      <c r="AJ1665" s="427"/>
      <c r="AK1665" s="427"/>
      <c r="AL1665" s="427"/>
      <c r="AM1665" s="427"/>
      <c r="AN1665" s="427"/>
      <c r="AO1665" s="428"/>
      <c r="AP1665" s="427"/>
      <c r="AQ1665" s="427"/>
      <c r="AR1665" s="427"/>
      <c r="AS1665" s="427"/>
      <c r="AT1665" s="427"/>
      <c r="AU1665" s="427"/>
      <c r="AV1665" s="427"/>
      <c r="AW1665" s="427"/>
      <c r="AX1665" s="427"/>
      <c r="AY1665" s="427"/>
      <c r="BC1665" s="428"/>
      <c r="BD1665" s="429"/>
      <c r="BE1665" s="429"/>
      <c r="BF1665" s="427"/>
      <c r="BG1665" s="437"/>
      <c r="BH1665" s="427"/>
      <c r="BJ1665" s="437"/>
      <c r="BK1665" s="437"/>
      <c r="BL1665" s="427"/>
      <c r="BM1665" s="429"/>
      <c r="BN1665" s="427"/>
      <c r="BO1665" s="439"/>
      <c r="BP1665" s="427"/>
      <c r="BQ1665" s="427"/>
      <c r="BR1665" s="427"/>
      <c r="BS1665" s="431"/>
      <c r="BT1665" s="427"/>
      <c r="BU1665" s="427"/>
      <c r="BV1665" s="427"/>
      <c r="BW1665" s="427"/>
      <c r="BX1665" s="427"/>
      <c r="BY1665" s="427"/>
      <c r="BZ1665" s="427"/>
      <c r="CA1665" s="427"/>
      <c r="CB1665" s="427"/>
      <c r="CC1665" s="427"/>
      <c r="CD1665" s="427"/>
      <c r="CE1665" s="427"/>
      <c r="CF1665" s="427"/>
      <c r="CG1665" s="427"/>
      <c r="CH1665" s="427"/>
      <c r="CI1665" s="427"/>
    </row>
    <row r="1666" customFormat="false" ht="13.5" hidden="false" customHeight="false" outlineLevel="0" collapsed="false">
      <c r="A1666" s="424"/>
      <c r="B1666" s="424"/>
      <c r="C1666" s="424"/>
      <c r="D1666" s="424"/>
      <c r="E1666" s="424"/>
      <c r="F1666" s="424"/>
      <c r="G1666" s="424"/>
      <c r="H1666" s="424"/>
      <c r="I1666" s="424"/>
      <c r="J1666" s="424"/>
      <c r="K1666" s="424"/>
      <c r="L1666" s="424"/>
      <c r="M1666" s="424"/>
      <c r="N1666" s="424"/>
      <c r="O1666" s="424"/>
      <c r="P1666" s="424"/>
      <c r="Q1666" s="435" t="n">
        <v>79</v>
      </c>
      <c r="R1666" s="434" t="s">
        <v>649</v>
      </c>
      <c r="S1666" s="424"/>
      <c r="T1666" s="434" t="s">
        <v>650</v>
      </c>
      <c r="U1666" s="434" t="s">
        <v>651</v>
      </c>
      <c r="V1666" s="436" t="n">
        <f aca="false">AY1671</f>
        <v>0</v>
      </c>
      <c r="W1666" s="424"/>
      <c r="AC1666" s="427"/>
      <c r="AD1666" s="427"/>
      <c r="AE1666" s="427"/>
      <c r="AF1666" s="427"/>
      <c r="AG1666" s="427"/>
      <c r="AH1666" s="427"/>
      <c r="AI1666" s="427"/>
      <c r="AJ1666" s="427"/>
      <c r="AK1666" s="427"/>
      <c r="AL1666" s="427"/>
      <c r="AM1666" s="427"/>
      <c r="AN1666" s="427"/>
      <c r="AO1666" s="428"/>
      <c r="AP1666" s="427"/>
      <c r="AQ1666" s="427"/>
      <c r="AR1666" s="427"/>
      <c r="AS1666" s="427"/>
      <c r="AT1666" s="427"/>
      <c r="AU1666" s="427"/>
      <c r="AV1666" s="427"/>
      <c r="AW1666" s="427"/>
      <c r="AX1666" s="427"/>
      <c r="AY1666" s="427"/>
      <c r="BC1666" s="428"/>
      <c r="BD1666" s="429"/>
      <c r="BF1666" s="427"/>
      <c r="BG1666" s="437"/>
      <c r="BH1666" s="427"/>
      <c r="BJ1666" s="437"/>
      <c r="BK1666" s="437"/>
      <c r="BL1666" s="427"/>
      <c r="BM1666" s="429"/>
      <c r="BN1666" s="427"/>
      <c r="BO1666" s="439"/>
      <c r="BP1666" s="427"/>
      <c r="BQ1666" s="427"/>
      <c r="BR1666" s="427"/>
      <c r="BS1666" s="431"/>
      <c r="BT1666" s="427"/>
      <c r="BU1666" s="427"/>
      <c r="BV1666" s="427"/>
      <c r="BW1666" s="427"/>
      <c r="BX1666" s="427"/>
      <c r="BY1666" s="427"/>
      <c r="BZ1666" s="427"/>
      <c r="CA1666" s="427"/>
      <c r="CB1666" s="427"/>
      <c r="CC1666" s="427"/>
      <c r="CD1666" s="427"/>
      <c r="CE1666" s="427"/>
      <c r="CF1666" s="427"/>
      <c r="CG1666" s="427"/>
      <c r="CH1666" s="427"/>
      <c r="CI1666" s="427"/>
    </row>
    <row r="1667" customFormat="false" ht="13.5" hidden="false" customHeight="false" outlineLevel="0" collapsed="false">
      <c r="A1667" s="424"/>
      <c r="B1667" s="424"/>
      <c r="C1667" s="424"/>
      <c r="D1667" s="424"/>
      <c r="E1667" s="424"/>
      <c r="F1667" s="424"/>
      <c r="G1667" s="424"/>
      <c r="H1667" s="424"/>
      <c r="I1667" s="424"/>
      <c r="J1667" s="424"/>
      <c r="K1667" s="424"/>
      <c r="L1667" s="424"/>
      <c r="M1667" s="424"/>
      <c r="N1667" s="424"/>
      <c r="O1667" s="424"/>
      <c r="P1667" s="424"/>
      <c r="Q1667" s="435" t="n">
        <v>80</v>
      </c>
      <c r="R1667" s="434" t="s">
        <v>652</v>
      </c>
      <c r="S1667" s="424"/>
      <c r="T1667" s="434" t="s">
        <v>653</v>
      </c>
      <c r="U1667" s="434" t="s">
        <v>654</v>
      </c>
      <c r="V1667" s="436" t="n">
        <f aca="false">AY1672</f>
        <v>0</v>
      </c>
      <c r="W1667" s="424"/>
      <c r="AC1667" s="427"/>
      <c r="AD1667" s="427"/>
      <c r="AE1667" s="427"/>
      <c r="AF1667" s="427"/>
      <c r="AG1667" s="427"/>
      <c r="AH1667" s="427"/>
      <c r="AI1667" s="427"/>
      <c r="AJ1667" s="427"/>
      <c r="AK1667" s="427"/>
      <c r="AL1667" s="427"/>
      <c r="AM1667" s="427"/>
      <c r="AN1667" s="427"/>
      <c r="AO1667" s="428"/>
      <c r="AP1667" s="427"/>
      <c r="AQ1667" s="427"/>
      <c r="AR1667" s="427"/>
      <c r="AS1667" s="427"/>
      <c r="AT1667" s="427"/>
      <c r="AU1667" s="427"/>
      <c r="AV1667" s="427"/>
      <c r="AW1667" s="427"/>
      <c r="AX1667" s="427"/>
      <c r="AY1667" s="427"/>
      <c r="BC1667" s="428"/>
      <c r="BD1667" s="429"/>
      <c r="BF1667" s="427"/>
      <c r="BG1667" s="437"/>
      <c r="BH1667" s="427"/>
      <c r="BJ1667" s="437"/>
      <c r="BK1667" s="431"/>
      <c r="BN1667" s="427"/>
      <c r="BO1667" s="439"/>
      <c r="BP1667" s="427"/>
      <c r="BQ1667" s="427"/>
      <c r="BR1667" s="427"/>
      <c r="BS1667" s="431"/>
      <c r="BT1667" s="427"/>
      <c r="BU1667" s="427"/>
      <c r="BV1667" s="427"/>
      <c r="BW1667" s="427"/>
      <c r="BX1667" s="427"/>
      <c r="BY1667" s="427"/>
      <c r="BZ1667" s="427"/>
      <c r="CA1667" s="427"/>
      <c r="CB1667" s="427"/>
      <c r="CC1667" s="427"/>
      <c r="CD1667" s="427"/>
      <c r="CE1667" s="427"/>
      <c r="CF1667" s="427"/>
      <c r="CG1667" s="427"/>
      <c r="CH1667" s="427"/>
      <c r="CI1667" s="427"/>
    </row>
    <row r="1668" customFormat="false" ht="13.5" hidden="false" customHeight="false" outlineLevel="0" collapsed="false">
      <c r="A1668" s="424"/>
      <c r="B1668" s="424"/>
      <c r="C1668" s="424"/>
      <c r="D1668" s="424"/>
      <c r="E1668" s="424"/>
      <c r="F1668" s="424"/>
      <c r="G1668" s="424"/>
      <c r="H1668" s="424"/>
      <c r="I1668" s="424"/>
      <c r="J1668" s="424"/>
      <c r="K1668" s="424"/>
      <c r="L1668" s="424"/>
      <c r="M1668" s="424"/>
      <c r="N1668" s="424"/>
      <c r="O1668" s="424"/>
      <c r="P1668" s="424"/>
      <c r="Q1668" s="435" t="n">
        <v>81</v>
      </c>
      <c r="R1668" s="434" t="s">
        <v>655</v>
      </c>
      <c r="S1668" s="424"/>
      <c r="T1668" s="434" t="s">
        <v>656</v>
      </c>
      <c r="U1668" s="434" t="s">
        <v>657</v>
      </c>
      <c r="V1668" s="436" t="n">
        <f aca="false">AY1673</f>
        <v>0</v>
      </c>
      <c r="W1668" s="424"/>
      <c r="X1668" s="437"/>
      <c r="AC1668" s="427"/>
      <c r="AD1668" s="427"/>
      <c r="AE1668" s="427"/>
      <c r="AF1668" s="427"/>
      <c r="AG1668" s="427"/>
      <c r="AH1668" s="427"/>
      <c r="AI1668" s="427"/>
      <c r="AJ1668" s="427"/>
      <c r="AK1668" s="427"/>
      <c r="AL1668" s="427"/>
      <c r="AM1668" s="427"/>
      <c r="AN1668" s="427"/>
      <c r="AO1668" s="428"/>
      <c r="AP1668" s="427"/>
      <c r="AQ1668" s="427"/>
      <c r="AR1668" s="427"/>
      <c r="AS1668" s="427"/>
      <c r="AT1668" s="427"/>
      <c r="AU1668" s="427"/>
      <c r="AV1668" s="427"/>
      <c r="AW1668" s="427"/>
      <c r="AX1668" s="427"/>
      <c r="AY1668" s="427"/>
      <c r="BC1668" s="428"/>
      <c r="BD1668" s="429"/>
      <c r="BF1668" s="427"/>
      <c r="BG1668" s="437"/>
      <c r="BH1668" s="427"/>
      <c r="BJ1668" s="437"/>
      <c r="BK1668" s="431"/>
      <c r="BN1668" s="427"/>
      <c r="BO1668" s="439"/>
      <c r="BP1668" s="427"/>
      <c r="BQ1668" s="427"/>
      <c r="BR1668" s="427"/>
      <c r="BS1668" s="431"/>
      <c r="BT1668" s="427"/>
      <c r="BU1668" s="427"/>
      <c r="BV1668" s="427"/>
      <c r="BW1668" s="427"/>
      <c r="BX1668" s="427"/>
      <c r="BY1668" s="427"/>
      <c r="BZ1668" s="427"/>
      <c r="CA1668" s="427"/>
      <c r="CB1668" s="427"/>
      <c r="CC1668" s="427"/>
      <c r="CD1668" s="427"/>
      <c r="CE1668" s="427"/>
      <c r="CF1668" s="427"/>
      <c r="CG1668" s="427"/>
      <c r="CH1668" s="427"/>
      <c r="CI1668" s="427"/>
    </row>
    <row r="1669" customFormat="false" ht="13.5" hidden="false" customHeight="false" outlineLevel="0" collapsed="false">
      <c r="A1669" s="424"/>
      <c r="B1669" s="424"/>
      <c r="C1669" s="424"/>
      <c r="D1669" s="424"/>
      <c r="E1669" s="424"/>
      <c r="F1669" s="424"/>
      <c r="G1669" s="424"/>
      <c r="H1669" s="424"/>
      <c r="I1669" s="424"/>
      <c r="J1669" s="424"/>
      <c r="K1669" s="424"/>
      <c r="L1669" s="424"/>
      <c r="M1669" s="424"/>
      <c r="N1669" s="424"/>
      <c r="O1669" s="424"/>
      <c r="P1669" s="424"/>
      <c r="Q1669" s="435" t="n">
        <v>82</v>
      </c>
      <c r="R1669" s="434" t="s">
        <v>658</v>
      </c>
      <c r="S1669" s="424"/>
      <c r="T1669" s="434" t="s">
        <v>659</v>
      </c>
      <c r="U1669" s="434" t="s">
        <v>660</v>
      </c>
      <c r="V1669" s="436" t="n">
        <f aca="false">AY1674</f>
        <v>0</v>
      </c>
      <c r="W1669" s="424"/>
      <c r="AC1669" s="427"/>
      <c r="AD1669" s="427"/>
      <c r="AE1669" s="427"/>
      <c r="AF1669" s="427"/>
      <c r="AG1669" s="427"/>
      <c r="AH1669" s="427"/>
      <c r="AI1669" s="427"/>
      <c r="AJ1669" s="427"/>
      <c r="AK1669" s="427"/>
      <c r="AL1669" s="427"/>
      <c r="AM1669" s="427"/>
      <c r="AN1669" s="427"/>
      <c r="AO1669" s="428"/>
      <c r="AP1669" s="427"/>
      <c r="AQ1669" s="427"/>
      <c r="AR1669" s="427"/>
      <c r="AS1669" s="427"/>
      <c r="AT1669" s="427"/>
      <c r="AU1669" s="427"/>
      <c r="AV1669" s="427"/>
      <c r="AW1669" s="427"/>
      <c r="AX1669" s="427"/>
      <c r="AY1669" s="427"/>
      <c r="BC1669" s="428"/>
      <c r="BD1669" s="429"/>
      <c r="BF1669" s="427"/>
      <c r="BG1669" s="437"/>
      <c r="BH1669" s="427"/>
      <c r="BJ1669" s="437"/>
      <c r="BO1669" s="439"/>
      <c r="BP1669" s="427"/>
      <c r="BQ1669" s="427"/>
      <c r="BR1669" s="427"/>
      <c r="BS1669" s="431"/>
      <c r="BT1669" s="427"/>
      <c r="BU1669" s="427"/>
      <c r="BV1669" s="427"/>
      <c r="BW1669" s="427"/>
      <c r="BX1669" s="427"/>
      <c r="BY1669" s="427"/>
      <c r="BZ1669" s="427"/>
      <c r="CA1669" s="427"/>
      <c r="CB1669" s="427"/>
      <c r="CC1669" s="427"/>
      <c r="CD1669" s="427"/>
      <c r="CE1669" s="427"/>
      <c r="CF1669" s="427"/>
      <c r="CG1669" s="427"/>
      <c r="CH1669" s="427"/>
      <c r="CI1669" s="427"/>
    </row>
    <row r="1670" customFormat="false" ht="13.5" hidden="false" customHeight="false" outlineLevel="0" collapsed="false">
      <c r="A1670" s="424"/>
      <c r="B1670" s="424"/>
      <c r="C1670" s="424"/>
      <c r="D1670" s="424"/>
      <c r="E1670" s="424"/>
      <c r="F1670" s="424"/>
      <c r="G1670" s="424"/>
      <c r="H1670" s="424"/>
      <c r="I1670" s="424"/>
      <c r="J1670" s="424"/>
      <c r="K1670" s="424"/>
      <c r="L1670" s="424"/>
      <c r="M1670" s="424"/>
      <c r="N1670" s="424"/>
      <c r="O1670" s="424"/>
      <c r="P1670" s="424"/>
      <c r="Q1670" s="435" t="n">
        <v>83</v>
      </c>
      <c r="R1670" s="434" t="s">
        <v>661</v>
      </c>
      <c r="S1670" s="424"/>
      <c r="T1670" s="434" t="s">
        <v>662</v>
      </c>
      <c r="U1670" s="434" t="s">
        <v>663</v>
      </c>
      <c r="V1670" s="436" t="n">
        <f aca="false">AY1675</f>
        <v>0</v>
      </c>
      <c r="W1670" s="424"/>
      <c r="X1670" s="437"/>
      <c r="AC1670" s="427"/>
      <c r="AD1670" s="427"/>
      <c r="AE1670" s="427"/>
      <c r="AF1670" s="427"/>
      <c r="AG1670" s="427"/>
      <c r="AH1670" s="427"/>
      <c r="AI1670" s="427"/>
      <c r="AJ1670" s="427"/>
      <c r="AK1670" s="427"/>
      <c r="AL1670" s="427"/>
      <c r="AM1670" s="427"/>
      <c r="AN1670" s="427"/>
      <c r="AO1670" s="428"/>
      <c r="AP1670" s="427"/>
      <c r="AQ1670" s="427"/>
      <c r="AR1670" s="427"/>
      <c r="AS1670" s="427"/>
      <c r="AT1670" s="427"/>
      <c r="AU1670" s="427"/>
      <c r="AV1670" s="427"/>
      <c r="AW1670" s="427"/>
      <c r="AX1670" s="427"/>
      <c r="AY1670" s="427"/>
      <c r="BC1670" s="428"/>
      <c r="BD1670" s="429"/>
      <c r="BF1670" s="427"/>
      <c r="BG1670" s="437"/>
      <c r="BH1670" s="427"/>
      <c r="BJ1670" s="437"/>
      <c r="BO1670" s="439"/>
      <c r="BP1670" s="427"/>
      <c r="BQ1670" s="427"/>
      <c r="BR1670" s="427"/>
      <c r="BS1670" s="431"/>
      <c r="BT1670" s="427"/>
      <c r="BU1670" s="427"/>
      <c r="BV1670" s="427"/>
      <c r="BW1670" s="427"/>
      <c r="BX1670" s="427"/>
      <c r="BY1670" s="427"/>
      <c r="BZ1670" s="427"/>
      <c r="CA1670" s="427"/>
      <c r="CB1670" s="427"/>
      <c r="CC1670" s="427"/>
      <c r="CD1670" s="427"/>
      <c r="CE1670" s="427"/>
      <c r="CF1670" s="427"/>
      <c r="CG1670" s="427"/>
      <c r="CH1670" s="427"/>
      <c r="CI1670" s="427"/>
    </row>
    <row r="1671" customFormat="false" ht="13.5" hidden="false" customHeight="false" outlineLevel="0" collapsed="false">
      <c r="A1671" s="424"/>
      <c r="B1671" s="424"/>
      <c r="C1671" s="424"/>
      <c r="D1671" s="424"/>
      <c r="E1671" s="424"/>
      <c r="F1671" s="424"/>
      <c r="G1671" s="424"/>
      <c r="H1671" s="424"/>
      <c r="I1671" s="424"/>
      <c r="J1671" s="424"/>
      <c r="K1671" s="424"/>
      <c r="L1671" s="424"/>
      <c r="M1671" s="424"/>
      <c r="N1671" s="424"/>
      <c r="O1671" s="424"/>
      <c r="P1671" s="424"/>
      <c r="Q1671" s="435" t="n">
        <v>84</v>
      </c>
      <c r="R1671" s="434" t="s">
        <v>664</v>
      </c>
      <c r="S1671" s="424"/>
      <c r="T1671" s="434" t="s">
        <v>665</v>
      </c>
      <c r="U1671" s="434" t="s">
        <v>666</v>
      </c>
      <c r="V1671" s="436" t="n">
        <f aca="false">AY1676</f>
        <v>0</v>
      </c>
      <c r="W1671" s="424"/>
      <c r="AC1671" s="427"/>
      <c r="AD1671" s="427"/>
      <c r="AE1671" s="427"/>
      <c r="AF1671" s="427"/>
      <c r="AG1671" s="427"/>
      <c r="AH1671" s="427"/>
      <c r="AI1671" s="427"/>
      <c r="AJ1671" s="427"/>
      <c r="AK1671" s="427"/>
      <c r="AL1671" s="427"/>
      <c r="AM1671" s="427"/>
      <c r="AN1671" s="427"/>
      <c r="AO1671" s="428"/>
      <c r="AP1671" s="427"/>
      <c r="AQ1671" s="427"/>
      <c r="AR1671" s="427"/>
      <c r="AS1671" s="427"/>
      <c r="AT1671" s="427"/>
      <c r="AU1671" s="427"/>
      <c r="AV1671" s="427"/>
      <c r="AW1671" s="427"/>
      <c r="AX1671" s="427"/>
      <c r="AY1671" s="427"/>
      <c r="BC1671" s="428"/>
      <c r="BD1671" s="429"/>
      <c r="BF1671" s="427"/>
      <c r="BG1671" s="437"/>
      <c r="BH1671" s="427"/>
      <c r="BJ1671" s="437"/>
      <c r="BO1671" s="439"/>
      <c r="BP1671" s="427"/>
      <c r="BQ1671" s="427"/>
      <c r="BR1671" s="431"/>
      <c r="BS1671" s="431"/>
      <c r="BT1671" s="427"/>
      <c r="BU1671" s="427"/>
      <c r="BV1671" s="427"/>
      <c r="BW1671" s="427"/>
      <c r="BX1671" s="427"/>
      <c r="BY1671" s="427"/>
      <c r="BZ1671" s="427"/>
      <c r="CA1671" s="427"/>
      <c r="CB1671" s="427"/>
      <c r="CC1671" s="427"/>
      <c r="CD1671" s="427"/>
      <c r="CE1671" s="427"/>
      <c r="CF1671" s="427"/>
      <c r="CG1671" s="427"/>
      <c r="CH1671" s="427"/>
      <c r="CI1671" s="427"/>
    </row>
    <row r="1672" customFormat="false" ht="13.5" hidden="false" customHeight="false" outlineLevel="0" collapsed="false">
      <c r="A1672" s="424"/>
      <c r="B1672" s="424"/>
      <c r="C1672" s="424"/>
      <c r="D1672" s="424"/>
      <c r="E1672" s="424"/>
      <c r="F1672" s="424"/>
      <c r="G1672" s="424"/>
      <c r="H1672" s="424"/>
      <c r="I1672" s="424"/>
      <c r="J1672" s="424"/>
      <c r="K1672" s="424"/>
      <c r="L1672" s="424"/>
      <c r="M1672" s="424"/>
      <c r="N1672" s="424"/>
      <c r="O1672" s="424"/>
      <c r="P1672" s="424"/>
      <c r="Q1672" s="435" t="n">
        <v>85</v>
      </c>
      <c r="R1672" s="434" t="s">
        <v>667</v>
      </c>
      <c r="S1672" s="424"/>
      <c r="T1672" s="434" t="s">
        <v>668</v>
      </c>
      <c r="U1672" s="434" t="s">
        <v>669</v>
      </c>
      <c r="V1672" s="436" t="n">
        <f aca="false">AY1677</f>
        <v>0</v>
      </c>
      <c r="W1672" s="424"/>
      <c r="X1672" s="437"/>
      <c r="AC1672" s="427"/>
      <c r="AD1672" s="427"/>
      <c r="AE1672" s="427"/>
      <c r="AF1672" s="427"/>
      <c r="AG1672" s="427"/>
      <c r="AH1672" s="427"/>
      <c r="AI1672" s="427"/>
      <c r="AJ1672" s="427"/>
      <c r="AK1672" s="427"/>
      <c r="AL1672" s="427"/>
      <c r="AM1672" s="427"/>
      <c r="AN1672" s="427"/>
      <c r="AO1672" s="428"/>
      <c r="AP1672" s="427"/>
      <c r="AQ1672" s="427"/>
      <c r="AR1672" s="427"/>
      <c r="AS1672" s="427"/>
      <c r="AT1672" s="427"/>
      <c r="AU1672" s="427"/>
      <c r="AV1672" s="427"/>
      <c r="AW1672" s="427"/>
      <c r="AX1672" s="427"/>
      <c r="AY1672" s="427"/>
      <c r="BC1672" s="428"/>
      <c r="BD1672" s="429"/>
      <c r="BF1672" s="427"/>
      <c r="BG1672" s="437"/>
      <c r="BH1672" s="427"/>
      <c r="BJ1672" s="437"/>
      <c r="BO1672" s="439"/>
      <c r="BP1672" s="427"/>
      <c r="BQ1672" s="427"/>
      <c r="BR1672" s="427"/>
      <c r="BS1672" s="431"/>
      <c r="BT1672" s="427"/>
      <c r="BU1672" s="427"/>
      <c r="BV1672" s="427"/>
      <c r="BW1672" s="427"/>
      <c r="BX1672" s="427"/>
      <c r="BY1672" s="427"/>
      <c r="BZ1672" s="427"/>
      <c r="CA1672" s="427"/>
      <c r="CB1672" s="427"/>
      <c r="CC1672" s="427"/>
      <c r="CD1672" s="427"/>
      <c r="CE1672" s="427"/>
      <c r="CF1672" s="427"/>
      <c r="CG1672" s="439"/>
      <c r="CH1672" s="427"/>
      <c r="CI1672" s="427"/>
    </row>
    <row r="1673" customFormat="false" ht="13.5" hidden="false" customHeight="false" outlineLevel="0" collapsed="false">
      <c r="A1673" s="424"/>
      <c r="B1673" s="424"/>
      <c r="C1673" s="424"/>
      <c r="D1673" s="424"/>
      <c r="E1673" s="424"/>
      <c r="F1673" s="424"/>
      <c r="G1673" s="424"/>
      <c r="H1673" s="424"/>
      <c r="I1673" s="424"/>
      <c r="J1673" s="424"/>
      <c r="K1673" s="424"/>
      <c r="L1673" s="424"/>
      <c r="M1673" s="424"/>
      <c r="N1673" s="424"/>
      <c r="O1673" s="424"/>
      <c r="P1673" s="424"/>
      <c r="Q1673" s="435" t="n">
        <v>86</v>
      </c>
      <c r="R1673" s="434" t="s">
        <v>670</v>
      </c>
      <c r="S1673" s="424"/>
      <c r="T1673" s="434" t="s">
        <v>671</v>
      </c>
      <c r="U1673" s="434" t="s">
        <v>672</v>
      </c>
      <c r="V1673" s="436" t="n">
        <f aca="false">AY1678</f>
        <v>0</v>
      </c>
      <c r="W1673" s="424"/>
      <c r="X1673" s="437"/>
      <c r="AC1673" s="427"/>
      <c r="AD1673" s="427"/>
      <c r="AE1673" s="427"/>
      <c r="AF1673" s="427"/>
      <c r="AG1673" s="427"/>
      <c r="AH1673" s="427"/>
      <c r="AI1673" s="427"/>
      <c r="AJ1673" s="427"/>
      <c r="AK1673" s="427"/>
      <c r="AL1673" s="427"/>
      <c r="AM1673" s="427"/>
      <c r="AN1673" s="427"/>
      <c r="AO1673" s="428"/>
      <c r="AP1673" s="427"/>
      <c r="AQ1673" s="427"/>
      <c r="AR1673" s="427"/>
      <c r="AS1673" s="427"/>
      <c r="AT1673" s="427"/>
      <c r="AU1673" s="427"/>
      <c r="AV1673" s="427"/>
      <c r="AW1673" s="427"/>
      <c r="AX1673" s="427"/>
      <c r="AY1673" s="427"/>
      <c r="BC1673" s="428"/>
      <c r="BF1673" s="437"/>
      <c r="BG1673" s="427"/>
      <c r="BH1673" s="437"/>
      <c r="BI1673" s="427"/>
      <c r="BJ1673" s="427"/>
      <c r="BO1673" s="439"/>
      <c r="BP1673" s="427"/>
      <c r="BQ1673" s="427"/>
      <c r="BR1673" s="427"/>
      <c r="BS1673" s="431"/>
      <c r="BT1673" s="427"/>
      <c r="BU1673" s="427"/>
      <c r="BV1673" s="427"/>
      <c r="BW1673" s="427"/>
      <c r="BX1673" s="427"/>
      <c r="BY1673" s="427"/>
      <c r="BZ1673" s="427"/>
      <c r="CA1673" s="427"/>
      <c r="CB1673" s="427"/>
      <c r="CC1673" s="427"/>
      <c r="CD1673" s="427"/>
      <c r="CE1673" s="427"/>
      <c r="CF1673" s="427"/>
      <c r="CG1673" s="439"/>
      <c r="CH1673" s="427"/>
      <c r="CI1673" s="427"/>
    </row>
    <row r="1674" customFormat="false" ht="13.5" hidden="false" customHeight="false" outlineLevel="0" collapsed="false">
      <c r="A1674" s="424"/>
      <c r="B1674" s="424"/>
      <c r="C1674" s="424"/>
      <c r="D1674" s="424"/>
      <c r="E1674" s="424"/>
      <c r="F1674" s="424"/>
      <c r="G1674" s="424"/>
      <c r="H1674" s="424"/>
      <c r="I1674" s="424"/>
      <c r="J1674" s="424"/>
      <c r="K1674" s="424"/>
      <c r="L1674" s="424"/>
      <c r="M1674" s="424"/>
      <c r="N1674" s="424"/>
      <c r="O1674" s="424"/>
      <c r="P1674" s="424"/>
      <c r="Q1674" s="435" t="n">
        <v>87</v>
      </c>
      <c r="R1674" s="434" t="s">
        <v>673</v>
      </c>
      <c r="S1674" s="424"/>
      <c r="T1674" s="434" t="s">
        <v>674</v>
      </c>
      <c r="U1674" s="434" t="s">
        <v>675</v>
      </c>
      <c r="V1674" s="436" t="n">
        <f aca="false">AY1679</f>
        <v>0</v>
      </c>
      <c r="W1674" s="424"/>
      <c r="AC1674" s="427"/>
      <c r="AD1674" s="427"/>
      <c r="AE1674" s="427"/>
      <c r="AF1674" s="427"/>
      <c r="AG1674" s="427"/>
      <c r="AH1674" s="427"/>
      <c r="AI1674" s="427"/>
      <c r="AJ1674" s="427"/>
      <c r="AK1674" s="427"/>
      <c r="AL1674" s="427"/>
      <c r="AM1674" s="427"/>
      <c r="AN1674" s="427"/>
      <c r="AO1674" s="428"/>
      <c r="AP1674" s="427"/>
      <c r="AQ1674" s="427"/>
      <c r="AR1674" s="427"/>
      <c r="AS1674" s="427"/>
      <c r="AT1674" s="427"/>
      <c r="AU1674" s="427"/>
      <c r="AV1674" s="427"/>
      <c r="AW1674" s="427"/>
      <c r="AX1674" s="427"/>
      <c r="AY1674" s="427"/>
      <c r="BC1674" s="428"/>
      <c r="BF1674" s="437"/>
      <c r="BG1674" s="427"/>
      <c r="BH1674" s="437"/>
      <c r="BI1674" s="427"/>
      <c r="BJ1674" s="427"/>
      <c r="BO1674" s="439"/>
      <c r="BP1674" s="427"/>
      <c r="BQ1674" s="427"/>
      <c r="BR1674" s="427"/>
      <c r="BS1674" s="431"/>
      <c r="BT1674" s="427"/>
      <c r="BU1674" s="427"/>
      <c r="BV1674" s="427"/>
      <c r="BW1674" s="427"/>
      <c r="BX1674" s="427"/>
      <c r="BY1674" s="427"/>
      <c r="BZ1674" s="427"/>
      <c r="CA1674" s="427"/>
      <c r="CB1674" s="427"/>
      <c r="CC1674" s="427"/>
      <c r="CD1674" s="427"/>
      <c r="CE1674" s="427"/>
      <c r="CF1674" s="427"/>
      <c r="CG1674" s="439"/>
      <c r="CH1674" s="427"/>
      <c r="CI1674" s="427"/>
    </row>
    <row r="1675" customFormat="false" ht="13.5" hidden="false" customHeight="false" outlineLevel="0" collapsed="false">
      <c r="A1675" s="424"/>
      <c r="B1675" s="424"/>
      <c r="C1675" s="424"/>
      <c r="D1675" s="424"/>
      <c r="E1675" s="424"/>
      <c r="F1675" s="424"/>
      <c r="G1675" s="424"/>
      <c r="H1675" s="424"/>
      <c r="I1675" s="424"/>
      <c r="J1675" s="424"/>
      <c r="K1675" s="424"/>
      <c r="L1675" s="424"/>
      <c r="M1675" s="424"/>
      <c r="N1675" s="424"/>
      <c r="O1675" s="424"/>
      <c r="P1675" s="424"/>
      <c r="Q1675" s="435" t="n">
        <v>88</v>
      </c>
      <c r="R1675" s="434" t="s">
        <v>676</v>
      </c>
      <c r="S1675" s="424"/>
      <c r="T1675" s="434" t="s">
        <v>677</v>
      </c>
      <c r="U1675" s="434" t="s">
        <v>678</v>
      </c>
      <c r="V1675" s="436" t="n">
        <f aca="false">AY1680</f>
        <v>0</v>
      </c>
      <c r="W1675" s="424"/>
      <c r="AC1675" s="427"/>
      <c r="AD1675" s="427"/>
      <c r="AE1675" s="427"/>
      <c r="AF1675" s="427"/>
      <c r="AG1675" s="427"/>
      <c r="AH1675" s="427"/>
      <c r="AI1675" s="427"/>
      <c r="AJ1675" s="427"/>
      <c r="AK1675" s="427"/>
      <c r="AL1675" s="427"/>
      <c r="AM1675" s="427"/>
      <c r="AN1675" s="427"/>
      <c r="AO1675" s="428"/>
      <c r="AP1675" s="427"/>
      <c r="AQ1675" s="427"/>
      <c r="AR1675" s="427"/>
      <c r="AS1675" s="427"/>
      <c r="AT1675" s="427"/>
      <c r="AU1675" s="427"/>
      <c r="AV1675" s="427"/>
      <c r="AW1675" s="427"/>
      <c r="AX1675" s="427"/>
      <c r="AY1675" s="427"/>
      <c r="BC1675" s="428"/>
      <c r="BO1675" s="439"/>
      <c r="BP1675" s="427"/>
      <c r="BQ1675" s="427"/>
      <c r="BR1675" s="427"/>
      <c r="BS1675" s="431"/>
      <c r="BT1675" s="427"/>
      <c r="BU1675" s="427"/>
      <c r="BV1675" s="427"/>
      <c r="BW1675" s="427"/>
      <c r="BX1675" s="427"/>
      <c r="BY1675" s="427"/>
      <c r="BZ1675" s="427"/>
      <c r="CA1675" s="427"/>
      <c r="CB1675" s="427"/>
      <c r="CC1675" s="427"/>
      <c r="CD1675" s="427"/>
      <c r="CE1675" s="427"/>
      <c r="CF1675" s="427"/>
      <c r="CG1675" s="439"/>
      <c r="CH1675" s="427"/>
      <c r="CI1675" s="427"/>
    </row>
    <row r="1676" customFormat="false" ht="13.5" hidden="false" customHeight="false" outlineLevel="0" collapsed="false">
      <c r="A1676" s="424"/>
      <c r="B1676" s="424"/>
      <c r="C1676" s="424"/>
      <c r="D1676" s="424"/>
      <c r="E1676" s="424"/>
      <c r="F1676" s="424"/>
      <c r="G1676" s="424"/>
      <c r="H1676" s="424"/>
      <c r="I1676" s="424"/>
      <c r="J1676" s="424"/>
      <c r="K1676" s="424"/>
      <c r="L1676" s="424"/>
      <c r="M1676" s="424"/>
      <c r="N1676" s="424"/>
      <c r="O1676" s="424"/>
      <c r="P1676" s="424"/>
      <c r="Q1676" s="435" t="n">
        <v>89</v>
      </c>
      <c r="R1676" s="434" t="s">
        <v>679</v>
      </c>
      <c r="S1676" s="424"/>
      <c r="T1676" s="434" t="s">
        <v>680</v>
      </c>
      <c r="U1676" s="434" t="s">
        <v>681</v>
      </c>
      <c r="V1676" s="436" t="n">
        <f aca="false">AY1681</f>
        <v>0</v>
      </c>
      <c r="W1676" s="424"/>
      <c r="X1676" s="437"/>
      <c r="AC1676" s="427"/>
      <c r="AD1676" s="427"/>
      <c r="AE1676" s="427"/>
      <c r="AF1676" s="427"/>
      <c r="AG1676" s="427"/>
      <c r="AH1676" s="427"/>
      <c r="AI1676" s="427"/>
      <c r="AJ1676" s="427"/>
      <c r="AK1676" s="427"/>
      <c r="AL1676" s="427"/>
      <c r="AM1676" s="427"/>
      <c r="AN1676" s="427"/>
      <c r="AO1676" s="428"/>
      <c r="AP1676" s="427"/>
      <c r="AQ1676" s="427"/>
      <c r="AR1676" s="427"/>
      <c r="AS1676" s="427"/>
      <c r="AT1676" s="427"/>
      <c r="AU1676" s="427"/>
      <c r="AV1676" s="427"/>
      <c r="AW1676" s="427"/>
      <c r="AX1676" s="427"/>
      <c r="AY1676" s="427"/>
      <c r="BC1676" s="428"/>
      <c r="BJ1676" s="427"/>
      <c r="BO1676" s="439"/>
      <c r="BP1676" s="427"/>
      <c r="BQ1676" s="427"/>
      <c r="BR1676" s="427"/>
      <c r="BS1676" s="431"/>
      <c r="BT1676" s="427"/>
      <c r="BU1676" s="427"/>
      <c r="BV1676" s="427"/>
      <c r="BW1676" s="427"/>
      <c r="BX1676" s="427"/>
      <c r="BY1676" s="427"/>
      <c r="BZ1676" s="427"/>
      <c r="CA1676" s="427"/>
      <c r="CB1676" s="427"/>
      <c r="CC1676" s="427"/>
      <c r="CD1676" s="427"/>
      <c r="CE1676" s="427"/>
      <c r="CF1676" s="427"/>
      <c r="CG1676" s="439"/>
      <c r="CH1676" s="427"/>
      <c r="CI1676" s="427"/>
    </row>
    <row r="1677" customFormat="false" ht="13.5" hidden="false" customHeight="false" outlineLevel="0" collapsed="false">
      <c r="A1677" s="424"/>
      <c r="B1677" s="424"/>
      <c r="C1677" s="424"/>
      <c r="D1677" s="424"/>
      <c r="E1677" s="424"/>
      <c r="F1677" s="424"/>
      <c r="G1677" s="424"/>
      <c r="H1677" s="424"/>
      <c r="I1677" s="424"/>
      <c r="J1677" s="424"/>
      <c r="K1677" s="424"/>
      <c r="L1677" s="424"/>
      <c r="M1677" s="424"/>
      <c r="N1677" s="424"/>
      <c r="O1677" s="424"/>
      <c r="P1677" s="424"/>
      <c r="Q1677" s="435" t="n">
        <v>90</v>
      </c>
      <c r="R1677" s="434" t="s">
        <v>682</v>
      </c>
      <c r="S1677" s="424"/>
      <c r="T1677" s="434" t="s">
        <v>683</v>
      </c>
      <c r="U1677" s="434" t="s">
        <v>684</v>
      </c>
      <c r="V1677" s="436" t="n">
        <f aca="false">AY1682</f>
        <v>0</v>
      </c>
      <c r="W1677" s="424"/>
      <c r="X1677" s="437"/>
      <c r="AC1677" s="427"/>
      <c r="AD1677" s="427"/>
      <c r="AE1677" s="427"/>
      <c r="AF1677" s="427"/>
      <c r="AG1677" s="427"/>
      <c r="AH1677" s="427"/>
      <c r="AI1677" s="427"/>
      <c r="AJ1677" s="427"/>
      <c r="AK1677" s="427"/>
      <c r="AL1677" s="427"/>
      <c r="AM1677" s="427"/>
      <c r="AN1677" s="427"/>
      <c r="AO1677" s="428"/>
      <c r="AP1677" s="427"/>
      <c r="AQ1677" s="427"/>
      <c r="AR1677" s="427"/>
      <c r="AS1677" s="427"/>
      <c r="AT1677" s="427"/>
      <c r="AU1677" s="427"/>
      <c r="AV1677" s="427"/>
      <c r="AW1677" s="427"/>
      <c r="AX1677" s="427"/>
      <c r="AY1677" s="427"/>
      <c r="BC1677" s="428"/>
      <c r="BG1677" s="427"/>
      <c r="BH1677" s="437"/>
      <c r="BJ1677" s="427"/>
      <c r="BO1677" s="439"/>
      <c r="BP1677" s="427"/>
      <c r="BQ1677" s="427"/>
      <c r="BR1677" s="427"/>
      <c r="BS1677" s="431"/>
      <c r="BT1677" s="427"/>
      <c r="BU1677" s="427"/>
      <c r="BV1677" s="427"/>
      <c r="BW1677" s="427"/>
      <c r="BX1677" s="427"/>
      <c r="BY1677" s="427"/>
      <c r="BZ1677" s="427"/>
      <c r="CA1677" s="427"/>
      <c r="CB1677" s="427"/>
      <c r="CC1677" s="427"/>
      <c r="CD1677" s="427"/>
      <c r="CE1677" s="427"/>
      <c r="CF1677" s="427"/>
      <c r="CG1677" s="439"/>
      <c r="CH1677" s="427"/>
      <c r="CI1677" s="427"/>
    </row>
    <row r="1678" customFormat="false" ht="13.5" hidden="false" customHeight="false" outlineLevel="0" collapsed="false">
      <c r="A1678" s="424"/>
      <c r="B1678" s="424"/>
      <c r="C1678" s="424"/>
      <c r="D1678" s="424"/>
      <c r="E1678" s="424"/>
      <c r="F1678" s="424"/>
      <c r="G1678" s="424"/>
      <c r="H1678" s="424"/>
      <c r="I1678" s="424"/>
      <c r="J1678" s="424"/>
      <c r="K1678" s="424"/>
      <c r="L1678" s="424"/>
      <c r="M1678" s="424"/>
      <c r="N1678" s="424"/>
      <c r="O1678" s="424"/>
      <c r="P1678" s="424"/>
      <c r="Q1678" s="435" t="n">
        <v>91</v>
      </c>
      <c r="R1678" s="434" t="s">
        <v>685</v>
      </c>
      <c r="S1678" s="424"/>
      <c r="T1678" s="434" t="s">
        <v>686</v>
      </c>
      <c r="U1678" s="434" t="s">
        <v>687</v>
      </c>
      <c r="V1678" s="436" t="n">
        <f aca="false">AY1683</f>
        <v>0</v>
      </c>
      <c r="W1678" s="424"/>
      <c r="AC1678" s="427"/>
      <c r="AD1678" s="427"/>
      <c r="AE1678" s="427"/>
      <c r="AF1678" s="427"/>
      <c r="AG1678" s="427"/>
      <c r="AH1678" s="427"/>
      <c r="AI1678" s="427"/>
      <c r="AJ1678" s="427"/>
      <c r="AK1678" s="427"/>
      <c r="AL1678" s="427"/>
      <c r="AM1678" s="427"/>
      <c r="AN1678" s="427"/>
      <c r="AO1678" s="428"/>
      <c r="AP1678" s="427"/>
      <c r="AQ1678" s="427"/>
      <c r="AR1678" s="427"/>
      <c r="AS1678" s="427"/>
      <c r="AT1678" s="427"/>
      <c r="AU1678" s="427"/>
      <c r="AV1678" s="427"/>
      <c r="AW1678" s="427"/>
      <c r="AX1678" s="427"/>
      <c r="AY1678" s="427"/>
      <c r="BC1678" s="428"/>
      <c r="BG1678" s="427"/>
      <c r="BH1678" s="437"/>
      <c r="BJ1678" s="427"/>
      <c r="BO1678" s="439"/>
      <c r="BP1678" s="427"/>
      <c r="BQ1678" s="427"/>
      <c r="BR1678" s="427"/>
      <c r="BS1678" s="431"/>
      <c r="BT1678" s="427"/>
      <c r="BU1678" s="427"/>
      <c r="BV1678" s="427"/>
      <c r="BW1678" s="427"/>
      <c r="BX1678" s="427"/>
      <c r="BY1678" s="427"/>
      <c r="BZ1678" s="427"/>
      <c r="CA1678" s="427"/>
      <c r="CB1678" s="427"/>
      <c r="CC1678" s="427"/>
      <c r="CD1678" s="427"/>
      <c r="CE1678" s="427"/>
      <c r="CF1678" s="427"/>
      <c r="CG1678" s="439"/>
      <c r="CH1678" s="427"/>
      <c r="CI1678" s="427"/>
    </row>
    <row r="1679" customFormat="false" ht="13.5" hidden="false" customHeight="false" outlineLevel="0" collapsed="false">
      <c r="A1679" s="424"/>
      <c r="B1679" s="424"/>
      <c r="C1679" s="424"/>
      <c r="D1679" s="424"/>
      <c r="E1679" s="424"/>
      <c r="F1679" s="424"/>
      <c r="G1679" s="424"/>
      <c r="H1679" s="424"/>
      <c r="I1679" s="424"/>
      <c r="J1679" s="424"/>
      <c r="K1679" s="424"/>
      <c r="L1679" s="424"/>
      <c r="M1679" s="424"/>
      <c r="N1679" s="424"/>
      <c r="O1679" s="424"/>
      <c r="P1679" s="424"/>
      <c r="Q1679" s="435" t="n">
        <v>92</v>
      </c>
      <c r="R1679" s="434" t="s">
        <v>688</v>
      </c>
      <c r="S1679" s="424"/>
      <c r="T1679" s="434" t="s">
        <v>689</v>
      </c>
      <c r="U1679" s="434" t="s">
        <v>690</v>
      </c>
      <c r="V1679" s="436" t="n">
        <f aca="false">AY1684</f>
        <v>0</v>
      </c>
      <c r="W1679" s="424"/>
      <c r="X1679" s="437"/>
      <c r="AC1679" s="427"/>
      <c r="AD1679" s="427"/>
      <c r="AE1679" s="427"/>
      <c r="AF1679" s="427"/>
      <c r="AG1679" s="427"/>
      <c r="AH1679" s="427"/>
      <c r="AI1679" s="427"/>
      <c r="AJ1679" s="427"/>
      <c r="AK1679" s="427"/>
      <c r="AL1679" s="427"/>
      <c r="AM1679" s="427"/>
      <c r="AN1679" s="427"/>
      <c r="AO1679" s="428"/>
      <c r="AP1679" s="427"/>
      <c r="AQ1679" s="427"/>
      <c r="AR1679" s="427"/>
      <c r="AS1679" s="427"/>
      <c r="AT1679" s="427"/>
      <c r="AU1679" s="427"/>
      <c r="AV1679" s="427"/>
      <c r="AW1679" s="427"/>
      <c r="AX1679" s="427"/>
      <c r="AY1679" s="427"/>
      <c r="BC1679" s="428"/>
      <c r="BG1679" s="427"/>
      <c r="BH1679" s="437"/>
      <c r="BJ1679" s="427"/>
      <c r="BO1679" s="439"/>
      <c r="BP1679" s="427"/>
      <c r="BQ1679" s="427"/>
      <c r="BR1679" s="427"/>
      <c r="BS1679" s="431"/>
      <c r="BT1679" s="427"/>
      <c r="BU1679" s="427"/>
      <c r="BV1679" s="427"/>
      <c r="BW1679" s="427"/>
      <c r="BX1679" s="427"/>
      <c r="BY1679" s="427"/>
      <c r="BZ1679" s="427"/>
      <c r="CA1679" s="427"/>
      <c r="CB1679" s="427"/>
      <c r="CC1679" s="427"/>
      <c r="CD1679" s="427"/>
      <c r="CE1679" s="427"/>
      <c r="CF1679" s="427"/>
      <c r="CG1679" s="439"/>
      <c r="CH1679" s="427"/>
      <c r="CI1679" s="427"/>
    </row>
    <row r="1680" customFormat="false" ht="13.5" hidden="false" customHeight="false" outlineLevel="0" collapsed="false">
      <c r="A1680" s="424"/>
      <c r="B1680" s="424"/>
      <c r="C1680" s="424"/>
      <c r="D1680" s="424"/>
      <c r="E1680" s="424"/>
      <c r="F1680" s="424"/>
      <c r="G1680" s="424"/>
      <c r="H1680" s="424"/>
      <c r="I1680" s="424"/>
      <c r="J1680" s="424"/>
      <c r="K1680" s="424"/>
      <c r="L1680" s="424"/>
      <c r="M1680" s="424"/>
      <c r="N1680" s="424"/>
      <c r="O1680" s="424"/>
      <c r="P1680" s="424"/>
      <c r="Q1680" s="435" t="n">
        <v>93</v>
      </c>
      <c r="R1680" s="434" t="s">
        <v>691</v>
      </c>
      <c r="S1680" s="424"/>
      <c r="T1680" s="434" t="s">
        <v>692</v>
      </c>
      <c r="U1680" s="434" t="s">
        <v>693</v>
      </c>
      <c r="V1680" s="436" t="n">
        <f aca="false">AY1685</f>
        <v>0</v>
      </c>
      <c r="W1680" s="424"/>
      <c r="AC1680" s="427"/>
      <c r="AD1680" s="427"/>
      <c r="AE1680" s="427"/>
      <c r="AF1680" s="427"/>
      <c r="AG1680" s="427"/>
      <c r="AH1680" s="427"/>
      <c r="AI1680" s="427"/>
      <c r="AJ1680" s="427"/>
      <c r="AK1680" s="427"/>
      <c r="AL1680" s="427"/>
      <c r="AM1680" s="427"/>
      <c r="AN1680" s="427"/>
      <c r="AO1680" s="428"/>
      <c r="AP1680" s="427"/>
      <c r="AQ1680" s="427"/>
      <c r="AR1680" s="427"/>
      <c r="AS1680" s="427"/>
      <c r="AT1680" s="427"/>
      <c r="AU1680" s="427"/>
      <c r="AV1680" s="427"/>
      <c r="AW1680" s="427"/>
      <c r="AX1680" s="427"/>
      <c r="AY1680" s="427"/>
      <c r="BC1680" s="428"/>
      <c r="BG1680" s="427"/>
      <c r="BH1680" s="437"/>
      <c r="BN1680" s="427"/>
      <c r="BO1680" s="439"/>
      <c r="BP1680" s="427"/>
      <c r="BQ1680" s="427"/>
      <c r="BR1680" s="427"/>
      <c r="BS1680" s="431"/>
      <c r="BT1680" s="427"/>
      <c r="BU1680" s="427"/>
      <c r="BV1680" s="427"/>
      <c r="BW1680" s="427"/>
      <c r="BX1680" s="427"/>
      <c r="BY1680" s="427"/>
      <c r="BZ1680" s="427"/>
      <c r="CA1680" s="427"/>
      <c r="CB1680" s="427"/>
      <c r="CC1680" s="427"/>
      <c r="CD1680" s="427"/>
      <c r="CE1680" s="427"/>
      <c r="CF1680" s="427"/>
      <c r="CG1680" s="439"/>
      <c r="CH1680" s="427"/>
      <c r="CI1680" s="427"/>
    </row>
    <row r="1681" customFormat="false" ht="13.5" hidden="false" customHeight="false" outlineLevel="0" collapsed="false">
      <c r="A1681" s="424"/>
      <c r="B1681" s="424"/>
      <c r="C1681" s="424"/>
      <c r="D1681" s="424"/>
      <c r="E1681" s="424"/>
      <c r="F1681" s="424"/>
      <c r="G1681" s="424"/>
      <c r="H1681" s="424"/>
      <c r="I1681" s="424"/>
      <c r="J1681" s="424"/>
      <c r="K1681" s="424"/>
      <c r="L1681" s="424"/>
      <c r="M1681" s="424"/>
      <c r="N1681" s="424"/>
      <c r="O1681" s="424"/>
      <c r="P1681" s="424"/>
      <c r="Q1681" s="435" t="n">
        <v>94</v>
      </c>
      <c r="R1681" s="434" t="s">
        <v>694</v>
      </c>
      <c r="S1681" s="424"/>
      <c r="T1681" s="434" t="s">
        <v>695</v>
      </c>
      <c r="U1681" s="434" t="s">
        <v>696</v>
      </c>
      <c r="V1681" s="436" t="n">
        <f aca="false">AY1686</f>
        <v>0</v>
      </c>
      <c r="W1681" s="424"/>
      <c r="AC1681" s="427"/>
      <c r="AD1681" s="427"/>
      <c r="AE1681" s="427"/>
      <c r="AF1681" s="427"/>
      <c r="AG1681" s="427"/>
      <c r="AH1681" s="427"/>
      <c r="AI1681" s="427"/>
      <c r="AJ1681" s="427"/>
      <c r="AK1681" s="427"/>
      <c r="AL1681" s="427"/>
      <c r="AM1681" s="427"/>
      <c r="AN1681" s="427"/>
      <c r="AO1681" s="428"/>
      <c r="AP1681" s="427"/>
      <c r="AQ1681" s="427"/>
      <c r="AR1681" s="427"/>
      <c r="AS1681" s="427"/>
      <c r="AT1681" s="427"/>
      <c r="AU1681" s="427"/>
      <c r="AV1681" s="427"/>
      <c r="AW1681" s="427"/>
      <c r="AX1681" s="427"/>
      <c r="AY1681" s="427"/>
      <c r="BC1681" s="428"/>
      <c r="BJ1681" s="437"/>
      <c r="BO1681" s="439"/>
      <c r="BP1681" s="427"/>
      <c r="BQ1681" s="427"/>
      <c r="BR1681" s="431"/>
      <c r="BS1681" s="431"/>
      <c r="BT1681" s="427"/>
      <c r="BU1681" s="427"/>
      <c r="BV1681" s="427"/>
      <c r="BW1681" s="427"/>
      <c r="BX1681" s="427"/>
      <c r="BY1681" s="427"/>
      <c r="BZ1681" s="427"/>
      <c r="CA1681" s="427"/>
      <c r="CB1681" s="427"/>
      <c r="CC1681" s="427"/>
      <c r="CD1681" s="427"/>
      <c r="CE1681" s="427"/>
      <c r="CF1681" s="427"/>
      <c r="CG1681" s="439"/>
      <c r="CH1681" s="427"/>
      <c r="CI1681" s="427"/>
    </row>
    <row r="1682" customFormat="false" ht="13.5" hidden="false" customHeight="false" outlineLevel="0" collapsed="false">
      <c r="A1682" s="424"/>
      <c r="B1682" s="424"/>
      <c r="C1682" s="424"/>
      <c r="D1682" s="424"/>
      <c r="E1682" s="424"/>
      <c r="F1682" s="424"/>
      <c r="G1682" s="424"/>
      <c r="H1682" s="424"/>
      <c r="I1682" s="424"/>
      <c r="J1682" s="424"/>
      <c r="K1682" s="424"/>
      <c r="L1682" s="424"/>
      <c r="M1682" s="424"/>
      <c r="N1682" s="424"/>
      <c r="O1682" s="424"/>
      <c r="P1682" s="424"/>
      <c r="Q1682" s="435" t="n">
        <v>95</v>
      </c>
      <c r="R1682" s="434" t="s">
        <v>697</v>
      </c>
      <c r="S1682" s="424"/>
      <c r="T1682" s="434" t="s">
        <v>698</v>
      </c>
      <c r="U1682" s="434" t="s">
        <v>699</v>
      </c>
      <c r="V1682" s="436" t="n">
        <f aca="false">AY1687</f>
        <v>0</v>
      </c>
      <c r="W1682" s="424"/>
      <c r="X1682" s="437"/>
      <c r="AC1682" s="427"/>
      <c r="AD1682" s="427"/>
      <c r="AE1682" s="427"/>
      <c r="AF1682" s="427"/>
      <c r="AG1682" s="427"/>
      <c r="AH1682" s="427"/>
      <c r="AI1682" s="427"/>
      <c r="AJ1682" s="427"/>
      <c r="AK1682" s="427"/>
      <c r="AL1682" s="427"/>
      <c r="AM1682" s="427"/>
      <c r="AN1682" s="427"/>
      <c r="AP1682" s="427"/>
      <c r="AQ1682" s="427"/>
      <c r="AR1682" s="427"/>
      <c r="AS1682" s="427"/>
      <c r="AT1682" s="427"/>
      <c r="AU1682" s="427"/>
      <c r="AV1682" s="427"/>
      <c r="AW1682" s="427"/>
      <c r="AX1682" s="427"/>
      <c r="AY1682" s="427"/>
      <c r="BC1682" s="428"/>
      <c r="BO1682" s="439"/>
      <c r="BP1682" s="427"/>
      <c r="BQ1682" s="427"/>
      <c r="BR1682" s="427"/>
      <c r="BS1682" s="431"/>
      <c r="BT1682" s="427"/>
      <c r="BU1682" s="427"/>
      <c r="BV1682" s="427"/>
      <c r="BW1682" s="427"/>
      <c r="BX1682" s="427"/>
      <c r="BY1682" s="427"/>
      <c r="BZ1682" s="427"/>
      <c r="CA1682" s="427"/>
      <c r="CB1682" s="427"/>
      <c r="CC1682" s="427"/>
      <c r="CD1682" s="427"/>
      <c r="CE1682" s="427"/>
      <c r="CF1682" s="427"/>
      <c r="CG1682" s="439"/>
      <c r="CH1682" s="427"/>
      <c r="CI1682" s="427"/>
    </row>
    <row r="1683" customFormat="false" ht="13.5" hidden="false" customHeight="false" outlineLevel="0" collapsed="false">
      <c r="A1683" s="424"/>
      <c r="B1683" s="424"/>
      <c r="C1683" s="424"/>
      <c r="D1683" s="424"/>
      <c r="E1683" s="424"/>
      <c r="F1683" s="424"/>
      <c r="G1683" s="424"/>
      <c r="H1683" s="424"/>
      <c r="I1683" s="424"/>
      <c r="J1683" s="424"/>
      <c r="K1683" s="424"/>
      <c r="L1683" s="424"/>
      <c r="M1683" s="424"/>
      <c r="N1683" s="424"/>
      <c r="O1683" s="424"/>
      <c r="P1683" s="424"/>
      <c r="Q1683" s="435" t="n">
        <v>96</v>
      </c>
      <c r="R1683" s="434" t="s">
        <v>700</v>
      </c>
      <c r="S1683" s="424"/>
      <c r="T1683" s="434" t="s">
        <v>701</v>
      </c>
      <c r="U1683" s="434" t="s">
        <v>702</v>
      </c>
      <c r="V1683" s="436" t="n">
        <f aca="false">AY1688</f>
        <v>0</v>
      </c>
      <c r="W1683" s="424"/>
      <c r="X1683" s="437"/>
      <c r="AC1683" s="427"/>
      <c r="AD1683" s="427"/>
      <c r="AE1683" s="427"/>
      <c r="AF1683" s="427"/>
      <c r="AG1683" s="427"/>
      <c r="AH1683" s="427"/>
      <c r="AI1683" s="427"/>
      <c r="AJ1683" s="427"/>
      <c r="AK1683" s="427"/>
      <c r="AL1683" s="427"/>
      <c r="AM1683" s="427"/>
      <c r="AN1683" s="427"/>
      <c r="AP1683" s="427"/>
      <c r="AQ1683" s="427"/>
      <c r="AR1683" s="427"/>
      <c r="AS1683" s="427"/>
      <c r="AT1683" s="427"/>
      <c r="AU1683" s="427"/>
      <c r="AV1683" s="427"/>
      <c r="AW1683" s="427"/>
      <c r="AX1683" s="427"/>
      <c r="AY1683" s="427"/>
      <c r="BC1683" s="428"/>
      <c r="BJ1683" s="427"/>
      <c r="BO1683" s="439"/>
      <c r="BP1683" s="427"/>
      <c r="BQ1683" s="427"/>
      <c r="BR1683" s="427"/>
      <c r="BS1683" s="431"/>
      <c r="BT1683" s="427"/>
      <c r="BU1683" s="427"/>
      <c r="BV1683" s="427"/>
      <c r="BW1683" s="427"/>
      <c r="BX1683" s="427"/>
      <c r="BY1683" s="427"/>
      <c r="BZ1683" s="427"/>
      <c r="CA1683" s="427"/>
      <c r="CB1683" s="427"/>
      <c r="CC1683" s="427"/>
      <c r="CD1683" s="427"/>
      <c r="CE1683" s="427"/>
      <c r="CF1683" s="427"/>
      <c r="CG1683" s="439"/>
      <c r="CH1683" s="427"/>
      <c r="CI1683" s="427"/>
    </row>
    <row r="1684" customFormat="false" ht="13.5" hidden="false" customHeight="false" outlineLevel="0" collapsed="false">
      <c r="A1684" s="424"/>
      <c r="B1684" s="424"/>
      <c r="C1684" s="424"/>
      <c r="D1684" s="424"/>
      <c r="E1684" s="424"/>
      <c r="F1684" s="424"/>
      <c r="G1684" s="424"/>
      <c r="H1684" s="424"/>
      <c r="I1684" s="424"/>
      <c r="J1684" s="424"/>
      <c r="K1684" s="424"/>
      <c r="L1684" s="424"/>
      <c r="M1684" s="424"/>
      <c r="N1684" s="424"/>
      <c r="O1684" s="424"/>
      <c r="P1684" s="424"/>
      <c r="Q1684" s="435" t="n">
        <v>97</v>
      </c>
      <c r="R1684" s="434" t="s">
        <v>703</v>
      </c>
      <c r="S1684" s="424"/>
      <c r="T1684" s="434" t="s">
        <v>704</v>
      </c>
      <c r="U1684" s="434" t="s">
        <v>705</v>
      </c>
      <c r="V1684" s="436" t="n">
        <f aca="false">AY1689</f>
        <v>0</v>
      </c>
      <c r="W1684" s="424"/>
      <c r="AC1684" s="427"/>
      <c r="AD1684" s="427"/>
      <c r="AE1684" s="427"/>
      <c r="AF1684" s="427"/>
      <c r="AG1684" s="427"/>
      <c r="AH1684" s="427"/>
      <c r="AI1684" s="427"/>
      <c r="AJ1684" s="427"/>
      <c r="AK1684" s="427"/>
      <c r="AL1684" s="427"/>
      <c r="AM1684" s="427"/>
      <c r="AN1684" s="427"/>
      <c r="AP1684" s="427"/>
      <c r="AQ1684" s="427"/>
      <c r="AR1684" s="427"/>
      <c r="AS1684" s="427"/>
      <c r="AT1684" s="427"/>
      <c r="AU1684" s="427"/>
      <c r="AV1684" s="427"/>
      <c r="AW1684" s="427"/>
      <c r="AX1684" s="427"/>
      <c r="AY1684" s="427"/>
      <c r="BC1684" s="428"/>
      <c r="BO1684" s="439"/>
      <c r="BP1684" s="427"/>
      <c r="BQ1684" s="427"/>
      <c r="BR1684" s="427"/>
      <c r="BS1684" s="431"/>
      <c r="BT1684" s="427"/>
      <c r="BU1684" s="427"/>
      <c r="BV1684" s="427"/>
      <c r="BW1684" s="427"/>
      <c r="BX1684" s="427"/>
      <c r="BY1684" s="427"/>
      <c r="BZ1684" s="427"/>
      <c r="CA1684" s="427"/>
      <c r="CB1684" s="427"/>
      <c r="CC1684" s="427"/>
      <c r="CD1684" s="427"/>
      <c r="CE1684" s="427"/>
      <c r="CF1684" s="427"/>
      <c r="CG1684" s="439"/>
      <c r="CH1684" s="427"/>
      <c r="CI1684" s="427"/>
    </row>
    <row r="1685" customFormat="false" ht="13.5" hidden="false" customHeight="false" outlineLevel="0" collapsed="false">
      <c r="A1685" s="424"/>
      <c r="B1685" s="424"/>
      <c r="C1685" s="424"/>
      <c r="D1685" s="424"/>
      <c r="E1685" s="424"/>
      <c r="F1685" s="424"/>
      <c r="G1685" s="424"/>
      <c r="H1685" s="424"/>
      <c r="I1685" s="424"/>
      <c r="J1685" s="424"/>
      <c r="K1685" s="424"/>
      <c r="L1685" s="424"/>
      <c r="M1685" s="424"/>
      <c r="N1685" s="424"/>
      <c r="O1685" s="424"/>
      <c r="P1685" s="424"/>
      <c r="Q1685" s="435" t="n">
        <v>98</v>
      </c>
      <c r="R1685" s="434" t="s">
        <v>706</v>
      </c>
      <c r="S1685" s="424"/>
      <c r="T1685" s="434" t="s">
        <v>707</v>
      </c>
      <c r="U1685" s="434" t="s">
        <v>708</v>
      </c>
      <c r="V1685" s="436" t="n">
        <f aca="false">AY1690</f>
        <v>0</v>
      </c>
      <c r="W1685" s="424"/>
      <c r="X1685" s="437"/>
      <c r="AC1685" s="427"/>
      <c r="AD1685" s="427"/>
      <c r="AE1685" s="427"/>
      <c r="AF1685" s="427"/>
      <c r="AG1685" s="427"/>
      <c r="AH1685" s="427"/>
      <c r="AI1685" s="427"/>
      <c r="AJ1685" s="427"/>
      <c r="AK1685" s="427"/>
      <c r="AL1685" s="427"/>
      <c r="AM1685" s="427"/>
      <c r="AN1685" s="427"/>
      <c r="AP1685" s="427"/>
      <c r="AQ1685" s="427"/>
      <c r="AR1685" s="427"/>
      <c r="AS1685" s="427"/>
      <c r="AT1685" s="427"/>
      <c r="AU1685" s="427"/>
      <c r="AV1685" s="427"/>
      <c r="AW1685" s="427"/>
      <c r="AX1685" s="427"/>
      <c r="AY1685" s="427"/>
      <c r="BC1685" s="428"/>
      <c r="BO1685" s="439"/>
      <c r="BP1685" s="427"/>
      <c r="BQ1685" s="427"/>
      <c r="BR1685" s="427"/>
      <c r="BS1685" s="431"/>
      <c r="BT1685" s="427"/>
      <c r="BU1685" s="427"/>
      <c r="BV1685" s="427"/>
      <c r="BW1685" s="427"/>
      <c r="BX1685" s="427"/>
      <c r="BY1685" s="427"/>
      <c r="BZ1685" s="427"/>
      <c r="CA1685" s="427"/>
      <c r="CB1685" s="427"/>
      <c r="CC1685" s="427"/>
      <c r="CD1685" s="427"/>
      <c r="CE1685" s="427"/>
      <c r="CF1685" s="427"/>
      <c r="CG1685" s="439"/>
      <c r="CH1685" s="427"/>
      <c r="CI1685" s="427"/>
    </row>
    <row r="1686" customFormat="false" ht="13.5" hidden="false" customHeight="false" outlineLevel="0" collapsed="false">
      <c r="A1686" s="424"/>
      <c r="B1686" s="424"/>
      <c r="C1686" s="424"/>
      <c r="D1686" s="424"/>
      <c r="E1686" s="424"/>
      <c r="F1686" s="424"/>
      <c r="G1686" s="424"/>
      <c r="H1686" s="424"/>
      <c r="I1686" s="424"/>
      <c r="J1686" s="424"/>
      <c r="K1686" s="424"/>
      <c r="L1686" s="424"/>
      <c r="M1686" s="424"/>
      <c r="N1686" s="424"/>
      <c r="O1686" s="424"/>
      <c r="P1686" s="424"/>
      <c r="Q1686" s="435" t="n">
        <v>99</v>
      </c>
      <c r="R1686" s="434" t="s">
        <v>709</v>
      </c>
      <c r="S1686" s="424"/>
      <c r="T1686" s="434" t="s">
        <v>710</v>
      </c>
      <c r="U1686" s="434" t="s">
        <v>711</v>
      </c>
      <c r="V1686" s="436" t="n">
        <f aca="false">AY1691</f>
        <v>0</v>
      </c>
      <c r="W1686" s="424"/>
      <c r="AC1686" s="427"/>
      <c r="AD1686" s="427"/>
      <c r="AE1686" s="427"/>
      <c r="AF1686" s="427"/>
      <c r="AG1686" s="427"/>
      <c r="AH1686" s="427"/>
      <c r="AI1686" s="427"/>
      <c r="AJ1686" s="427"/>
      <c r="AK1686" s="427"/>
      <c r="AL1686" s="427"/>
      <c r="AM1686" s="427"/>
      <c r="AN1686" s="427"/>
      <c r="AP1686" s="427"/>
      <c r="AQ1686" s="427"/>
      <c r="AR1686" s="427"/>
      <c r="AS1686" s="427"/>
      <c r="AT1686" s="427"/>
      <c r="AU1686" s="427"/>
      <c r="AV1686" s="427"/>
      <c r="AW1686" s="427"/>
      <c r="AX1686" s="427"/>
      <c r="AY1686" s="427"/>
      <c r="BC1686" s="428"/>
      <c r="BO1686" s="439"/>
      <c r="BP1686" s="427"/>
      <c r="BQ1686" s="427"/>
      <c r="BR1686" s="427"/>
      <c r="BS1686" s="431"/>
      <c r="BT1686" s="427"/>
      <c r="BU1686" s="427"/>
      <c r="BV1686" s="427"/>
      <c r="BW1686" s="427"/>
      <c r="BX1686" s="427"/>
      <c r="BY1686" s="427"/>
      <c r="BZ1686" s="427"/>
      <c r="CA1686" s="427"/>
      <c r="CB1686" s="427"/>
      <c r="CC1686" s="427"/>
      <c r="CD1686" s="427"/>
      <c r="CE1686" s="427"/>
      <c r="CF1686" s="427"/>
      <c r="CG1686" s="439"/>
      <c r="CH1686" s="427"/>
      <c r="CI1686" s="427"/>
    </row>
    <row r="1687" customFormat="false" ht="13.5" hidden="false" customHeight="false" outlineLevel="0" collapsed="false">
      <c r="A1687" s="424"/>
      <c r="B1687" s="424"/>
      <c r="C1687" s="424"/>
      <c r="D1687" s="424"/>
      <c r="E1687" s="424"/>
      <c r="F1687" s="424"/>
      <c r="G1687" s="424"/>
      <c r="H1687" s="424"/>
      <c r="I1687" s="424"/>
      <c r="J1687" s="424"/>
      <c r="K1687" s="424"/>
      <c r="L1687" s="424"/>
      <c r="M1687" s="424"/>
      <c r="N1687" s="424"/>
      <c r="O1687" s="424"/>
      <c r="P1687" s="424"/>
      <c r="Q1687" s="424"/>
      <c r="R1687" s="424"/>
      <c r="S1687" s="424"/>
      <c r="T1687" s="424"/>
      <c r="U1687" s="424"/>
      <c r="V1687" s="436" t="n">
        <f aca="false">AY1692</f>
        <v>0</v>
      </c>
      <c r="W1687" s="424"/>
      <c r="X1687" s="437"/>
      <c r="AC1687" s="427"/>
      <c r="AD1687" s="427"/>
      <c r="AE1687" s="427"/>
      <c r="AF1687" s="427"/>
      <c r="AG1687" s="427"/>
      <c r="AH1687" s="427"/>
      <c r="AI1687" s="427"/>
      <c r="AJ1687" s="427"/>
      <c r="AK1687" s="427"/>
      <c r="AL1687" s="427"/>
      <c r="AM1687" s="427"/>
      <c r="AN1687" s="427"/>
      <c r="AP1687" s="427"/>
      <c r="AQ1687" s="427"/>
      <c r="AR1687" s="427"/>
      <c r="AS1687" s="427"/>
      <c r="AT1687" s="427"/>
      <c r="AU1687" s="427"/>
      <c r="AV1687" s="427"/>
      <c r="AW1687" s="427"/>
      <c r="AX1687" s="427"/>
      <c r="AY1687" s="427"/>
      <c r="BC1687" s="428"/>
      <c r="BN1687" s="427"/>
      <c r="BO1687" s="439"/>
      <c r="BP1687" s="427"/>
      <c r="BQ1687" s="427"/>
      <c r="BR1687" s="427"/>
      <c r="BS1687" s="431"/>
      <c r="BT1687" s="427"/>
      <c r="BU1687" s="427"/>
      <c r="BV1687" s="427"/>
      <c r="BW1687" s="427"/>
      <c r="BX1687" s="427"/>
      <c r="BY1687" s="427"/>
      <c r="BZ1687" s="427"/>
      <c r="CA1687" s="427"/>
      <c r="CB1687" s="427"/>
      <c r="CC1687" s="427"/>
      <c r="CD1687" s="427"/>
      <c r="CE1687" s="427"/>
      <c r="CF1687" s="427"/>
      <c r="CG1687" s="439"/>
      <c r="CH1687" s="427"/>
      <c r="CI1687" s="427"/>
    </row>
    <row r="1688" customFormat="false" ht="13.5" hidden="false" customHeight="false" outlineLevel="0" collapsed="false">
      <c r="A1688" s="424"/>
      <c r="B1688" s="424"/>
      <c r="C1688" s="424"/>
      <c r="D1688" s="424"/>
      <c r="E1688" s="424"/>
      <c r="F1688" s="424"/>
      <c r="G1688" s="424"/>
      <c r="H1688" s="424"/>
      <c r="I1688" s="424"/>
      <c r="J1688" s="424"/>
      <c r="K1688" s="424"/>
      <c r="L1688" s="424"/>
      <c r="M1688" s="424"/>
      <c r="N1688" s="424"/>
      <c r="O1688" s="424"/>
      <c r="P1688" s="424"/>
      <c r="Q1688" s="424"/>
      <c r="R1688" s="424"/>
      <c r="S1688" s="424"/>
      <c r="T1688" s="424"/>
      <c r="U1688" s="424"/>
      <c r="V1688" s="436" t="n">
        <f aca="false">AY1693</f>
        <v>0</v>
      </c>
      <c r="W1688" s="424"/>
      <c r="AC1688" s="427"/>
      <c r="AD1688" s="427"/>
      <c r="AE1688" s="427"/>
      <c r="AG1688" s="427"/>
      <c r="AH1688" s="427"/>
      <c r="AI1688" s="427"/>
      <c r="AJ1688" s="427"/>
      <c r="AK1688" s="427"/>
      <c r="AL1688" s="427"/>
      <c r="AM1688" s="427"/>
      <c r="AN1688" s="427"/>
      <c r="AP1688" s="427"/>
      <c r="AQ1688" s="427"/>
      <c r="AR1688" s="427"/>
      <c r="AS1688" s="427"/>
      <c r="AT1688" s="427"/>
      <c r="AU1688" s="427"/>
      <c r="AV1688" s="427"/>
      <c r="AW1688" s="427"/>
      <c r="AX1688" s="427"/>
      <c r="AY1688" s="427"/>
      <c r="BC1688" s="428"/>
      <c r="BN1688" s="427"/>
      <c r="BO1688" s="439"/>
      <c r="BP1688" s="427"/>
      <c r="BQ1688" s="427"/>
      <c r="BR1688" s="427"/>
      <c r="BS1688" s="431"/>
      <c r="BT1688" s="427"/>
      <c r="BU1688" s="427"/>
      <c r="BV1688" s="427"/>
      <c r="BW1688" s="427"/>
      <c r="BX1688" s="427"/>
      <c r="BY1688" s="427"/>
      <c r="BZ1688" s="427"/>
      <c r="CA1688" s="427"/>
      <c r="CB1688" s="427"/>
      <c r="CC1688" s="427"/>
      <c r="CD1688" s="427"/>
      <c r="CE1688" s="427"/>
      <c r="CF1688" s="427"/>
      <c r="CG1688" s="439"/>
      <c r="CH1688" s="427"/>
      <c r="CI1688" s="427"/>
    </row>
    <row r="1689" customFormat="false" ht="13.5" hidden="false" customHeight="false" outlineLevel="0" collapsed="false">
      <c r="A1689" s="424"/>
      <c r="B1689" s="424"/>
      <c r="C1689" s="424"/>
      <c r="D1689" s="424"/>
      <c r="E1689" s="424"/>
      <c r="F1689" s="424"/>
      <c r="G1689" s="424"/>
      <c r="H1689" s="424"/>
      <c r="I1689" s="424"/>
      <c r="J1689" s="424"/>
      <c r="K1689" s="424"/>
      <c r="L1689" s="424"/>
      <c r="M1689" s="424"/>
      <c r="N1689" s="424"/>
      <c r="O1689" s="424"/>
      <c r="P1689" s="424"/>
      <c r="Q1689" s="424"/>
      <c r="R1689" s="424"/>
      <c r="S1689" s="424"/>
      <c r="T1689" s="424"/>
      <c r="U1689" s="424"/>
      <c r="V1689" s="436" t="n">
        <f aca="false">AY1694</f>
        <v>0</v>
      </c>
      <c r="W1689" s="424"/>
      <c r="X1689" s="437"/>
      <c r="AC1689" s="427"/>
      <c r="AD1689" s="427"/>
      <c r="AE1689" s="427"/>
      <c r="AG1689" s="427"/>
      <c r="AH1689" s="427"/>
      <c r="AI1689" s="427"/>
      <c r="AJ1689" s="427"/>
      <c r="AK1689" s="427"/>
      <c r="AL1689" s="427"/>
      <c r="AM1689" s="427"/>
      <c r="AN1689" s="427"/>
      <c r="AP1689" s="427"/>
      <c r="AQ1689" s="427"/>
      <c r="AR1689" s="427"/>
      <c r="AS1689" s="427"/>
      <c r="AT1689" s="427"/>
      <c r="AU1689" s="427"/>
      <c r="AV1689" s="427"/>
      <c r="AW1689" s="427"/>
      <c r="AX1689" s="427"/>
      <c r="AY1689" s="427"/>
      <c r="BC1689" s="428"/>
      <c r="BN1689" s="427"/>
      <c r="BO1689" s="439"/>
      <c r="BP1689" s="427"/>
      <c r="BQ1689" s="427"/>
      <c r="BR1689" s="427"/>
      <c r="BS1689" s="431"/>
      <c r="BT1689" s="427"/>
      <c r="BU1689" s="427"/>
      <c r="BV1689" s="427"/>
      <c r="BW1689" s="427"/>
      <c r="BX1689" s="427"/>
      <c r="BY1689" s="427"/>
      <c r="BZ1689" s="427"/>
      <c r="CA1689" s="427"/>
      <c r="CB1689" s="427"/>
      <c r="CC1689" s="427"/>
      <c r="CD1689" s="427"/>
      <c r="CE1689" s="427"/>
      <c r="CF1689" s="427"/>
      <c r="CG1689" s="439"/>
      <c r="CH1689" s="427"/>
      <c r="CI1689" s="427"/>
    </row>
    <row r="1690" customFormat="false" ht="13.5" hidden="false" customHeight="false" outlineLevel="0" collapsed="false">
      <c r="A1690" s="424"/>
      <c r="B1690" s="424"/>
      <c r="C1690" s="424"/>
      <c r="D1690" s="424"/>
      <c r="E1690" s="424"/>
      <c r="F1690" s="424"/>
      <c r="G1690" s="424"/>
      <c r="H1690" s="424"/>
      <c r="I1690" s="424"/>
      <c r="J1690" s="424"/>
      <c r="K1690" s="424"/>
      <c r="L1690" s="424"/>
      <c r="M1690" s="424"/>
      <c r="N1690" s="424"/>
      <c r="O1690" s="424"/>
      <c r="P1690" s="424"/>
      <c r="Q1690" s="424"/>
      <c r="R1690" s="424"/>
      <c r="S1690" s="424"/>
      <c r="T1690" s="424"/>
      <c r="U1690" s="424"/>
      <c r="V1690" s="436" t="n">
        <f aca="false">AY1695</f>
        <v>0</v>
      </c>
      <c r="W1690" s="424"/>
      <c r="AC1690" s="427"/>
      <c r="AD1690" s="427"/>
      <c r="AE1690" s="427"/>
      <c r="AG1690" s="427"/>
      <c r="AH1690" s="427"/>
      <c r="AI1690" s="427"/>
      <c r="AJ1690" s="427"/>
      <c r="AK1690" s="427"/>
      <c r="AL1690" s="427"/>
      <c r="AM1690" s="427"/>
      <c r="AN1690" s="427"/>
      <c r="AP1690" s="427"/>
      <c r="AQ1690" s="427"/>
      <c r="AR1690" s="427"/>
      <c r="AS1690" s="427"/>
      <c r="AT1690" s="427"/>
      <c r="AU1690" s="427"/>
      <c r="AV1690" s="427"/>
      <c r="AW1690" s="427"/>
      <c r="AX1690" s="427"/>
      <c r="AY1690" s="427"/>
      <c r="BC1690" s="428"/>
      <c r="BN1690" s="427"/>
      <c r="BO1690" s="439"/>
      <c r="BP1690" s="427"/>
      <c r="BQ1690" s="427"/>
      <c r="BR1690" s="427"/>
      <c r="BS1690" s="431"/>
      <c r="BT1690" s="427"/>
      <c r="BU1690" s="427"/>
      <c r="BV1690" s="427"/>
      <c r="BW1690" s="427"/>
      <c r="BX1690" s="427"/>
      <c r="BY1690" s="427"/>
      <c r="BZ1690" s="427"/>
      <c r="CA1690" s="427"/>
      <c r="CB1690" s="427"/>
      <c r="CC1690" s="427"/>
      <c r="CD1690" s="427"/>
      <c r="CE1690" s="427"/>
      <c r="CF1690" s="427"/>
      <c r="CG1690" s="439"/>
      <c r="CH1690" s="427"/>
      <c r="CI1690" s="427"/>
    </row>
    <row r="1691" customFormat="false" ht="13.5" hidden="false" customHeight="false" outlineLevel="0" collapsed="false">
      <c r="A1691" s="424"/>
      <c r="B1691" s="424"/>
      <c r="C1691" s="424"/>
      <c r="D1691" s="424"/>
      <c r="E1691" s="424"/>
      <c r="F1691" s="424"/>
      <c r="G1691" s="424"/>
      <c r="H1691" s="424"/>
      <c r="I1691" s="424"/>
      <c r="J1691" s="424"/>
      <c r="K1691" s="424"/>
      <c r="L1691" s="424"/>
      <c r="M1691" s="424"/>
      <c r="N1691" s="424"/>
      <c r="O1691" s="424"/>
      <c r="P1691" s="424"/>
      <c r="Q1691" s="424"/>
      <c r="R1691" s="424"/>
      <c r="S1691" s="424"/>
      <c r="T1691" s="424"/>
      <c r="U1691" s="424"/>
      <c r="V1691" s="436" t="n">
        <f aca="false">AY1696</f>
        <v>0</v>
      </c>
      <c r="W1691" s="424"/>
      <c r="X1691" s="437"/>
      <c r="AC1691" s="427"/>
      <c r="AD1691" s="427"/>
      <c r="AE1691" s="427"/>
      <c r="AG1691" s="427"/>
      <c r="AH1691" s="427"/>
      <c r="AI1691" s="427"/>
      <c r="AJ1691" s="427"/>
      <c r="AK1691" s="427"/>
      <c r="AL1691" s="427"/>
      <c r="AM1691" s="427"/>
      <c r="AN1691" s="427"/>
      <c r="AP1691" s="427"/>
      <c r="AQ1691" s="427"/>
      <c r="AR1691" s="427"/>
      <c r="AS1691" s="427"/>
      <c r="AT1691" s="427"/>
      <c r="AU1691" s="427"/>
      <c r="AV1691" s="427"/>
      <c r="AW1691" s="427"/>
      <c r="AX1691" s="427"/>
      <c r="AY1691" s="427"/>
      <c r="BC1691" s="428"/>
      <c r="BN1691" s="427"/>
      <c r="BO1691" s="428"/>
      <c r="BQ1691" s="429"/>
      <c r="BR1691" s="426"/>
      <c r="BS1691" s="426"/>
      <c r="CG1691" s="428"/>
    </row>
    <row r="1692" customFormat="false" ht="13.5" hidden="false" customHeight="false" outlineLevel="0" collapsed="false">
      <c r="A1692" s="424"/>
      <c r="B1692" s="424"/>
      <c r="C1692" s="424"/>
      <c r="D1692" s="424"/>
      <c r="E1692" s="424"/>
      <c r="F1692" s="424"/>
      <c r="G1692" s="424"/>
      <c r="H1692" s="424"/>
      <c r="I1692" s="424"/>
      <c r="J1692" s="424"/>
      <c r="K1692" s="424"/>
      <c r="L1692" s="424"/>
      <c r="M1692" s="424"/>
      <c r="N1692" s="424"/>
      <c r="O1692" s="424"/>
      <c r="P1692" s="424"/>
      <c r="Q1692" s="424"/>
      <c r="R1692" s="424"/>
      <c r="S1692" s="424"/>
      <c r="T1692" s="424"/>
      <c r="U1692" s="424"/>
      <c r="V1692" s="436" t="n">
        <f aca="false">AY1697</f>
        <v>0</v>
      </c>
      <c r="W1692" s="424"/>
      <c r="X1692" s="437"/>
      <c r="AC1692" s="427"/>
      <c r="AD1692" s="427"/>
      <c r="AE1692" s="427"/>
      <c r="AG1692" s="427"/>
      <c r="AH1692" s="427"/>
      <c r="AI1692" s="427"/>
      <c r="AJ1692" s="427"/>
      <c r="AK1692" s="427"/>
      <c r="AL1692" s="427"/>
      <c r="AM1692" s="427"/>
      <c r="AN1692" s="427"/>
      <c r="AP1692" s="427"/>
      <c r="AQ1692" s="427"/>
      <c r="AR1692" s="427"/>
      <c r="AS1692" s="427"/>
      <c r="AT1692" s="427"/>
      <c r="AU1692" s="427"/>
      <c r="AV1692" s="427"/>
      <c r="AW1692" s="427"/>
      <c r="AX1692" s="427"/>
      <c r="AY1692" s="427"/>
      <c r="BC1692" s="428"/>
      <c r="BN1692" s="427"/>
      <c r="BO1692" s="428"/>
      <c r="BQ1692" s="429"/>
      <c r="BR1692" s="429"/>
      <c r="BS1692" s="426"/>
      <c r="CG1692" s="428"/>
    </row>
    <row r="1693" customFormat="false" ht="13.5" hidden="false" customHeight="false" outlineLevel="0" collapsed="false">
      <c r="A1693" s="424"/>
      <c r="B1693" s="424"/>
      <c r="C1693" s="424"/>
      <c r="D1693" s="424"/>
      <c r="E1693" s="424"/>
      <c r="F1693" s="424"/>
      <c r="G1693" s="424"/>
      <c r="H1693" s="424"/>
      <c r="I1693" s="424"/>
      <c r="J1693" s="424"/>
      <c r="K1693" s="424"/>
      <c r="L1693" s="424"/>
      <c r="M1693" s="424"/>
      <c r="N1693" s="424"/>
      <c r="O1693" s="424"/>
      <c r="P1693" s="424"/>
      <c r="Q1693" s="424"/>
      <c r="R1693" s="424"/>
      <c r="S1693" s="424"/>
      <c r="T1693" s="424"/>
      <c r="U1693" s="424"/>
      <c r="V1693" s="436" t="n">
        <f aca="false">AY1698</f>
        <v>0</v>
      </c>
      <c r="W1693" s="424"/>
      <c r="AC1693" s="427"/>
      <c r="AD1693" s="427"/>
      <c r="AE1693" s="427"/>
      <c r="AG1693" s="427"/>
      <c r="AH1693" s="427"/>
      <c r="AI1693" s="427"/>
      <c r="AJ1693" s="427"/>
      <c r="AK1693" s="427"/>
      <c r="AL1693" s="427"/>
      <c r="AM1693" s="427"/>
      <c r="AN1693" s="427"/>
      <c r="AP1693" s="427"/>
      <c r="AQ1693" s="427"/>
      <c r="AR1693" s="427"/>
      <c r="AS1693" s="427"/>
      <c r="AT1693" s="427"/>
      <c r="AU1693" s="427"/>
      <c r="AV1693" s="427"/>
      <c r="AW1693" s="427"/>
      <c r="AX1693" s="427"/>
      <c r="AY1693" s="427"/>
      <c r="BC1693" s="428"/>
      <c r="BN1693" s="427"/>
      <c r="BO1693" s="428"/>
      <c r="BQ1693" s="429"/>
      <c r="BR1693" s="429"/>
      <c r="BS1693" s="426"/>
    </row>
    <row r="1694" customFormat="false" ht="13.5" hidden="false" customHeight="false" outlineLevel="0" collapsed="false">
      <c r="A1694" s="424"/>
      <c r="B1694" s="424"/>
      <c r="C1694" s="424"/>
      <c r="D1694" s="424"/>
      <c r="E1694" s="424"/>
      <c r="F1694" s="424"/>
      <c r="G1694" s="424"/>
      <c r="H1694" s="424"/>
      <c r="I1694" s="424"/>
      <c r="J1694" s="424"/>
      <c r="K1694" s="424"/>
      <c r="L1694" s="424"/>
      <c r="M1694" s="424"/>
      <c r="N1694" s="424"/>
      <c r="O1694" s="424"/>
      <c r="P1694" s="424"/>
      <c r="Q1694" s="424"/>
      <c r="R1694" s="424"/>
      <c r="S1694" s="424"/>
      <c r="T1694" s="424"/>
      <c r="U1694" s="424"/>
      <c r="V1694" s="436" t="n">
        <f aca="false">AY1699</f>
        <v>0</v>
      </c>
      <c r="W1694" s="424"/>
      <c r="AC1694" s="427"/>
      <c r="AD1694" s="427"/>
      <c r="AE1694" s="427"/>
      <c r="AG1694" s="427"/>
      <c r="AH1694" s="427"/>
      <c r="AI1694" s="427"/>
      <c r="AJ1694" s="427"/>
      <c r="AK1694" s="427"/>
      <c r="AL1694" s="427"/>
      <c r="AM1694" s="427"/>
      <c r="AN1694" s="427"/>
      <c r="AP1694" s="427"/>
      <c r="AQ1694" s="427"/>
      <c r="AR1694" s="427"/>
      <c r="AS1694" s="427"/>
      <c r="AT1694" s="427"/>
      <c r="AU1694" s="427"/>
      <c r="AV1694" s="427"/>
      <c r="AW1694" s="427"/>
      <c r="AX1694" s="427"/>
      <c r="AY1694" s="427"/>
      <c r="BC1694" s="428"/>
      <c r="BN1694" s="427"/>
      <c r="BO1694" s="428"/>
      <c r="BQ1694" s="429"/>
      <c r="BR1694" s="429"/>
      <c r="BS1694" s="426"/>
    </row>
    <row r="1695" customFormat="false" ht="13.5" hidden="false" customHeight="false" outlineLevel="0" collapsed="false">
      <c r="A1695" s="424"/>
      <c r="B1695" s="424"/>
      <c r="C1695" s="424"/>
      <c r="D1695" s="424"/>
      <c r="E1695" s="424"/>
      <c r="F1695" s="424"/>
      <c r="G1695" s="424"/>
      <c r="H1695" s="424"/>
      <c r="I1695" s="424"/>
      <c r="J1695" s="424"/>
      <c r="K1695" s="424"/>
      <c r="L1695" s="424"/>
      <c r="M1695" s="424"/>
      <c r="N1695" s="424"/>
      <c r="O1695" s="424"/>
      <c r="P1695" s="424"/>
      <c r="Q1695" s="424"/>
      <c r="R1695" s="424"/>
      <c r="S1695" s="424"/>
      <c r="T1695" s="424"/>
      <c r="U1695" s="424"/>
      <c r="V1695" s="436" t="n">
        <f aca="false">AY1700</f>
        <v>0</v>
      </c>
      <c r="W1695" s="424"/>
      <c r="X1695" s="437"/>
      <c r="AC1695" s="427"/>
      <c r="AD1695" s="427"/>
      <c r="AE1695" s="427"/>
      <c r="AG1695" s="427"/>
      <c r="AH1695" s="427"/>
      <c r="AI1695" s="427"/>
      <c r="AJ1695" s="427"/>
      <c r="AK1695" s="427"/>
      <c r="AL1695" s="427"/>
      <c r="AM1695" s="427"/>
      <c r="AN1695" s="427"/>
      <c r="AP1695" s="427"/>
      <c r="AQ1695" s="427"/>
      <c r="AR1695" s="427"/>
      <c r="AS1695" s="427"/>
      <c r="AT1695" s="427"/>
      <c r="AU1695" s="427"/>
      <c r="AV1695" s="427"/>
      <c r="AW1695" s="427"/>
      <c r="AX1695" s="427"/>
      <c r="AY1695" s="427"/>
      <c r="BC1695" s="428"/>
      <c r="BN1695" s="427"/>
      <c r="BO1695" s="428"/>
      <c r="BQ1695" s="429"/>
      <c r="BR1695" s="429"/>
      <c r="BS1695" s="426"/>
    </row>
    <row r="1696" customFormat="false" ht="13.5" hidden="false" customHeight="false" outlineLevel="0" collapsed="false">
      <c r="A1696" s="424"/>
      <c r="B1696" s="424"/>
      <c r="C1696" s="424"/>
      <c r="D1696" s="424"/>
      <c r="E1696" s="424"/>
      <c r="F1696" s="424"/>
      <c r="G1696" s="424"/>
      <c r="H1696" s="424"/>
      <c r="I1696" s="424"/>
      <c r="J1696" s="424"/>
      <c r="K1696" s="424"/>
      <c r="L1696" s="424"/>
      <c r="M1696" s="424"/>
      <c r="N1696" s="424"/>
      <c r="O1696" s="424"/>
      <c r="P1696" s="424"/>
      <c r="Q1696" s="424"/>
      <c r="R1696" s="424"/>
      <c r="S1696" s="424"/>
      <c r="T1696" s="424"/>
      <c r="U1696" s="424"/>
      <c r="V1696" s="436" t="n">
        <f aca="false">AY1701</f>
        <v>0</v>
      </c>
      <c r="W1696" s="424"/>
      <c r="AC1696" s="427"/>
      <c r="AD1696" s="427"/>
      <c r="AE1696" s="427"/>
      <c r="AG1696" s="427"/>
      <c r="AH1696" s="427"/>
      <c r="AI1696" s="427"/>
      <c r="AJ1696" s="427"/>
      <c r="AK1696" s="427"/>
      <c r="AL1696" s="427"/>
      <c r="AM1696" s="427"/>
      <c r="AN1696" s="427"/>
      <c r="AP1696" s="427"/>
      <c r="AQ1696" s="427"/>
      <c r="AR1696" s="427"/>
      <c r="AS1696" s="427"/>
      <c r="AT1696" s="427"/>
      <c r="AU1696" s="427"/>
      <c r="AV1696" s="427"/>
      <c r="AW1696" s="427"/>
      <c r="AX1696" s="427"/>
      <c r="AY1696" s="427"/>
      <c r="BC1696" s="428"/>
      <c r="BN1696" s="427"/>
      <c r="BO1696" s="428"/>
      <c r="BQ1696" s="429"/>
      <c r="BR1696" s="429"/>
      <c r="BS1696" s="426"/>
    </row>
    <row r="1697" customFormat="false" ht="13.5" hidden="false" customHeight="false" outlineLevel="0" collapsed="false">
      <c r="A1697" s="424"/>
      <c r="B1697" s="424"/>
      <c r="C1697" s="424"/>
      <c r="D1697" s="424"/>
      <c r="E1697" s="424"/>
      <c r="F1697" s="424"/>
      <c r="G1697" s="424"/>
      <c r="H1697" s="424"/>
      <c r="I1697" s="424"/>
      <c r="J1697" s="424"/>
      <c r="K1697" s="424"/>
      <c r="L1697" s="424"/>
      <c r="M1697" s="424"/>
      <c r="N1697" s="424"/>
      <c r="O1697" s="424"/>
      <c r="P1697" s="424"/>
      <c r="Q1697" s="424"/>
      <c r="R1697" s="424"/>
      <c r="S1697" s="424"/>
      <c r="T1697" s="424"/>
      <c r="U1697" s="424"/>
      <c r="V1697" s="436" t="n">
        <f aca="false">AY1702</f>
        <v>0</v>
      </c>
      <c r="W1697" s="424"/>
      <c r="X1697" s="437"/>
      <c r="AC1697" s="427"/>
      <c r="AD1697" s="427"/>
      <c r="AE1697" s="427"/>
      <c r="AG1697" s="427"/>
      <c r="AH1697" s="427"/>
      <c r="AI1697" s="427"/>
      <c r="AJ1697" s="427"/>
      <c r="AK1697" s="427"/>
      <c r="AL1697" s="427"/>
      <c r="AM1697" s="427"/>
      <c r="AN1697" s="427"/>
      <c r="AP1697" s="427"/>
      <c r="AQ1697" s="427"/>
      <c r="AR1697" s="427"/>
      <c r="AS1697" s="427"/>
      <c r="AT1697" s="427"/>
      <c r="AU1697" s="427"/>
      <c r="AV1697" s="427"/>
      <c r="AW1697" s="427"/>
      <c r="AX1697" s="427"/>
      <c r="AY1697" s="427"/>
      <c r="BC1697" s="428"/>
      <c r="BN1697" s="427"/>
      <c r="BO1697" s="428"/>
      <c r="BQ1697" s="429"/>
      <c r="BR1697" s="429"/>
      <c r="BS1697" s="426"/>
    </row>
    <row r="1698" customFormat="false" ht="13.5" hidden="false" customHeight="false" outlineLevel="0" collapsed="false">
      <c r="A1698" s="424"/>
      <c r="B1698" s="424"/>
      <c r="C1698" s="424"/>
      <c r="D1698" s="424"/>
      <c r="E1698" s="424"/>
      <c r="F1698" s="424"/>
      <c r="G1698" s="424"/>
      <c r="H1698" s="424"/>
      <c r="I1698" s="424"/>
      <c r="J1698" s="424"/>
      <c r="K1698" s="424"/>
      <c r="L1698" s="424"/>
      <c r="M1698" s="424"/>
      <c r="N1698" s="424"/>
      <c r="O1698" s="424"/>
      <c r="P1698" s="424"/>
      <c r="Q1698" s="424"/>
      <c r="R1698" s="424"/>
      <c r="S1698" s="424"/>
      <c r="T1698" s="424"/>
      <c r="U1698" s="424"/>
      <c r="V1698" s="436" t="n">
        <f aca="false">AY1703</f>
        <v>0</v>
      </c>
      <c r="W1698" s="424"/>
      <c r="AC1698" s="427"/>
      <c r="AD1698" s="427"/>
      <c r="AE1698" s="427"/>
      <c r="AG1698" s="427"/>
      <c r="AH1698" s="427"/>
      <c r="AI1698" s="427"/>
      <c r="AJ1698" s="427"/>
      <c r="AK1698" s="427"/>
      <c r="AL1698" s="427"/>
      <c r="AM1698" s="427"/>
      <c r="AN1698" s="427"/>
      <c r="AP1698" s="427"/>
      <c r="AQ1698" s="427"/>
      <c r="AR1698" s="427"/>
      <c r="AS1698" s="427"/>
      <c r="AT1698" s="427"/>
      <c r="AU1698" s="427"/>
      <c r="AV1698" s="427"/>
      <c r="AW1698" s="427"/>
      <c r="AX1698" s="427"/>
      <c r="AY1698" s="427"/>
      <c r="BC1698" s="428"/>
      <c r="BN1698" s="427"/>
      <c r="BO1698" s="428"/>
      <c r="BQ1698" s="429"/>
      <c r="BR1698" s="429"/>
      <c r="BS1698" s="426"/>
    </row>
    <row r="1699" customFormat="false" ht="13.5" hidden="false" customHeight="false" outlineLevel="0" collapsed="false">
      <c r="A1699" s="424"/>
      <c r="B1699" s="424"/>
      <c r="C1699" s="424"/>
      <c r="D1699" s="424"/>
      <c r="E1699" s="424"/>
      <c r="F1699" s="424"/>
      <c r="G1699" s="424"/>
      <c r="H1699" s="424"/>
      <c r="I1699" s="424"/>
      <c r="J1699" s="424"/>
      <c r="K1699" s="424"/>
      <c r="L1699" s="424"/>
      <c r="M1699" s="424"/>
      <c r="N1699" s="424"/>
      <c r="O1699" s="424"/>
      <c r="P1699" s="424"/>
      <c r="Q1699" s="424"/>
      <c r="R1699" s="424"/>
      <c r="S1699" s="424"/>
      <c r="T1699" s="424"/>
      <c r="U1699" s="424"/>
      <c r="V1699" s="436" t="n">
        <f aca="false">AY1704</f>
        <v>0</v>
      </c>
      <c r="W1699" s="424"/>
      <c r="X1699" s="437"/>
      <c r="AC1699" s="427"/>
      <c r="AD1699" s="427"/>
      <c r="AE1699" s="427"/>
      <c r="AG1699" s="427"/>
      <c r="AH1699" s="427"/>
      <c r="AI1699" s="427"/>
      <c r="AJ1699" s="427"/>
      <c r="AK1699" s="427"/>
      <c r="AL1699" s="427"/>
      <c r="AM1699" s="427"/>
      <c r="AN1699" s="427"/>
      <c r="AP1699" s="427"/>
      <c r="AQ1699" s="427"/>
      <c r="AR1699" s="427"/>
      <c r="AS1699" s="427"/>
      <c r="AT1699" s="427"/>
      <c r="AU1699" s="427"/>
      <c r="AV1699" s="427"/>
      <c r="AW1699" s="427"/>
      <c r="AX1699" s="427"/>
      <c r="AY1699" s="427"/>
      <c r="BC1699" s="428"/>
      <c r="BN1699" s="427"/>
      <c r="BO1699" s="428"/>
      <c r="BQ1699" s="429"/>
      <c r="BR1699" s="429"/>
      <c r="BS1699" s="426"/>
    </row>
    <row r="1700" customFormat="false" ht="13.5" hidden="false" customHeight="false" outlineLevel="0" collapsed="false">
      <c r="A1700" s="424"/>
      <c r="B1700" s="424"/>
      <c r="C1700" s="424"/>
      <c r="D1700" s="424"/>
      <c r="E1700" s="424"/>
      <c r="F1700" s="424"/>
      <c r="G1700" s="424"/>
      <c r="H1700" s="424"/>
      <c r="I1700" s="424"/>
      <c r="J1700" s="424"/>
      <c r="K1700" s="424"/>
      <c r="L1700" s="424"/>
      <c r="M1700" s="424"/>
      <c r="N1700" s="424"/>
      <c r="O1700" s="424"/>
      <c r="P1700" s="424"/>
      <c r="Q1700" s="424"/>
      <c r="R1700" s="424"/>
      <c r="S1700" s="424"/>
      <c r="T1700" s="424"/>
      <c r="U1700" s="424"/>
      <c r="V1700" s="436" t="n">
        <f aca="false">AY1705</f>
        <v>0</v>
      </c>
      <c r="W1700" s="424"/>
      <c r="X1700" s="437"/>
      <c r="AC1700" s="427"/>
      <c r="AD1700" s="427"/>
      <c r="AE1700" s="427"/>
      <c r="AG1700" s="427"/>
      <c r="AH1700" s="427"/>
      <c r="AI1700" s="427"/>
      <c r="AJ1700" s="427"/>
      <c r="AK1700" s="427"/>
      <c r="AL1700" s="427"/>
      <c r="AM1700" s="427"/>
      <c r="AN1700" s="427"/>
      <c r="AP1700" s="427"/>
      <c r="AQ1700" s="427"/>
      <c r="AR1700" s="427"/>
      <c r="AS1700" s="427"/>
      <c r="AT1700" s="427"/>
      <c r="AU1700" s="427"/>
      <c r="AV1700" s="427"/>
      <c r="AW1700" s="427"/>
      <c r="AX1700" s="427"/>
      <c r="AY1700" s="427"/>
      <c r="BC1700" s="428"/>
      <c r="BN1700" s="427"/>
      <c r="BO1700" s="428"/>
      <c r="BQ1700" s="429"/>
      <c r="BR1700" s="429"/>
      <c r="BS1700" s="426"/>
    </row>
    <row r="1701" customFormat="false" ht="13.5" hidden="false" customHeight="false" outlineLevel="0" collapsed="false">
      <c r="A1701" s="424"/>
      <c r="B1701" s="424"/>
      <c r="C1701" s="424"/>
      <c r="D1701" s="424"/>
      <c r="E1701" s="424"/>
      <c r="F1701" s="424"/>
      <c r="G1701" s="424"/>
      <c r="H1701" s="424"/>
      <c r="I1701" s="424"/>
      <c r="J1701" s="424"/>
      <c r="K1701" s="424"/>
      <c r="L1701" s="424"/>
      <c r="M1701" s="424"/>
      <c r="N1701" s="424"/>
      <c r="O1701" s="424"/>
      <c r="P1701" s="424"/>
      <c r="Q1701" s="424"/>
      <c r="R1701" s="424"/>
      <c r="S1701" s="424"/>
      <c r="T1701" s="424"/>
      <c r="U1701" s="424"/>
      <c r="V1701" s="436" t="n">
        <f aca="false">AY1706</f>
        <v>0</v>
      </c>
      <c r="W1701" s="424"/>
      <c r="AC1701" s="427"/>
      <c r="AD1701" s="427"/>
      <c r="AE1701" s="427"/>
      <c r="AG1701" s="427"/>
      <c r="AH1701" s="427"/>
      <c r="AI1701" s="427"/>
      <c r="AJ1701" s="427"/>
      <c r="AK1701" s="427"/>
      <c r="AL1701" s="427"/>
      <c r="AM1701" s="427"/>
      <c r="AN1701" s="427"/>
      <c r="AP1701" s="427"/>
      <c r="AQ1701" s="427"/>
      <c r="AR1701" s="427"/>
      <c r="AS1701" s="427"/>
      <c r="AT1701" s="427"/>
      <c r="AU1701" s="427"/>
      <c r="AV1701" s="427"/>
      <c r="AW1701" s="427"/>
      <c r="AX1701" s="427"/>
      <c r="AY1701" s="427"/>
      <c r="BC1701" s="428"/>
      <c r="BN1701" s="427"/>
      <c r="BO1701" s="428"/>
      <c r="BQ1701" s="429"/>
    </row>
    <row r="1702" customFormat="false" ht="13.5" hidden="false" customHeight="false" outlineLevel="0" collapsed="false">
      <c r="A1702" s="424"/>
      <c r="B1702" s="424"/>
      <c r="C1702" s="424"/>
      <c r="D1702" s="424"/>
      <c r="E1702" s="424"/>
      <c r="F1702" s="424"/>
      <c r="G1702" s="424"/>
      <c r="H1702" s="424"/>
      <c r="I1702" s="424"/>
      <c r="J1702" s="424"/>
      <c r="K1702" s="424"/>
      <c r="L1702" s="424"/>
      <c r="M1702" s="424"/>
      <c r="N1702" s="424"/>
      <c r="O1702" s="424"/>
      <c r="P1702" s="424"/>
      <c r="Q1702" s="424"/>
      <c r="R1702" s="424"/>
      <c r="S1702" s="424"/>
      <c r="T1702" s="424"/>
      <c r="U1702" s="424"/>
      <c r="V1702" s="436" t="n">
        <f aca="false">AY1707</f>
        <v>0</v>
      </c>
      <c r="W1702" s="424"/>
      <c r="AC1702" s="427"/>
      <c r="AD1702" s="427"/>
      <c r="AE1702" s="427"/>
      <c r="AG1702" s="427"/>
      <c r="AH1702" s="427"/>
      <c r="AI1702" s="427"/>
      <c r="AJ1702" s="427"/>
      <c r="AK1702" s="427"/>
      <c r="AL1702" s="427"/>
      <c r="AM1702" s="427"/>
      <c r="AN1702" s="427"/>
      <c r="AP1702" s="427"/>
      <c r="AQ1702" s="427"/>
      <c r="AR1702" s="427"/>
      <c r="AS1702" s="427"/>
      <c r="AT1702" s="427"/>
      <c r="AU1702" s="427"/>
      <c r="AV1702" s="427"/>
      <c r="AW1702" s="427"/>
      <c r="AX1702" s="427"/>
      <c r="AY1702" s="427"/>
      <c r="BC1702" s="428"/>
      <c r="BN1702" s="427"/>
    </row>
    <row r="1703" customFormat="false" ht="13.5" hidden="false" customHeight="false" outlineLevel="0" collapsed="false">
      <c r="A1703" s="424"/>
      <c r="B1703" s="424"/>
      <c r="C1703" s="424"/>
      <c r="D1703" s="424"/>
      <c r="E1703" s="424"/>
      <c r="F1703" s="424"/>
      <c r="G1703" s="424"/>
      <c r="H1703" s="424"/>
      <c r="I1703" s="424"/>
      <c r="J1703" s="424"/>
      <c r="K1703" s="424"/>
      <c r="L1703" s="424"/>
      <c r="M1703" s="424"/>
      <c r="N1703" s="424"/>
      <c r="O1703" s="424"/>
      <c r="P1703" s="424"/>
      <c r="Q1703" s="424"/>
      <c r="R1703" s="424"/>
      <c r="S1703" s="424"/>
      <c r="T1703" s="424"/>
      <c r="U1703" s="424"/>
      <c r="V1703" s="436" t="n">
        <f aca="false">AY1708</f>
        <v>0</v>
      </c>
      <c r="W1703" s="424"/>
      <c r="X1703" s="437"/>
      <c r="AC1703" s="427"/>
      <c r="AD1703" s="427"/>
      <c r="AE1703" s="427"/>
      <c r="AG1703" s="427"/>
      <c r="AH1703" s="427"/>
      <c r="AI1703" s="427"/>
      <c r="AJ1703" s="427"/>
      <c r="AK1703" s="427"/>
      <c r="AL1703" s="427"/>
      <c r="AM1703" s="427"/>
      <c r="AN1703" s="427"/>
      <c r="AP1703" s="427"/>
      <c r="AQ1703" s="427"/>
      <c r="AR1703" s="427"/>
      <c r="AS1703" s="427"/>
      <c r="AT1703" s="427"/>
      <c r="AU1703" s="427"/>
      <c r="AV1703" s="427"/>
      <c r="AW1703" s="427"/>
      <c r="AX1703" s="427"/>
      <c r="AY1703" s="427"/>
      <c r="BC1703" s="428"/>
      <c r="BN1703" s="427"/>
    </row>
    <row r="1704" customFormat="false" ht="13.5" hidden="false" customHeight="false" outlineLevel="0" collapsed="false">
      <c r="A1704" s="424"/>
      <c r="B1704" s="424"/>
      <c r="C1704" s="424"/>
      <c r="D1704" s="424"/>
      <c r="E1704" s="424"/>
      <c r="F1704" s="424"/>
      <c r="G1704" s="424"/>
      <c r="H1704" s="424"/>
      <c r="I1704" s="424"/>
      <c r="J1704" s="424"/>
      <c r="K1704" s="424"/>
      <c r="L1704" s="424"/>
      <c r="M1704" s="424"/>
      <c r="N1704" s="424"/>
      <c r="O1704" s="424"/>
      <c r="P1704" s="424"/>
      <c r="Q1704" s="424"/>
      <c r="R1704" s="424"/>
      <c r="S1704" s="424"/>
      <c r="T1704" s="424"/>
      <c r="U1704" s="424"/>
      <c r="V1704" s="436" t="n">
        <f aca="false">AY1709</f>
        <v>0</v>
      </c>
      <c r="W1704" s="424"/>
      <c r="X1704" s="437"/>
      <c r="AC1704" s="427"/>
      <c r="AD1704" s="427"/>
      <c r="AE1704" s="427"/>
      <c r="AG1704" s="427"/>
      <c r="AH1704" s="427"/>
      <c r="AI1704" s="427"/>
      <c r="AJ1704" s="427"/>
      <c r="AK1704" s="427"/>
      <c r="AL1704" s="427"/>
      <c r="AM1704" s="427"/>
      <c r="AN1704" s="427"/>
      <c r="AP1704" s="427"/>
      <c r="AQ1704" s="427"/>
      <c r="AR1704" s="427"/>
      <c r="AS1704" s="427"/>
      <c r="AT1704" s="427"/>
      <c r="AU1704" s="427"/>
      <c r="AV1704" s="427"/>
      <c r="AW1704" s="427"/>
      <c r="AX1704" s="427"/>
      <c r="AY1704" s="427"/>
      <c r="BC1704" s="428"/>
      <c r="BN1704" s="427"/>
    </row>
  </sheetData>
  <printOptions headings="false" gridLines="false" gridLinesSet="true" horizontalCentered="false" verticalCentered="false"/>
  <pageMargins left="0.590277777777778" right="0.747916666666667" top="0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704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D28" activeCellId="0" sqref="D28"/>
    </sheetView>
  </sheetViews>
  <sheetFormatPr defaultColWidth="9.13671875" defaultRowHeight="13.5" customHeight="true" zeroHeight="false" outlineLevelRow="0" outlineLevelCol="0"/>
  <cols>
    <col collapsed="false" customWidth="false" hidden="false" outlineLevel="0" max="257" min="1" style="423" width="9.14"/>
  </cols>
  <sheetData>
    <row r="1" customFormat="false" ht="13.5" hidden="false" customHeight="false" outlineLevel="0" collapsed="false">
      <c r="A1" s="424"/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Y1" s="425"/>
      <c r="Z1" s="426"/>
      <c r="AM1" s="427"/>
      <c r="BC1" s="428"/>
      <c r="BD1" s="429"/>
      <c r="BE1" s="430"/>
      <c r="BG1" s="430"/>
      <c r="BJ1" s="431"/>
      <c r="BK1" s="431"/>
      <c r="BL1" s="431"/>
      <c r="BM1" s="429"/>
      <c r="BN1" s="431"/>
      <c r="BO1" s="428"/>
    </row>
    <row r="2" customFormat="false" ht="13.5" hidden="false" customHeight="false" outlineLevel="0" collapsed="false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9"/>
      <c r="AM2" s="427"/>
      <c r="BC2" s="428"/>
      <c r="BE2" s="426"/>
      <c r="BG2" s="426"/>
      <c r="BM2" s="427"/>
      <c r="BO2" s="428"/>
    </row>
    <row r="3" customFormat="false" ht="13.5" hidden="false" customHeight="false" outlineLevel="0" collapsed="false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Y3" s="426"/>
      <c r="AB3" s="432"/>
      <c r="AG3" s="425"/>
      <c r="AH3" s="425"/>
      <c r="AI3" s="425"/>
      <c r="AJ3" s="425"/>
      <c r="AK3" s="425"/>
      <c r="AL3" s="425"/>
      <c r="AM3" s="425"/>
      <c r="AN3" s="425"/>
      <c r="AP3" s="433"/>
      <c r="AQ3" s="433"/>
      <c r="AR3" s="433"/>
      <c r="AS3" s="433"/>
      <c r="AT3" s="433"/>
      <c r="AU3" s="433"/>
      <c r="AV3" s="433"/>
      <c r="AW3" s="433"/>
      <c r="AX3" s="425"/>
      <c r="BC3" s="428"/>
      <c r="BE3" s="426"/>
      <c r="BG3" s="426"/>
      <c r="BO3" s="428"/>
    </row>
    <row r="4" customFormat="false" ht="13.5" hidden="false" customHeight="false" outlineLevel="0" collapsed="false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5"/>
      <c r="AB4" s="426"/>
      <c r="AC4" s="432"/>
      <c r="AG4" s="425"/>
      <c r="AH4" s="425"/>
      <c r="AI4" s="425"/>
      <c r="AJ4" s="425"/>
      <c r="AK4" s="425"/>
      <c r="AL4" s="425"/>
      <c r="AM4" s="425"/>
      <c r="AN4" s="425"/>
      <c r="AP4" s="425"/>
      <c r="AQ4" s="425"/>
      <c r="AR4" s="425"/>
      <c r="AS4" s="425"/>
      <c r="AT4" s="425"/>
      <c r="AU4" s="425"/>
      <c r="AV4" s="425"/>
      <c r="AW4" s="425"/>
      <c r="AX4" s="425"/>
      <c r="AZ4" s="426"/>
      <c r="BA4" s="425"/>
      <c r="BB4" s="425"/>
      <c r="BC4" s="428"/>
      <c r="BO4" s="428"/>
    </row>
    <row r="5" customFormat="false" ht="13.5" hidden="false" customHeight="false" outlineLevel="0" collapsed="false">
      <c r="A5" s="424"/>
      <c r="B5" s="424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34" t="s">
        <v>400</v>
      </c>
      <c r="S5" s="424"/>
      <c r="T5" s="424"/>
      <c r="U5" s="424"/>
      <c r="V5" s="435" t="n">
        <f aca="false">SUM(V7:V39)</f>
        <v>0</v>
      </c>
      <c r="W5" s="424"/>
      <c r="Y5" s="425"/>
      <c r="Z5" s="426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6"/>
      <c r="AM5" s="425"/>
      <c r="AN5" s="425"/>
      <c r="AO5" s="428"/>
      <c r="AP5" s="425"/>
      <c r="AQ5" s="425"/>
      <c r="AR5" s="425"/>
      <c r="AS5" s="425"/>
      <c r="AT5" s="425"/>
      <c r="AU5" s="425"/>
      <c r="AX5" s="425"/>
      <c r="BC5" s="428"/>
      <c r="BO5" s="428"/>
    </row>
    <row r="6" customFormat="false" ht="13.5" hidden="false" customHeight="false" outlineLevel="0" collapsed="false">
      <c r="A6" s="424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35" t="n">
        <v>0</v>
      </c>
      <c r="R6" s="424"/>
      <c r="S6" s="435" t="n">
        <v>0</v>
      </c>
      <c r="T6" s="424"/>
      <c r="U6" s="424"/>
      <c r="V6" s="436" t="n">
        <f aca="false">AY6</f>
        <v>0</v>
      </c>
      <c r="W6" s="424"/>
      <c r="X6" s="429"/>
      <c r="Z6" s="426"/>
      <c r="AA6" s="426"/>
      <c r="AB6" s="426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U6" s="427"/>
      <c r="AV6" s="427"/>
      <c r="AW6" s="427"/>
      <c r="AX6" s="433"/>
      <c r="AY6" s="427"/>
      <c r="BC6" s="428"/>
      <c r="BE6" s="431"/>
      <c r="BO6" s="428"/>
    </row>
    <row r="7" customFormat="false" ht="13.5" hidden="false" customHeight="false" outlineLevel="0" collapsed="false">
      <c r="A7" s="424"/>
      <c r="B7" s="424"/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35" t="n">
        <v>1</v>
      </c>
      <c r="R7" s="434" t="s">
        <v>401</v>
      </c>
      <c r="S7" s="434" t="s">
        <v>402</v>
      </c>
      <c r="T7" s="434" t="s">
        <v>403</v>
      </c>
      <c r="U7" s="434" t="s">
        <v>404</v>
      </c>
      <c r="V7" s="436" t="n">
        <f aca="false">AY7</f>
        <v>0</v>
      </c>
      <c r="W7" s="424"/>
      <c r="X7" s="429"/>
      <c r="Y7" s="426"/>
      <c r="Z7" s="429"/>
      <c r="AA7" s="426"/>
      <c r="AB7" s="426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8"/>
      <c r="AP7" s="427"/>
      <c r="AQ7" s="427"/>
      <c r="AR7" s="427"/>
      <c r="AS7" s="427"/>
      <c r="AT7" s="427"/>
      <c r="AU7" s="427"/>
      <c r="AV7" s="427"/>
      <c r="AW7" s="427"/>
      <c r="AX7" s="433"/>
      <c r="AY7" s="427"/>
      <c r="BC7" s="428"/>
      <c r="BE7" s="426"/>
      <c r="BO7" s="428"/>
    </row>
    <row r="8" customFormat="false" ht="13.5" hidden="false" customHeight="false" outlineLevel="0" collapsed="false">
      <c r="A8" s="424"/>
      <c r="B8" s="424"/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35" t="n">
        <v>2</v>
      </c>
      <c r="R8" s="434" t="s">
        <v>405</v>
      </c>
      <c r="S8" s="434" t="s">
        <v>406</v>
      </c>
      <c r="T8" s="434" t="s">
        <v>407</v>
      </c>
      <c r="U8" s="434" t="s">
        <v>408</v>
      </c>
      <c r="V8" s="436" t="n">
        <f aca="false">AY8</f>
        <v>0</v>
      </c>
      <c r="W8" s="424"/>
      <c r="X8" s="429"/>
      <c r="Y8" s="426"/>
      <c r="Z8" s="429"/>
      <c r="AA8" s="426"/>
      <c r="AB8" s="426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8"/>
      <c r="AP8" s="427"/>
      <c r="AQ8" s="427"/>
      <c r="AR8" s="427"/>
      <c r="AS8" s="427"/>
      <c r="AT8" s="427"/>
      <c r="AU8" s="427"/>
      <c r="AV8" s="427"/>
      <c r="AW8" s="427"/>
      <c r="AX8" s="433"/>
      <c r="AY8" s="427"/>
      <c r="BC8" s="428"/>
      <c r="BE8" s="426"/>
      <c r="BO8" s="428"/>
    </row>
    <row r="9" customFormat="false" ht="13.5" hidden="false" customHeight="false" outlineLevel="0" collapsed="false">
      <c r="A9" s="424"/>
      <c r="B9" s="424"/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35" t="n">
        <v>3</v>
      </c>
      <c r="R9" s="434" t="s">
        <v>409</v>
      </c>
      <c r="S9" s="434" t="s">
        <v>410</v>
      </c>
      <c r="T9" s="434" t="s">
        <v>411</v>
      </c>
      <c r="U9" s="434" t="s">
        <v>412</v>
      </c>
      <c r="V9" s="436" t="n">
        <f aca="false">AY9</f>
        <v>0</v>
      </c>
      <c r="W9" s="424"/>
      <c r="X9" s="429"/>
      <c r="Y9" s="426"/>
      <c r="Z9" s="429"/>
      <c r="AA9" s="426"/>
      <c r="AB9" s="426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8"/>
      <c r="AP9" s="427"/>
      <c r="AQ9" s="427"/>
      <c r="AR9" s="427"/>
      <c r="AS9" s="427"/>
      <c r="AT9" s="427"/>
      <c r="AU9" s="427"/>
      <c r="AV9" s="427"/>
      <c r="AW9" s="427"/>
      <c r="AX9" s="433"/>
      <c r="AY9" s="427"/>
      <c r="BC9" s="428"/>
      <c r="BO9" s="428"/>
    </row>
    <row r="10" customFormat="false" ht="13.5" hidden="false" customHeight="false" outlineLevel="0" collapsed="false">
      <c r="A10" s="424"/>
      <c r="B10" s="42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35" t="n">
        <v>4</v>
      </c>
      <c r="R10" s="434" t="s">
        <v>413</v>
      </c>
      <c r="S10" s="434" t="s">
        <v>414</v>
      </c>
      <c r="T10" s="434" t="s">
        <v>415</v>
      </c>
      <c r="U10" s="434" t="s">
        <v>416</v>
      </c>
      <c r="V10" s="436" t="n">
        <f aca="false">AY10</f>
        <v>0</v>
      </c>
      <c r="W10" s="424"/>
      <c r="X10" s="429"/>
      <c r="Y10" s="426"/>
      <c r="Z10" s="429"/>
      <c r="AA10" s="426"/>
      <c r="AB10" s="426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8"/>
      <c r="AP10" s="427"/>
      <c r="AQ10" s="427"/>
      <c r="AR10" s="427"/>
      <c r="AS10" s="427"/>
      <c r="AT10" s="427"/>
      <c r="AU10" s="427"/>
      <c r="AV10" s="427"/>
      <c r="AW10" s="427"/>
      <c r="AX10" s="433"/>
      <c r="AY10" s="427"/>
      <c r="AZ10" s="427"/>
      <c r="BA10" s="427"/>
      <c r="BC10" s="428"/>
      <c r="BD10" s="429"/>
      <c r="BE10" s="429"/>
      <c r="BF10" s="427"/>
      <c r="BG10" s="437"/>
      <c r="BH10" s="427"/>
      <c r="BJ10" s="437"/>
      <c r="BK10" s="427"/>
      <c r="BM10" s="429"/>
      <c r="BN10" s="427"/>
      <c r="BO10" s="428"/>
      <c r="BP10" s="430"/>
    </row>
    <row r="11" customFormat="false" ht="13.5" hidden="false" customHeight="true" outlineLevel="0" collapsed="false">
      <c r="A11" s="424"/>
      <c r="B11" s="424"/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38" t="s">
        <v>417</v>
      </c>
      <c r="Q11" s="435" t="n">
        <v>5</v>
      </c>
      <c r="R11" s="434" t="s">
        <v>418</v>
      </c>
      <c r="S11" s="434" t="s">
        <v>419</v>
      </c>
      <c r="T11" s="434" t="s">
        <v>420</v>
      </c>
      <c r="U11" s="434" t="s">
        <v>421</v>
      </c>
      <c r="V11" s="436" t="n">
        <f aca="false">AY11</f>
        <v>0</v>
      </c>
      <c r="W11" s="424"/>
      <c r="X11" s="429"/>
      <c r="Y11" s="426"/>
      <c r="Z11" s="429"/>
      <c r="AA11" s="426"/>
      <c r="AB11" s="426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8"/>
      <c r="AP11" s="427"/>
      <c r="AQ11" s="427"/>
      <c r="AR11" s="427"/>
      <c r="AS11" s="427"/>
      <c r="AT11" s="427"/>
      <c r="AU11" s="427"/>
      <c r="AV11" s="427"/>
      <c r="AW11" s="427"/>
      <c r="AX11" s="433"/>
      <c r="AY11" s="427"/>
      <c r="BC11" s="428"/>
      <c r="BD11" s="429"/>
      <c r="BE11" s="429"/>
      <c r="BF11" s="427"/>
      <c r="BG11" s="437"/>
      <c r="BH11" s="427"/>
      <c r="BJ11" s="437"/>
      <c r="BK11" s="427"/>
      <c r="BM11" s="429"/>
      <c r="BN11" s="427"/>
      <c r="BO11" s="428"/>
      <c r="BP11" s="430"/>
    </row>
    <row r="12" customFormat="false" ht="13.5" hidden="false" customHeight="true" outlineLevel="0" collapsed="false">
      <c r="A12" s="424"/>
      <c r="B12" s="424"/>
      <c r="C12" s="424"/>
      <c r="D12" s="424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38" t="s">
        <v>417</v>
      </c>
      <c r="Q12" s="435" t="n">
        <v>6</v>
      </c>
      <c r="R12" s="434" t="s">
        <v>422</v>
      </c>
      <c r="S12" s="434" t="s">
        <v>423</v>
      </c>
      <c r="T12" s="434" t="s">
        <v>424</v>
      </c>
      <c r="U12" s="434" t="s">
        <v>425</v>
      </c>
      <c r="V12" s="436" t="n">
        <f aca="false">AY12</f>
        <v>0</v>
      </c>
      <c r="W12" s="424"/>
      <c r="X12" s="429"/>
      <c r="Y12" s="426"/>
      <c r="Z12" s="429"/>
      <c r="AA12" s="426"/>
      <c r="AB12" s="426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8"/>
      <c r="AP12" s="427"/>
      <c r="AQ12" s="427"/>
      <c r="AR12" s="427"/>
      <c r="AS12" s="427"/>
      <c r="AT12" s="427"/>
      <c r="AU12" s="427"/>
      <c r="AV12" s="427"/>
      <c r="AW12" s="427"/>
      <c r="AX12" s="433"/>
      <c r="AY12" s="427"/>
      <c r="BC12" s="428"/>
      <c r="BD12" s="429"/>
      <c r="BE12" s="429"/>
      <c r="BF12" s="427"/>
      <c r="BG12" s="437"/>
      <c r="BH12" s="427"/>
      <c r="BJ12" s="437"/>
      <c r="BK12" s="427"/>
      <c r="BM12" s="429"/>
      <c r="BN12" s="427"/>
      <c r="BO12" s="428"/>
      <c r="BP12" s="430"/>
    </row>
    <row r="13" customFormat="false" ht="13.5" hidden="false" customHeight="true" outlineLevel="0" collapsed="false">
      <c r="A13" s="424"/>
      <c r="B13" s="424"/>
      <c r="C13" s="424"/>
      <c r="D13" s="424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38" t="s">
        <v>417</v>
      </c>
      <c r="Q13" s="435" t="n">
        <v>7</v>
      </c>
      <c r="R13" s="434" t="s">
        <v>426</v>
      </c>
      <c r="S13" s="434" t="s">
        <v>427</v>
      </c>
      <c r="T13" s="434" t="s">
        <v>428</v>
      </c>
      <c r="U13" s="434" t="s">
        <v>429</v>
      </c>
      <c r="V13" s="436" t="n">
        <f aca="false">AY13</f>
        <v>0</v>
      </c>
      <c r="W13" s="424"/>
      <c r="X13" s="43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BC13" s="428"/>
      <c r="BF13" s="427"/>
      <c r="BG13" s="437"/>
      <c r="BH13" s="427"/>
      <c r="BJ13" s="437"/>
      <c r="BK13" s="427"/>
      <c r="BM13" s="429"/>
      <c r="BN13" s="427"/>
      <c r="BO13" s="428"/>
      <c r="BP13" s="430"/>
    </row>
    <row r="14" customFormat="false" ht="13.5" hidden="false" customHeight="true" outlineLevel="0" collapsed="false">
      <c r="A14" s="424"/>
      <c r="B14" s="424"/>
      <c r="C14" s="424"/>
      <c r="D14" s="424"/>
      <c r="E14" s="424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38" t="s">
        <v>417</v>
      </c>
      <c r="Q14" s="435" t="n">
        <v>8</v>
      </c>
      <c r="R14" s="434" t="s">
        <v>430</v>
      </c>
      <c r="S14" s="434" t="s">
        <v>431</v>
      </c>
      <c r="T14" s="434" t="s">
        <v>432</v>
      </c>
      <c r="U14" s="434" t="s">
        <v>433</v>
      </c>
      <c r="V14" s="436" t="n">
        <f aca="false">AY14</f>
        <v>0</v>
      </c>
      <c r="W14" s="424"/>
      <c r="X14" s="429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8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BC14" s="428"/>
      <c r="BF14" s="437"/>
      <c r="BG14" s="427"/>
      <c r="BH14" s="437"/>
      <c r="BI14" s="427"/>
      <c r="BJ14" s="427"/>
      <c r="BK14" s="437"/>
      <c r="BM14" s="428"/>
      <c r="BN14" s="439"/>
      <c r="BO14" s="428"/>
      <c r="BP14" s="431"/>
    </row>
    <row r="15" customFormat="false" ht="13.5" hidden="false" customHeight="true" outlineLevel="0" collapsed="false">
      <c r="A15" s="424"/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38" t="s">
        <v>417</v>
      </c>
      <c r="Q15" s="435" t="n">
        <v>9</v>
      </c>
      <c r="R15" s="434" t="s">
        <v>434</v>
      </c>
      <c r="S15" s="434" t="s">
        <v>435</v>
      </c>
      <c r="T15" s="434" t="s">
        <v>436</v>
      </c>
      <c r="U15" s="434" t="s">
        <v>437</v>
      </c>
      <c r="V15" s="436" t="n">
        <f aca="false">AY15</f>
        <v>0</v>
      </c>
      <c r="W15" s="424"/>
      <c r="X15" s="429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8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BC15" s="428"/>
      <c r="BF15" s="437"/>
      <c r="BG15" s="427"/>
      <c r="BH15" s="437"/>
      <c r="BI15" s="427"/>
      <c r="BJ15" s="427"/>
      <c r="BK15" s="437"/>
      <c r="BM15" s="429"/>
      <c r="BN15" s="427"/>
      <c r="BO15" s="428"/>
    </row>
    <row r="16" customFormat="false" ht="13.5" hidden="false" customHeight="true" outlineLevel="0" collapsed="false">
      <c r="A16" s="424"/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38" t="s">
        <v>417</v>
      </c>
      <c r="Q16" s="435" t="n">
        <v>10</v>
      </c>
      <c r="R16" s="434" t="s">
        <v>438</v>
      </c>
      <c r="S16" s="424"/>
      <c r="T16" s="434" t="s">
        <v>439</v>
      </c>
      <c r="U16" s="434" t="s">
        <v>440</v>
      </c>
      <c r="V16" s="436" t="n">
        <f aca="false">AY16</f>
        <v>0</v>
      </c>
      <c r="W16" s="424"/>
      <c r="X16" s="429"/>
      <c r="AH16" s="427"/>
      <c r="AR16" s="427"/>
      <c r="AY16" s="427"/>
      <c r="BA16" s="427"/>
      <c r="BB16" s="427"/>
      <c r="BC16" s="428"/>
      <c r="BG16" s="427"/>
      <c r="BH16" s="437"/>
      <c r="BJ16" s="427"/>
      <c r="BK16" s="437"/>
      <c r="BL16" s="427"/>
      <c r="BM16" s="428"/>
      <c r="BN16" s="439"/>
      <c r="BO16" s="428"/>
    </row>
    <row r="17" customFormat="false" ht="13.5" hidden="false" customHeight="true" outlineLevel="0" collapsed="false">
      <c r="A17" s="424"/>
      <c r="B17" s="424"/>
      <c r="C17" s="424"/>
      <c r="D17" s="424"/>
      <c r="E17" s="424"/>
      <c r="F17" s="435" t="n">
        <f aca="false">TRUNC(+A19/1000000)</f>
        <v>0</v>
      </c>
      <c r="G17" s="424"/>
      <c r="H17" s="424"/>
      <c r="I17" s="424"/>
      <c r="J17" s="424"/>
      <c r="K17" s="424"/>
      <c r="L17" s="424"/>
      <c r="M17" s="424"/>
      <c r="N17" s="424"/>
      <c r="O17" s="424"/>
      <c r="P17" s="438" t="s">
        <v>417</v>
      </c>
      <c r="Q17" s="435" t="n">
        <v>11</v>
      </c>
      <c r="R17" s="434" t="s">
        <v>441</v>
      </c>
      <c r="S17" s="424"/>
      <c r="T17" s="434" t="s">
        <v>442</v>
      </c>
      <c r="U17" s="434" t="s">
        <v>443</v>
      </c>
      <c r="V17" s="436" t="n">
        <f aca="false">AY17</f>
        <v>0</v>
      </c>
      <c r="W17" s="424"/>
      <c r="X17" s="429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BA17" s="427"/>
      <c r="BC17" s="428"/>
      <c r="BG17" s="427"/>
      <c r="BH17" s="437"/>
      <c r="BJ17" s="427"/>
      <c r="BN17" s="427"/>
      <c r="BO17" s="428"/>
    </row>
    <row r="18" customFormat="false" ht="13.5" hidden="false" customHeight="true" outlineLevel="0" collapsed="false">
      <c r="A18" s="424"/>
      <c r="B18" s="424"/>
      <c r="C18" s="424"/>
      <c r="D18" s="424"/>
      <c r="E18" s="424"/>
      <c r="F18" s="435" t="e">
        <f aca="false">(+B22*100000+C22*1000+E22*100)</f>
        <v>#VALUE!</v>
      </c>
      <c r="G18" s="424"/>
      <c r="H18" s="424"/>
      <c r="I18" s="424"/>
      <c r="J18" s="424"/>
      <c r="K18" s="424"/>
      <c r="L18" s="434" t="s">
        <v>444</v>
      </c>
      <c r="M18" s="424"/>
      <c r="N18" s="424"/>
      <c r="O18" s="424"/>
      <c r="P18" s="438" t="s">
        <v>417</v>
      </c>
      <c r="Q18" s="435" t="n">
        <v>12</v>
      </c>
      <c r="R18" s="434" t="s">
        <v>445</v>
      </c>
      <c r="S18" s="424"/>
      <c r="T18" s="434" t="s">
        <v>446</v>
      </c>
      <c r="U18" s="434" t="s">
        <v>447</v>
      </c>
      <c r="V18" s="436" t="n">
        <f aca="false">AY18</f>
        <v>0</v>
      </c>
      <c r="W18" s="424"/>
      <c r="X18" s="429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BA18" s="427"/>
      <c r="BC18" s="428"/>
      <c r="BG18" s="427"/>
      <c r="BH18" s="437"/>
      <c r="BJ18" s="427"/>
      <c r="BK18" s="431"/>
      <c r="BM18" s="427"/>
      <c r="BN18" s="427"/>
      <c r="BO18" s="428"/>
    </row>
    <row r="19" customFormat="false" ht="13.5" hidden="false" customHeight="true" outlineLevel="0" collapsed="false">
      <c r="A19" s="436" t="n">
        <f aca="false">TRUNC(+A20)</f>
        <v>122</v>
      </c>
      <c r="B19" s="424"/>
      <c r="C19" s="424"/>
      <c r="D19" s="424"/>
      <c r="E19" s="440" t="n">
        <f aca="false">TRUNC(+A19/100000000)</f>
        <v>0</v>
      </c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38" t="s">
        <v>417</v>
      </c>
      <c r="Q19" s="435" t="n">
        <v>13</v>
      </c>
      <c r="R19" s="434" t="s">
        <v>448</v>
      </c>
      <c r="S19" s="424"/>
      <c r="T19" s="434" t="s">
        <v>449</v>
      </c>
      <c r="U19" s="434" t="s">
        <v>450</v>
      </c>
      <c r="V19" s="436" t="n">
        <f aca="false">AY19</f>
        <v>0</v>
      </c>
      <c r="W19" s="424"/>
      <c r="X19" s="429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BC19" s="428"/>
      <c r="BM19" s="427"/>
      <c r="BN19" s="427"/>
      <c r="BO19" s="428"/>
    </row>
    <row r="20" customFormat="false" ht="13.5" hidden="false" customHeight="true" outlineLevel="0" collapsed="false">
      <c r="A20" s="441" t="n">
        <v>122</v>
      </c>
      <c r="B20" s="434" t="s">
        <v>451</v>
      </c>
      <c r="C20" s="434" t="s">
        <v>452</v>
      </c>
      <c r="D20" s="424"/>
      <c r="E20" s="434" t="s">
        <v>452</v>
      </c>
      <c r="F20" s="424"/>
      <c r="G20" s="424"/>
      <c r="H20" s="424"/>
      <c r="I20" s="440" t="n">
        <f aca="false">TRUNC((+A19-(+F17*1000000))/1000)</f>
        <v>0</v>
      </c>
      <c r="J20" s="424"/>
      <c r="K20" s="440" t="n">
        <f aca="false">(TRUNC((+A19-(+F17*1000000))/1))-I20*1000</f>
        <v>122</v>
      </c>
      <c r="L20" s="424"/>
      <c r="M20" s="424"/>
      <c r="N20" s="424"/>
      <c r="O20" s="424"/>
      <c r="P20" s="438" t="s">
        <v>417</v>
      </c>
      <c r="Q20" s="435" t="n">
        <v>14</v>
      </c>
      <c r="R20" s="434" t="s">
        <v>453</v>
      </c>
      <c r="S20" s="424"/>
      <c r="T20" s="434" t="s">
        <v>454</v>
      </c>
      <c r="U20" s="434" t="s">
        <v>455</v>
      </c>
      <c r="V20" s="436" t="n">
        <f aca="false">AY20</f>
        <v>0</v>
      </c>
      <c r="W20" s="424"/>
      <c r="X20" s="429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BC20" s="428"/>
      <c r="BL20" s="426"/>
      <c r="BN20" s="427"/>
      <c r="BO20" s="428"/>
    </row>
    <row r="21" customFormat="false" ht="13.5" hidden="false" customHeight="true" outlineLevel="0" collapsed="false">
      <c r="A21" s="424"/>
      <c r="B21" s="442" t="s">
        <v>456</v>
      </c>
      <c r="C21" s="442" t="s">
        <v>456</v>
      </c>
      <c r="D21" s="424"/>
      <c r="E21" s="442" t="s">
        <v>456</v>
      </c>
      <c r="F21" s="424"/>
      <c r="G21" s="424"/>
      <c r="H21" s="424"/>
      <c r="I21" s="424"/>
      <c r="J21" s="424"/>
      <c r="K21" s="424"/>
      <c r="L21" s="424"/>
      <c r="M21" s="424"/>
      <c r="N21" s="440" t="n">
        <f aca="false">ROUND(((+A20-A19)*100),1)</f>
        <v>0</v>
      </c>
      <c r="O21" s="424"/>
      <c r="P21" s="438" t="s">
        <v>417</v>
      </c>
      <c r="Q21" s="435" t="n">
        <v>15</v>
      </c>
      <c r="R21" s="434" t="s">
        <v>457</v>
      </c>
      <c r="S21" s="424"/>
      <c r="T21" s="434" t="s">
        <v>458</v>
      </c>
      <c r="U21" s="434" t="s">
        <v>459</v>
      </c>
      <c r="V21" s="436" t="n">
        <f aca="false">AY21</f>
        <v>0</v>
      </c>
      <c r="W21" s="424"/>
      <c r="X21" s="429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BC21" s="428"/>
      <c r="BK21" s="426"/>
      <c r="BN21" s="427"/>
      <c r="BO21" s="428"/>
      <c r="BQ21" s="429"/>
      <c r="BR21" s="426"/>
      <c r="BS21" s="426"/>
    </row>
    <row r="22" customFormat="false" ht="13.5" hidden="false" customHeight="true" outlineLevel="0" collapsed="false">
      <c r="A22" s="424"/>
      <c r="B22" s="440" t="n">
        <f aca="false">TRUNC(+A20/100000000000)</f>
        <v>0</v>
      </c>
      <c r="C22" s="440" t="n">
        <f aca="false">(TRUNC(+A19/1000000000))-B22*100</f>
        <v>0</v>
      </c>
      <c r="D22" s="424"/>
      <c r="E22" s="435" t="str">
        <f aca="false">IF(E19&gt;0,TRUNC(+E19-B22*1000-C22*10),"")</f>
        <v/>
      </c>
      <c r="F22" s="435" t="e">
        <f aca="false">F17-F18</f>
        <v>#VALUE!</v>
      </c>
      <c r="G22" s="435" t="e">
        <f aca="false">G24</f>
        <v>#VALUE!</v>
      </c>
      <c r="H22" s="440" t="n">
        <f aca="false">TRUNC((+A19-(+F17*1000000))/100000)</f>
        <v>0</v>
      </c>
      <c r="I22" s="440" t="n">
        <f aca="false">I20-H22*100</f>
        <v>0</v>
      </c>
      <c r="J22" s="424"/>
      <c r="K22" s="440" t="n">
        <f aca="false">TRUNC(+K20/100)</f>
        <v>1</v>
      </c>
      <c r="L22" s="440" t="n">
        <f aca="false">K20-K22*100</f>
        <v>22</v>
      </c>
      <c r="M22" s="440" t="str">
        <f aca="false">IF(N22&gt;0," &amp; Sen ","")</f>
        <v/>
      </c>
      <c r="N22" s="435" t="n">
        <f aca="false">N21</f>
        <v>0</v>
      </c>
      <c r="O22" s="424"/>
      <c r="P22" s="438" t="s">
        <v>417</v>
      </c>
      <c r="Q22" s="435" t="n">
        <v>16</v>
      </c>
      <c r="R22" s="434" t="s">
        <v>460</v>
      </c>
      <c r="S22" s="424"/>
      <c r="T22" s="434" t="s">
        <v>461</v>
      </c>
      <c r="U22" s="434" t="s">
        <v>462</v>
      </c>
      <c r="V22" s="436" t="n">
        <f aca="false">AY22</f>
        <v>0</v>
      </c>
      <c r="W22" s="424"/>
      <c r="X22" s="429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8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BC22" s="428"/>
      <c r="BN22" s="427"/>
      <c r="BO22" s="428"/>
      <c r="BQ22" s="429"/>
      <c r="BR22" s="426"/>
      <c r="BS22" s="426"/>
    </row>
    <row r="23" customFormat="false" ht="13.5" hidden="false" customHeight="true" outlineLevel="0" collapsed="false">
      <c r="A23" s="424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38" t="s">
        <v>417</v>
      </c>
      <c r="Q23" s="435" t="n">
        <v>17</v>
      </c>
      <c r="R23" s="434" t="s">
        <v>463</v>
      </c>
      <c r="S23" s="424"/>
      <c r="T23" s="434" t="s">
        <v>464</v>
      </c>
      <c r="U23" s="434" t="s">
        <v>465</v>
      </c>
      <c r="V23" s="436" t="n">
        <f aca="false">AY23</f>
        <v>0</v>
      </c>
      <c r="W23" s="424"/>
      <c r="X23" s="429"/>
      <c r="AY23" s="427"/>
      <c r="BB23" s="429"/>
      <c r="BC23" s="428"/>
      <c r="BG23" s="427"/>
      <c r="BH23" s="437"/>
      <c r="BJ23" s="427"/>
      <c r="BK23" s="437"/>
      <c r="BL23" s="427"/>
      <c r="BM23" s="429"/>
      <c r="BN23" s="427"/>
      <c r="BO23" s="428"/>
      <c r="BQ23" s="429"/>
      <c r="BR23" s="426"/>
      <c r="BS23" s="426"/>
    </row>
    <row r="24" customFormat="false" ht="13.5" hidden="false" customHeight="false" outlineLevel="0" collapsed="false">
      <c r="A24" s="440" t="n">
        <f aca="false">B22*100000000000</f>
        <v>0</v>
      </c>
      <c r="B24" s="440" t="str">
        <f aca="false">IF(B22&gt;0,VLOOKUP(B22,$Q$7:$T$15,3),"")</f>
        <v/>
      </c>
      <c r="C24" s="440" t="str">
        <f aca="false">IF(C22&gt;0,VLOOKUP(C22,Q7:R105,2),"")</f>
        <v/>
      </c>
      <c r="D24" s="440" t="str">
        <f aca="false">IF(B19+C22&gt;0," Milyar ","")</f>
        <v/>
      </c>
      <c r="E24" s="440" t="e">
        <f aca="false">IF(E22&gt;0,VLOOKUP(E22,$Q$7:$T$15,3),"")</f>
        <v>#N/A</v>
      </c>
      <c r="F24" s="440" t="e">
        <f aca="false">IF(F22&gt;0,VLOOKUP(F22,Q7:R105,2),"")</f>
        <v>#VALUE!</v>
      </c>
      <c r="G24" s="435" t="e">
        <f aca="false">IF(F22+E22&gt;0," Juta","")</f>
        <v>#VALUE!</v>
      </c>
      <c r="H24" s="440" t="str">
        <f aca="false">IF(H22&gt;0,VLOOKUP(H22,$Q$7:$T$15,3),"")</f>
        <v/>
      </c>
      <c r="I24" s="440" t="str">
        <f aca="false">IF(I22=1," Se",IF(I22=0,"",VLOOKUP(I22,Q7:R105,2)))</f>
        <v/>
      </c>
      <c r="J24" s="435" t="str">
        <f aca="false">IF(I22+H22&gt;0," ribu","")</f>
        <v/>
      </c>
      <c r="K24" s="440" t="str">
        <f aca="false">IF(K22&gt;0,VLOOKUP(K22,Q7:S15,3),"")</f>
        <v> Seratus</v>
      </c>
      <c r="L24" s="440" t="str">
        <f aca="false">IF(L22&gt;0,VLOOKUP(L22,Q7:R105,2),"")</f>
        <v> Dua puluh dua</v>
      </c>
      <c r="M24" s="440" t="str">
        <f aca="false">IF(N22&gt;0,VLOOKUP(N21,Q6:U105,5)," Rupiah ")</f>
        <v> Rupiah </v>
      </c>
      <c r="N24" s="424"/>
      <c r="O24" s="435" t="str">
        <f aca="false">IF(N22&gt;0," ====","")</f>
        <v/>
      </c>
      <c r="P24" s="435" t="str">
        <f aca="false">IF(N22&gt;0,"-","====")</f>
        <v>====</v>
      </c>
      <c r="Q24" s="435" t="n">
        <v>18</v>
      </c>
      <c r="R24" s="434" t="s">
        <v>466</v>
      </c>
      <c r="S24" s="424"/>
      <c r="T24" s="434" t="s">
        <v>467</v>
      </c>
      <c r="U24" s="434" t="s">
        <v>468</v>
      </c>
      <c r="V24" s="436" t="n">
        <f aca="false">AY24</f>
        <v>0</v>
      </c>
      <c r="W24" s="424"/>
      <c r="X24" s="429"/>
      <c r="AY24" s="427"/>
      <c r="BC24" s="428"/>
      <c r="BD24" s="429"/>
      <c r="BG24" s="427"/>
      <c r="BH24" s="437"/>
      <c r="BJ24" s="427"/>
      <c r="BK24" s="437"/>
      <c r="BL24" s="427"/>
      <c r="BM24" s="429"/>
      <c r="BN24" s="427"/>
      <c r="BO24" s="428"/>
      <c r="BQ24" s="429"/>
      <c r="BR24" s="426"/>
      <c r="BS24" s="426"/>
    </row>
    <row r="25" customFormat="false" ht="13.5" hidden="false" customHeight="true" outlineLevel="0" collapsed="false">
      <c r="A25" s="440"/>
      <c r="B25" s="435" t="str">
        <f aca="false">B24</f>
        <v/>
      </c>
      <c r="C25" s="424"/>
      <c r="D25" s="424"/>
      <c r="E25" s="424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38" t="s">
        <v>417</v>
      </c>
      <c r="Q25" s="435" t="n">
        <v>19</v>
      </c>
      <c r="R25" s="434" t="s">
        <v>469</v>
      </c>
      <c r="S25" s="424"/>
      <c r="T25" s="434" t="s">
        <v>470</v>
      </c>
      <c r="U25" s="434" t="s">
        <v>471</v>
      </c>
      <c r="V25" s="436" t="n">
        <f aca="false">AY30</f>
        <v>0</v>
      </c>
      <c r="W25" s="424"/>
      <c r="BB25" s="429"/>
      <c r="BC25" s="428"/>
      <c r="BD25" s="429"/>
      <c r="BG25" s="427"/>
      <c r="BH25" s="437"/>
      <c r="BJ25" s="427"/>
      <c r="BK25" s="431"/>
      <c r="BN25" s="427"/>
      <c r="BO25" s="428"/>
      <c r="BQ25" s="429"/>
      <c r="BR25" s="426"/>
      <c r="BS25" s="426"/>
    </row>
    <row r="26" customFormat="false" ht="13.5" hidden="false" customHeight="true" outlineLevel="0" collapsed="false">
      <c r="A26" s="440"/>
      <c r="B26" s="435" t="str">
        <f aca="false">C24</f>
        <v/>
      </c>
      <c r="C26" s="424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38" t="s">
        <v>417</v>
      </c>
      <c r="Q26" s="435" t="n">
        <v>20</v>
      </c>
      <c r="R26" s="434" t="s">
        <v>472</v>
      </c>
      <c r="S26" s="424"/>
      <c r="T26" s="434" t="s">
        <v>473</v>
      </c>
      <c r="U26" s="434" t="s">
        <v>474</v>
      </c>
      <c r="V26" s="436" t="n">
        <f aca="false">AY31</f>
        <v>0</v>
      </c>
      <c r="W26" s="424"/>
      <c r="AC26" s="427"/>
      <c r="AD26" s="427"/>
      <c r="AE26" s="427"/>
      <c r="AH26" s="427"/>
      <c r="AI26" s="427"/>
      <c r="AK26" s="427"/>
      <c r="AQ26" s="427"/>
      <c r="AT26" s="427"/>
      <c r="BC26" s="428"/>
      <c r="BD26" s="429"/>
      <c r="BG26" s="427"/>
      <c r="BH26" s="437"/>
      <c r="BJ26" s="427"/>
      <c r="BK26" s="437"/>
      <c r="BL26" s="431"/>
      <c r="BN26" s="427"/>
      <c r="BO26" s="428"/>
      <c r="BQ26" s="429"/>
      <c r="BR26" s="426"/>
      <c r="BS26" s="426"/>
    </row>
    <row r="27" customFormat="false" ht="13.5" hidden="false" customHeight="true" outlineLevel="0" collapsed="false">
      <c r="A27" s="440"/>
      <c r="B27" s="435" t="str">
        <f aca="false">D24</f>
        <v/>
      </c>
      <c r="C27" s="424"/>
      <c r="D27" s="424"/>
      <c r="E27" s="424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38" t="s">
        <v>417</v>
      </c>
      <c r="Q27" s="435" t="n">
        <v>21</v>
      </c>
      <c r="R27" s="434" t="s">
        <v>475</v>
      </c>
      <c r="S27" s="424"/>
      <c r="T27" s="434" t="s">
        <v>476</v>
      </c>
      <c r="U27" s="434" t="s">
        <v>477</v>
      </c>
      <c r="V27" s="436" t="n">
        <f aca="false">AY32</f>
        <v>0</v>
      </c>
      <c r="W27" s="424"/>
      <c r="AQ27" s="427"/>
      <c r="BC27" s="428"/>
      <c r="BD27" s="429"/>
      <c r="BG27" s="427"/>
      <c r="BH27" s="437"/>
      <c r="BJ27" s="427"/>
      <c r="BK27" s="437"/>
      <c r="BL27" s="427"/>
      <c r="BM27" s="429"/>
      <c r="BN27" s="427"/>
      <c r="BO27" s="428"/>
      <c r="BQ27" s="429"/>
      <c r="BR27" s="426"/>
      <c r="BS27" s="426"/>
    </row>
    <row r="28" customFormat="false" ht="13.5" hidden="false" customHeight="false" outlineLevel="0" collapsed="false">
      <c r="A28" s="440"/>
      <c r="B28" s="435" t="e">
        <f aca="false">E24</f>
        <v>#N/A</v>
      </c>
      <c r="C28" s="424"/>
      <c r="D28" s="424"/>
      <c r="E28" s="424"/>
      <c r="F28" s="424"/>
      <c r="G28" s="424"/>
      <c r="H28" s="424"/>
      <c r="I28" s="424"/>
      <c r="J28" s="424"/>
      <c r="K28" s="424"/>
      <c r="L28" s="424"/>
      <c r="M28" s="424"/>
      <c r="N28" s="424"/>
      <c r="O28" s="424"/>
      <c r="P28" s="424"/>
      <c r="Q28" s="435" t="n">
        <v>22</v>
      </c>
      <c r="R28" s="434" t="s">
        <v>478</v>
      </c>
      <c r="S28" s="424"/>
      <c r="T28" s="434" t="s">
        <v>479</v>
      </c>
      <c r="U28" s="434" t="s">
        <v>480</v>
      </c>
      <c r="V28" s="436" t="n">
        <f aca="false">AY33</f>
        <v>0</v>
      </c>
      <c r="W28" s="424"/>
      <c r="AC28" s="427"/>
      <c r="AH28" s="427"/>
      <c r="BC28" s="428"/>
      <c r="BG28" s="427"/>
      <c r="BH28" s="437"/>
      <c r="BJ28" s="427"/>
      <c r="BK28" s="437"/>
      <c r="BL28" s="427"/>
      <c r="BM28" s="429"/>
      <c r="BN28" s="427"/>
      <c r="BO28" s="428"/>
      <c r="BQ28" s="429"/>
      <c r="BR28" s="426"/>
      <c r="BS28" s="426"/>
    </row>
    <row r="29" customFormat="false" ht="13.5" hidden="false" customHeight="true" outlineLevel="0" collapsed="false">
      <c r="A29" s="440"/>
      <c r="B29" s="435" t="e">
        <f aca="false">F24</f>
        <v>#VALUE!</v>
      </c>
      <c r="C29" s="424"/>
      <c r="D29" s="424"/>
      <c r="E29" s="42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38" t="s">
        <v>417</v>
      </c>
      <c r="Q29" s="435" t="n">
        <v>23</v>
      </c>
      <c r="R29" s="434" t="s">
        <v>481</v>
      </c>
      <c r="S29" s="424"/>
      <c r="T29" s="434" t="s">
        <v>482</v>
      </c>
      <c r="U29" s="434" t="s">
        <v>483</v>
      </c>
      <c r="V29" s="436" t="n">
        <f aca="false">AY34</f>
        <v>0</v>
      </c>
      <c r="W29" s="424"/>
      <c r="BA29" s="427"/>
      <c r="BB29" s="429"/>
      <c r="BC29" s="428"/>
      <c r="BG29" s="427"/>
      <c r="BH29" s="437"/>
      <c r="BJ29" s="427"/>
      <c r="BK29" s="437"/>
      <c r="BL29" s="427"/>
      <c r="BM29" s="429"/>
      <c r="BN29" s="427"/>
      <c r="BO29" s="428"/>
      <c r="BQ29" s="429"/>
      <c r="BR29" s="426"/>
      <c r="BS29" s="426"/>
    </row>
    <row r="30" customFormat="false" ht="13.5" hidden="false" customHeight="true" outlineLevel="0" collapsed="false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4"/>
      <c r="M30" s="424"/>
      <c r="N30" s="424"/>
      <c r="O30" s="424"/>
      <c r="P30" s="438" t="s">
        <v>417</v>
      </c>
      <c r="Q30" s="435" t="n">
        <v>24</v>
      </c>
      <c r="R30" s="434" t="s">
        <v>484</v>
      </c>
      <c r="S30" s="424"/>
      <c r="T30" s="434" t="s">
        <v>485</v>
      </c>
      <c r="U30" s="434" t="s">
        <v>486</v>
      </c>
      <c r="V30" s="436" t="n">
        <f aca="false">AY35</f>
        <v>0</v>
      </c>
      <c r="W30" s="424"/>
      <c r="X30" s="429"/>
      <c r="Y30" s="426"/>
      <c r="Z30" s="429"/>
      <c r="AA30" s="426"/>
      <c r="AB30" s="426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8"/>
      <c r="AP30" s="427"/>
      <c r="AQ30" s="427"/>
      <c r="AR30" s="427"/>
      <c r="AS30" s="427"/>
      <c r="AT30" s="427"/>
      <c r="AU30" s="427"/>
      <c r="AV30" s="427"/>
      <c r="AW30" s="427"/>
      <c r="AX30" s="433"/>
      <c r="AY30" s="427"/>
      <c r="BN30" s="427"/>
      <c r="BO30" s="428"/>
      <c r="BQ30" s="429"/>
      <c r="BR30" s="426"/>
      <c r="BS30" s="426"/>
    </row>
    <row r="31" customFormat="false" ht="13.5" hidden="false" customHeight="true" outlineLevel="0" collapsed="false">
      <c r="A31" s="424"/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38" t="s">
        <v>417</v>
      </c>
      <c r="Q31" s="435" t="n">
        <v>25</v>
      </c>
      <c r="R31" s="434" t="s">
        <v>487</v>
      </c>
      <c r="S31" s="424"/>
      <c r="T31" s="434" t="s">
        <v>488</v>
      </c>
      <c r="U31" s="434" t="s">
        <v>489</v>
      </c>
      <c r="V31" s="436" t="n">
        <f aca="false">AY36</f>
        <v>0</v>
      </c>
      <c r="W31" s="424"/>
      <c r="X31" s="429"/>
      <c r="Y31" s="426"/>
      <c r="Z31" s="429"/>
      <c r="AA31" s="426"/>
      <c r="AB31" s="426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8"/>
      <c r="AP31" s="427"/>
      <c r="AQ31" s="427"/>
      <c r="AR31" s="427"/>
      <c r="AS31" s="427"/>
      <c r="AT31" s="427"/>
      <c r="AU31" s="427"/>
      <c r="AV31" s="427"/>
      <c r="AW31" s="427"/>
      <c r="AX31" s="433"/>
      <c r="AY31" s="427"/>
      <c r="BN31" s="427"/>
      <c r="BP31" s="428"/>
      <c r="BQ31" s="429"/>
      <c r="BR31" s="426"/>
      <c r="BS31" s="426"/>
    </row>
    <row r="32" customFormat="false" ht="13.5" hidden="false" customHeight="true" outlineLevel="0" collapsed="false">
      <c r="A32" s="424"/>
      <c r="B32" s="424"/>
      <c r="C32" s="424"/>
      <c r="D32" s="424"/>
      <c r="E32" s="424"/>
      <c r="F32" s="424"/>
      <c r="G32" s="424"/>
      <c r="H32" s="424"/>
      <c r="I32" s="424"/>
      <c r="J32" s="424"/>
      <c r="K32" s="424"/>
      <c r="L32" s="424"/>
      <c r="M32" s="424"/>
      <c r="N32" s="424"/>
      <c r="O32" s="424"/>
      <c r="P32" s="438" t="s">
        <v>417</v>
      </c>
      <c r="Q32" s="435" t="n">
        <v>26</v>
      </c>
      <c r="R32" s="434" t="s">
        <v>490</v>
      </c>
      <c r="S32" s="424"/>
      <c r="T32" s="434" t="s">
        <v>491</v>
      </c>
      <c r="U32" s="434" t="s">
        <v>492</v>
      </c>
      <c r="V32" s="436" t="n">
        <f aca="false">AY37</f>
        <v>0</v>
      </c>
      <c r="W32" s="424"/>
      <c r="X32" s="429"/>
      <c r="Y32" s="426"/>
      <c r="Z32" s="429"/>
      <c r="AA32" s="426"/>
      <c r="AB32" s="426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8"/>
      <c r="AP32" s="427"/>
      <c r="AQ32" s="427"/>
      <c r="AR32" s="427"/>
      <c r="AS32" s="427"/>
      <c r="AT32" s="427"/>
      <c r="AU32" s="427"/>
      <c r="AV32" s="427"/>
      <c r="AW32" s="427"/>
      <c r="AX32" s="433"/>
      <c r="AY32" s="427"/>
      <c r="BN32" s="427"/>
      <c r="BO32" s="428"/>
      <c r="BP32" s="428"/>
      <c r="BQ32" s="429"/>
      <c r="BR32" s="426"/>
      <c r="BS32" s="426"/>
    </row>
    <row r="33" customFormat="false" ht="13.5" hidden="false" customHeight="false" outlineLevel="0" collapsed="false">
      <c r="A33" s="424"/>
      <c r="B33" s="424"/>
      <c r="C33" s="424"/>
      <c r="D33" s="424"/>
      <c r="E33" s="424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35" t="n">
        <v>27</v>
      </c>
      <c r="R33" s="434" t="s">
        <v>493</v>
      </c>
      <c r="S33" s="424"/>
      <c r="T33" s="434" t="s">
        <v>494</v>
      </c>
      <c r="U33" s="434" t="s">
        <v>495</v>
      </c>
      <c r="V33" s="436" t="n">
        <f aca="false">AY38</f>
        <v>0</v>
      </c>
      <c r="W33" s="424"/>
      <c r="X33" s="429"/>
      <c r="Y33" s="426"/>
      <c r="Z33" s="429"/>
      <c r="AA33" s="426"/>
      <c r="AB33" s="426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8"/>
      <c r="AP33" s="427"/>
      <c r="AQ33" s="427"/>
      <c r="AR33" s="427"/>
      <c r="AS33" s="427"/>
      <c r="AT33" s="427"/>
      <c r="AU33" s="427"/>
      <c r="AV33" s="427"/>
      <c r="AW33" s="427"/>
      <c r="AX33" s="433"/>
      <c r="AY33" s="427"/>
      <c r="BN33" s="427"/>
      <c r="BO33" s="428"/>
      <c r="BP33" s="428"/>
      <c r="BQ33" s="429"/>
      <c r="BR33" s="426"/>
      <c r="BS33" s="426"/>
    </row>
    <row r="34" customFormat="false" ht="13.5" hidden="false" customHeight="false" outlineLevel="0" collapsed="false">
      <c r="A34" s="424"/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  <c r="P34" s="424"/>
      <c r="Q34" s="435" t="n">
        <v>28</v>
      </c>
      <c r="R34" s="434" t="s">
        <v>496</v>
      </c>
      <c r="S34" s="424"/>
      <c r="T34" s="434" t="s">
        <v>497</v>
      </c>
      <c r="U34" s="434" t="s">
        <v>498</v>
      </c>
      <c r="V34" s="436" t="n">
        <f aca="false">AY39</f>
        <v>0</v>
      </c>
      <c r="W34" s="424"/>
      <c r="X34" s="429"/>
      <c r="Y34" s="426"/>
      <c r="Z34" s="429"/>
      <c r="AA34" s="426"/>
      <c r="AB34" s="426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8"/>
      <c r="AP34" s="427"/>
      <c r="AQ34" s="427"/>
      <c r="AR34" s="427"/>
      <c r="AS34" s="427"/>
      <c r="AT34" s="427"/>
      <c r="AU34" s="427"/>
      <c r="AV34" s="427"/>
      <c r="AW34" s="427"/>
      <c r="AX34" s="433"/>
      <c r="AY34" s="427"/>
      <c r="BN34" s="427"/>
      <c r="BO34" s="428"/>
      <c r="BP34" s="428"/>
      <c r="BQ34" s="429"/>
      <c r="BR34" s="426"/>
      <c r="BS34" s="426"/>
    </row>
    <row r="35" customFormat="false" ht="13.5" hidden="false" customHeight="false" outlineLevel="0" collapsed="false">
      <c r="A35" s="424"/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35" t="n">
        <v>29</v>
      </c>
      <c r="R35" s="434" t="s">
        <v>499</v>
      </c>
      <c r="S35" s="424"/>
      <c r="T35" s="434" t="s">
        <v>500</v>
      </c>
      <c r="U35" s="434" t="s">
        <v>501</v>
      </c>
      <c r="V35" s="436" t="n">
        <f aca="false">AY40</f>
        <v>0</v>
      </c>
      <c r="W35" s="424"/>
      <c r="X35" s="429"/>
      <c r="Y35" s="426"/>
      <c r="Z35" s="429"/>
      <c r="AA35" s="426"/>
      <c r="AB35" s="426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8"/>
      <c r="AP35" s="427"/>
      <c r="AQ35" s="427"/>
      <c r="AR35" s="427"/>
      <c r="AS35" s="427"/>
      <c r="AT35" s="427"/>
      <c r="AU35" s="427"/>
      <c r="AV35" s="427"/>
      <c r="AW35" s="427"/>
      <c r="AX35" s="433"/>
      <c r="AY35" s="427"/>
      <c r="BN35" s="427"/>
      <c r="BO35" s="428"/>
      <c r="BP35" s="428"/>
      <c r="BQ35" s="429"/>
      <c r="BR35" s="426"/>
      <c r="BS35" s="426"/>
    </row>
    <row r="36" customFormat="false" ht="13.5" hidden="false" customHeight="false" outlineLevel="0" collapsed="false">
      <c r="A36" s="424"/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35" t="n">
        <v>30</v>
      </c>
      <c r="R36" s="434" t="s">
        <v>502</v>
      </c>
      <c r="S36" s="424"/>
      <c r="T36" s="434" t="s">
        <v>503</v>
      </c>
      <c r="U36" s="434" t="s">
        <v>504</v>
      </c>
      <c r="V36" s="436" t="n">
        <f aca="false">AY41</f>
        <v>0</v>
      </c>
      <c r="W36" s="424"/>
      <c r="X36" s="429"/>
      <c r="Y36" s="426"/>
      <c r="Z36" s="429"/>
      <c r="AA36" s="426"/>
      <c r="AB36" s="426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8"/>
      <c r="AP36" s="427"/>
      <c r="AQ36" s="427"/>
      <c r="AR36" s="427"/>
      <c r="AS36" s="427"/>
      <c r="AT36" s="427"/>
      <c r="AU36" s="427"/>
      <c r="AV36" s="427"/>
      <c r="AW36" s="427"/>
      <c r="AX36" s="433"/>
      <c r="AY36" s="427"/>
      <c r="BN36" s="427"/>
      <c r="BO36" s="428"/>
      <c r="BP36" s="428"/>
      <c r="BQ36" s="429"/>
      <c r="BR36" s="426"/>
      <c r="BS36" s="426"/>
    </row>
    <row r="37" customFormat="false" ht="13.5" hidden="false" customHeight="false" outlineLevel="0" collapsed="false">
      <c r="A37" s="424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35" t="n">
        <v>31</v>
      </c>
      <c r="R37" s="434" t="s">
        <v>505</v>
      </c>
      <c r="S37" s="424"/>
      <c r="T37" s="434" t="s">
        <v>506</v>
      </c>
      <c r="U37" s="434" t="s">
        <v>507</v>
      </c>
      <c r="V37" s="436" t="n">
        <f aca="false">AY42</f>
        <v>0</v>
      </c>
      <c r="W37" s="424"/>
      <c r="X37" s="429"/>
      <c r="Y37" s="426"/>
      <c r="Z37" s="429"/>
      <c r="AA37" s="426"/>
      <c r="AB37" s="426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8"/>
      <c r="AP37" s="427"/>
      <c r="AQ37" s="427"/>
      <c r="AR37" s="427"/>
      <c r="AS37" s="427"/>
      <c r="AT37" s="427"/>
      <c r="AU37" s="427"/>
      <c r="AV37" s="427"/>
      <c r="AW37" s="427"/>
      <c r="AX37" s="433"/>
      <c r="AY37" s="427"/>
      <c r="BN37" s="427"/>
      <c r="BO37" s="428"/>
      <c r="BP37" s="428"/>
      <c r="BQ37" s="429"/>
      <c r="BR37" s="426"/>
      <c r="BS37" s="426"/>
    </row>
    <row r="38" customFormat="false" ht="13.5" hidden="false" customHeight="false" outlineLevel="0" collapsed="false">
      <c r="A38" s="424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35" t="n">
        <v>32</v>
      </c>
      <c r="R38" s="434" t="s">
        <v>508</v>
      </c>
      <c r="S38" s="424"/>
      <c r="T38" s="434" t="s">
        <v>509</v>
      </c>
      <c r="U38" s="434" t="s">
        <v>510</v>
      </c>
      <c r="V38" s="436" t="n">
        <f aca="false">AY43</f>
        <v>0</v>
      </c>
      <c r="W38" s="424"/>
      <c r="X38" s="429"/>
      <c r="Y38" s="426"/>
      <c r="Z38" s="429"/>
      <c r="AA38" s="426"/>
      <c r="AB38" s="426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8"/>
      <c r="AP38" s="427"/>
      <c r="AQ38" s="427"/>
      <c r="AR38" s="427"/>
      <c r="AS38" s="427"/>
      <c r="AT38" s="427"/>
      <c r="AU38" s="427"/>
      <c r="AV38" s="427"/>
      <c r="AW38" s="427"/>
      <c r="AX38" s="433"/>
      <c r="AY38" s="427"/>
      <c r="BN38" s="427"/>
      <c r="BO38" s="428"/>
      <c r="BP38" s="428"/>
      <c r="BQ38" s="429"/>
      <c r="BR38" s="426"/>
      <c r="BS38" s="426"/>
    </row>
    <row r="39" customFormat="false" ht="13.5" hidden="false" customHeight="false" outlineLevel="0" collapsed="false">
      <c r="A39" s="440"/>
      <c r="B39" s="435" t="e">
        <f aca="false">G24</f>
        <v>#VALUE!</v>
      </c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35" t="n">
        <v>33</v>
      </c>
      <c r="R39" s="434" t="s">
        <v>511</v>
      </c>
      <c r="S39" s="424"/>
      <c r="T39" s="434" t="s">
        <v>512</v>
      </c>
      <c r="U39" s="434" t="s">
        <v>513</v>
      </c>
      <c r="V39" s="436" t="n">
        <f aca="false">AY44</f>
        <v>0</v>
      </c>
      <c r="W39" s="424"/>
      <c r="X39" s="429"/>
      <c r="Y39" s="426"/>
      <c r="Z39" s="429"/>
      <c r="AA39" s="426"/>
      <c r="AB39" s="426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8"/>
      <c r="AP39" s="427"/>
      <c r="AQ39" s="427"/>
      <c r="AR39" s="427"/>
      <c r="AS39" s="427"/>
      <c r="AT39" s="427"/>
      <c r="AU39" s="427"/>
      <c r="AV39" s="427"/>
      <c r="AW39" s="427"/>
      <c r="AX39" s="433"/>
      <c r="AY39" s="427"/>
      <c r="BB39" s="429"/>
      <c r="BC39" s="428"/>
      <c r="BG39" s="427"/>
      <c r="BH39" s="437"/>
      <c r="BJ39" s="427"/>
      <c r="BK39" s="437"/>
      <c r="BL39" s="427"/>
      <c r="BM39" s="429"/>
      <c r="BN39" s="427"/>
      <c r="BO39" s="428"/>
      <c r="BP39" s="428"/>
      <c r="BQ39" s="429"/>
      <c r="BR39" s="426"/>
      <c r="BS39" s="426"/>
    </row>
    <row r="40" customFormat="false" ht="13.5" hidden="false" customHeight="false" outlineLevel="0" collapsed="false">
      <c r="A40" s="440"/>
      <c r="B40" s="435" t="str">
        <f aca="false">H24</f>
        <v/>
      </c>
      <c r="C40" s="424"/>
      <c r="D40" s="424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35" t="n">
        <v>34</v>
      </c>
      <c r="R40" s="434" t="s">
        <v>514</v>
      </c>
      <c r="S40" s="424"/>
      <c r="T40" s="434" t="s">
        <v>515</v>
      </c>
      <c r="U40" s="434" t="s">
        <v>516</v>
      </c>
      <c r="V40" s="436" t="n">
        <f aca="false">AY45</f>
        <v>0</v>
      </c>
      <c r="W40" s="424"/>
      <c r="X40" s="429"/>
      <c r="Y40" s="426"/>
      <c r="Z40" s="429"/>
      <c r="AA40" s="426"/>
      <c r="AB40" s="426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8"/>
      <c r="AP40" s="427"/>
      <c r="AQ40" s="427"/>
      <c r="AR40" s="427"/>
      <c r="AS40" s="427"/>
      <c r="AT40" s="427"/>
      <c r="AU40" s="427"/>
      <c r="AV40" s="427"/>
      <c r="AW40" s="427"/>
      <c r="AX40" s="433"/>
      <c r="AY40" s="427"/>
      <c r="BA40" s="427"/>
      <c r="BB40" s="427"/>
      <c r="BC40" s="427"/>
      <c r="BD40" s="427"/>
      <c r="BE40" s="427"/>
      <c r="BG40" s="427"/>
      <c r="BH40" s="427"/>
      <c r="BJ40" s="427"/>
      <c r="BK40" s="427"/>
      <c r="BL40" s="427"/>
      <c r="BN40" s="427"/>
      <c r="BO40" s="428"/>
      <c r="BP40" s="428"/>
      <c r="BQ40" s="429"/>
      <c r="BR40" s="426"/>
      <c r="BS40" s="426"/>
    </row>
    <row r="41" customFormat="false" ht="13.5" hidden="false" customHeight="false" outlineLevel="0" collapsed="false">
      <c r="A41" s="440"/>
      <c r="B41" s="435" t="str">
        <f aca="false">I24</f>
        <v/>
      </c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35" t="n">
        <v>35</v>
      </c>
      <c r="R41" s="434" t="s">
        <v>517</v>
      </c>
      <c r="S41" s="424"/>
      <c r="T41" s="434" t="s">
        <v>518</v>
      </c>
      <c r="U41" s="434" t="s">
        <v>519</v>
      </c>
      <c r="V41" s="436" t="n">
        <f aca="false">AY46</f>
        <v>0</v>
      </c>
      <c r="W41" s="424"/>
      <c r="X41" s="429"/>
      <c r="Y41" s="426"/>
      <c r="Z41" s="429"/>
      <c r="AA41" s="426"/>
      <c r="AB41" s="426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8"/>
      <c r="AP41" s="427"/>
      <c r="AQ41" s="427"/>
      <c r="AR41" s="427"/>
      <c r="AS41" s="427"/>
      <c r="AT41" s="427"/>
      <c r="AU41" s="427"/>
      <c r="AV41" s="427"/>
      <c r="AW41" s="427"/>
      <c r="AX41" s="433"/>
      <c r="AY41" s="427"/>
      <c r="BC41" s="428"/>
      <c r="BG41" s="427"/>
      <c r="BH41" s="437"/>
      <c r="BJ41" s="427"/>
      <c r="BK41" s="427"/>
      <c r="BL41" s="427"/>
      <c r="BM41" s="429"/>
      <c r="BN41" s="427"/>
      <c r="BO41" s="428"/>
      <c r="BP41" s="428"/>
      <c r="BQ41" s="429"/>
      <c r="BR41" s="429"/>
      <c r="BS41" s="426"/>
    </row>
    <row r="42" customFormat="false" ht="13.5" hidden="false" customHeight="false" outlineLevel="0" collapsed="false">
      <c r="A42" s="440"/>
      <c r="B42" s="435" t="str">
        <f aca="false">J24</f>
        <v/>
      </c>
      <c r="C42" s="424"/>
      <c r="D42" s="424"/>
      <c r="E42" s="424"/>
      <c r="F42" s="424"/>
      <c r="G42" s="424"/>
      <c r="H42" s="424"/>
      <c r="I42" s="424"/>
      <c r="J42" s="424"/>
      <c r="K42" s="424"/>
      <c r="L42" s="424"/>
      <c r="M42" s="424"/>
      <c r="N42" s="424"/>
      <c r="O42" s="424"/>
      <c r="P42" s="424"/>
      <c r="Q42" s="435" t="n">
        <v>36</v>
      </c>
      <c r="R42" s="434" t="s">
        <v>520</v>
      </c>
      <c r="S42" s="424"/>
      <c r="T42" s="434" t="s">
        <v>521</v>
      </c>
      <c r="U42" s="434" t="s">
        <v>522</v>
      </c>
      <c r="V42" s="436" t="n">
        <f aca="false">AY47</f>
        <v>0</v>
      </c>
      <c r="W42" s="424"/>
      <c r="X42" s="429"/>
      <c r="Y42" s="426"/>
      <c r="Z42" s="429"/>
      <c r="AA42" s="426"/>
      <c r="AB42" s="426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8"/>
      <c r="AP42" s="427"/>
      <c r="AQ42" s="427"/>
      <c r="AR42" s="427"/>
      <c r="AS42" s="427"/>
      <c r="AT42" s="427"/>
      <c r="AU42" s="427"/>
      <c r="AV42" s="427"/>
      <c r="AW42" s="427"/>
      <c r="AX42" s="433"/>
      <c r="AY42" s="427"/>
      <c r="BC42" s="428"/>
      <c r="BG42" s="427"/>
      <c r="BH42" s="437"/>
      <c r="BJ42" s="427"/>
      <c r="BK42" s="427"/>
      <c r="BL42" s="427"/>
      <c r="BM42" s="429"/>
      <c r="BN42" s="427"/>
      <c r="BO42" s="428"/>
      <c r="BP42" s="428"/>
      <c r="BQ42" s="429"/>
      <c r="BR42" s="429"/>
      <c r="BS42" s="426"/>
    </row>
    <row r="43" customFormat="false" ht="13.5" hidden="false" customHeight="false" outlineLevel="0" collapsed="false">
      <c r="A43" s="440"/>
      <c r="B43" s="440" t="str">
        <f aca="false">K24</f>
        <v> Seratus</v>
      </c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35" t="n">
        <v>37</v>
      </c>
      <c r="R43" s="434" t="s">
        <v>523</v>
      </c>
      <c r="S43" s="424"/>
      <c r="T43" s="434" t="s">
        <v>524</v>
      </c>
      <c r="U43" s="434" t="s">
        <v>525</v>
      </c>
      <c r="V43" s="436" t="n">
        <f aca="false">AY48</f>
        <v>0</v>
      </c>
      <c r="W43" s="424"/>
      <c r="X43" s="429"/>
      <c r="Y43" s="426"/>
      <c r="Z43" s="429"/>
      <c r="AA43" s="426"/>
      <c r="AB43" s="426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8"/>
      <c r="AP43" s="427"/>
      <c r="AQ43" s="427"/>
      <c r="AR43" s="427"/>
      <c r="AS43" s="427"/>
      <c r="AT43" s="427"/>
      <c r="AU43" s="427"/>
      <c r="AV43" s="427"/>
      <c r="AW43" s="427"/>
      <c r="AX43" s="433"/>
      <c r="AY43" s="427"/>
      <c r="BC43" s="428"/>
      <c r="BG43" s="427"/>
      <c r="BH43" s="437"/>
      <c r="BJ43" s="427"/>
      <c r="BK43" s="427"/>
      <c r="BL43" s="427"/>
      <c r="BM43" s="429"/>
      <c r="BN43" s="427"/>
      <c r="BO43" s="428"/>
      <c r="BP43" s="428"/>
      <c r="BQ43" s="429"/>
      <c r="BR43" s="429"/>
      <c r="BS43" s="426"/>
    </row>
    <row r="44" customFormat="false" ht="13.5" hidden="false" customHeight="false" outlineLevel="0" collapsed="false">
      <c r="A44" s="440"/>
      <c r="B44" s="435" t="str">
        <f aca="false">L24</f>
        <v> Dua puluh dua</v>
      </c>
      <c r="C44" s="424"/>
      <c r="D44" s="424"/>
      <c r="E44" s="424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4"/>
      <c r="Q44" s="435" t="n">
        <v>38</v>
      </c>
      <c r="R44" s="434" t="s">
        <v>526</v>
      </c>
      <c r="S44" s="424"/>
      <c r="T44" s="434" t="s">
        <v>527</v>
      </c>
      <c r="U44" s="434" t="s">
        <v>528</v>
      </c>
      <c r="V44" s="436" t="n">
        <f aca="false">AY49</f>
        <v>0</v>
      </c>
      <c r="W44" s="424"/>
      <c r="X44" s="429"/>
      <c r="Y44" s="426"/>
      <c r="Z44" s="429"/>
      <c r="AA44" s="426"/>
      <c r="AB44" s="426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8"/>
      <c r="AP44" s="427"/>
      <c r="AQ44" s="427"/>
      <c r="AR44" s="427"/>
      <c r="AS44" s="427"/>
      <c r="AT44" s="427"/>
      <c r="AU44" s="427"/>
      <c r="AV44" s="427"/>
      <c r="AW44" s="427"/>
      <c r="AX44" s="433"/>
      <c r="AY44" s="427"/>
      <c r="BB44" s="429"/>
      <c r="BC44" s="428"/>
      <c r="BG44" s="427"/>
      <c r="BH44" s="437"/>
      <c r="BJ44" s="427"/>
      <c r="BK44" s="427"/>
      <c r="BL44" s="427"/>
      <c r="BM44" s="429"/>
      <c r="BN44" s="427"/>
      <c r="BO44" s="428"/>
      <c r="BP44" s="429"/>
      <c r="BQ44" s="429"/>
      <c r="BR44" s="429"/>
      <c r="BS44" s="426"/>
    </row>
    <row r="45" customFormat="false" ht="13.5" hidden="false" customHeight="false" outlineLevel="0" collapsed="false">
      <c r="A45" s="440"/>
      <c r="B45" s="435" t="str">
        <f aca="false">M24</f>
        <v> Rupiah </v>
      </c>
      <c r="C45" s="424"/>
      <c r="D45" s="424"/>
      <c r="E45" s="424"/>
      <c r="F45" s="424"/>
      <c r="G45" s="424"/>
      <c r="H45" s="424"/>
      <c r="I45" s="424"/>
      <c r="J45" s="424"/>
      <c r="K45" s="424"/>
      <c r="L45" s="424"/>
      <c r="M45" s="424"/>
      <c r="N45" s="424"/>
      <c r="O45" s="424"/>
      <c r="P45" s="424"/>
      <c r="Q45" s="435" t="n">
        <v>39</v>
      </c>
      <c r="R45" s="434" t="s">
        <v>529</v>
      </c>
      <c r="S45" s="424"/>
      <c r="T45" s="434" t="s">
        <v>530</v>
      </c>
      <c r="U45" s="434" t="s">
        <v>531</v>
      </c>
      <c r="V45" s="436" t="n">
        <f aca="false">AY50</f>
        <v>0</v>
      </c>
      <c r="W45" s="424"/>
      <c r="X45" s="429"/>
      <c r="Y45" s="426"/>
      <c r="Z45" s="429"/>
      <c r="AA45" s="426"/>
      <c r="AB45" s="426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8"/>
      <c r="AP45" s="427"/>
      <c r="AQ45" s="427"/>
      <c r="AR45" s="427"/>
      <c r="AS45" s="427"/>
      <c r="AT45" s="427"/>
      <c r="AU45" s="427"/>
      <c r="AV45" s="427"/>
      <c r="AW45" s="427"/>
      <c r="AX45" s="433"/>
      <c r="AY45" s="427"/>
      <c r="BC45" s="428"/>
      <c r="BG45" s="427"/>
      <c r="BH45" s="437"/>
      <c r="BJ45" s="427"/>
      <c r="BK45" s="427"/>
      <c r="BL45" s="427"/>
      <c r="BM45" s="429"/>
      <c r="BN45" s="427"/>
      <c r="BO45" s="428"/>
      <c r="BP45" s="428"/>
      <c r="BQ45" s="429"/>
      <c r="BR45" s="429"/>
      <c r="BS45" s="426"/>
    </row>
    <row r="46" customFormat="false" ht="13.5" hidden="false" customHeight="false" outlineLevel="0" collapsed="false">
      <c r="A46" s="436" t="e">
        <f aca="false">+#REF!</f>
        <v>#REF!</v>
      </c>
      <c r="B46" s="435" t="str">
        <f aca="false">O24</f>
        <v/>
      </c>
      <c r="C46" s="424"/>
      <c r="D46" s="424"/>
      <c r="E46" s="424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4"/>
      <c r="Q46" s="435" t="n">
        <v>40</v>
      </c>
      <c r="R46" s="434" t="s">
        <v>532</v>
      </c>
      <c r="S46" s="424"/>
      <c r="T46" s="434" t="s">
        <v>533</v>
      </c>
      <c r="U46" s="434" t="s">
        <v>534</v>
      </c>
      <c r="V46" s="436" t="n">
        <f aca="false">AY51</f>
        <v>0</v>
      </c>
      <c r="W46" s="424"/>
      <c r="X46" s="429"/>
      <c r="Z46" s="426"/>
      <c r="AA46" s="426"/>
      <c r="AB46" s="426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8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BC46" s="428"/>
      <c r="BG46" s="427"/>
      <c r="BH46" s="437"/>
      <c r="BJ46" s="427"/>
      <c r="BK46" s="427"/>
      <c r="BL46" s="427"/>
      <c r="BM46" s="429"/>
      <c r="BN46" s="427"/>
      <c r="BO46" s="428"/>
      <c r="BP46" s="428"/>
      <c r="BQ46" s="429"/>
      <c r="BR46" s="429"/>
      <c r="BS46" s="426"/>
    </row>
    <row r="47" customFormat="false" ht="13.5" hidden="false" customHeight="false" outlineLevel="0" collapsed="false">
      <c r="A47" s="440"/>
      <c r="B47" s="435" t="str">
        <f aca="false">IF(N22&gt;0,"-","====")</f>
        <v>====</v>
      </c>
      <c r="C47" s="424"/>
      <c r="D47" s="424"/>
      <c r="E47" s="424"/>
      <c r="F47" s="424"/>
      <c r="G47" s="424"/>
      <c r="H47" s="424"/>
      <c r="I47" s="424"/>
      <c r="J47" s="424"/>
      <c r="K47" s="424"/>
      <c r="L47" s="424"/>
      <c r="M47" s="424"/>
      <c r="N47" s="424"/>
      <c r="O47" s="424"/>
      <c r="P47" s="424"/>
      <c r="Q47" s="435" t="n">
        <v>41</v>
      </c>
      <c r="R47" s="434" t="s">
        <v>535</v>
      </c>
      <c r="S47" s="424"/>
      <c r="T47" s="434" t="s">
        <v>536</v>
      </c>
      <c r="U47" s="434" t="s">
        <v>537</v>
      </c>
      <c r="V47" s="436" t="n">
        <f aca="false">AY52</f>
        <v>0</v>
      </c>
      <c r="W47" s="424"/>
      <c r="AB47" s="427"/>
      <c r="AC47" s="427"/>
      <c r="AE47" s="427"/>
      <c r="AG47" s="427"/>
      <c r="AO47" s="428"/>
      <c r="AP47" s="427"/>
      <c r="AR47" s="427"/>
      <c r="AY47" s="427"/>
      <c r="BB47" s="429"/>
      <c r="BC47" s="428"/>
      <c r="BG47" s="427"/>
      <c r="BH47" s="437"/>
      <c r="BJ47" s="427"/>
      <c r="BK47" s="427"/>
      <c r="BL47" s="427"/>
      <c r="BM47" s="429"/>
      <c r="BN47" s="427"/>
      <c r="BO47" s="428"/>
      <c r="BP47" s="428"/>
      <c r="BQ47" s="429"/>
      <c r="BR47" s="429"/>
      <c r="BS47" s="426"/>
    </row>
    <row r="48" customFormat="false" ht="13.5" hidden="false" customHeight="false" outlineLevel="0" collapsed="false">
      <c r="A48" s="444" t="e">
        <f aca="false">B24&amp;C24&amp;D24&amp;E24&amp;F24&amp;G24&amp;H24&amp;I24&amp;J24&amp;K24&amp;L24&amp;M24&amp;O24</f>
        <v>#N/A</v>
      </c>
      <c r="B48" s="424"/>
      <c r="C48" s="424"/>
      <c r="D48" s="424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35" t="n">
        <v>42</v>
      </c>
      <c r="R48" s="434" t="s">
        <v>538</v>
      </c>
      <c r="S48" s="424"/>
      <c r="T48" s="434" t="s">
        <v>539</v>
      </c>
      <c r="U48" s="434" t="s">
        <v>540</v>
      </c>
      <c r="V48" s="436" t="n">
        <f aca="false">AY53</f>
        <v>0</v>
      </c>
      <c r="W48" s="424"/>
      <c r="AC48" s="427"/>
      <c r="AE48" s="427"/>
      <c r="AG48" s="427"/>
      <c r="AO48" s="428"/>
      <c r="AY48" s="427"/>
      <c r="BB48" s="429"/>
      <c r="BC48" s="428"/>
      <c r="BG48" s="427"/>
      <c r="BH48" s="437"/>
      <c r="BJ48" s="427"/>
      <c r="BK48" s="427"/>
      <c r="BL48" s="427"/>
      <c r="BM48" s="429"/>
      <c r="BN48" s="427"/>
      <c r="BO48" s="428"/>
      <c r="BQ48" s="429"/>
      <c r="BR48" s="429"/>
      <c r="BS48" s="426"/>
    </row>
    <row r="49" customFormat="false" ht="13.5" hidden="false" customHeight="false" outlineLevel="0" collapsed="false">
      <c r="A49" s="440" t="str">
        <f aca="false">I24&amp;J24&amp;K24&amp;L24&amp;M24&amp;O24</f>
        <v> Seratus Dua puluh dua Rupiah </v>
      </c>
      <c r="B49" s="424"/>
      <c r="C49" s="424"/>
      <c r="D49" s="424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35" t="n">
        <v>43</v>
      </c>
      <c r="R49" s="434" t="s">
        <v>541</v>
      </c>
      <c r="S49" s="424"/>
      <c r="T49" s="434" t="s">
        <v>542</v>
      </c>
      <c r="U49" s="434" t="s">
        <v>543</v>
      </c>
      <c r="V49" s="436" t="n">
        <f aca="false">AY54</f>
        <v>0</v>
      </c>
      <c r="W49" s="424"/>
      <c r="AB49" s="427"/>
      <c r="AO49" s="428"/>
      <c r="AY49" s="427"/>
      <c r="BC49" s="428"/>
      <c r="BG49" s="427"/>
      <c r="BH49" s="437"/>
      <c r="BJ49" s="427"/>
      <c r="BK49" s="427"/>
      <c r="BL49" s="427"/>
      <c r="BM49" s="429"/>
      <c r="BN49" s="427"/>
      <c r="BO49" s="428"/>
      <c r="BP49" s="428"/>
      <c r="BQ49" s="429"/>
      <c r="BR49" s="429"/>
      <c r="BS49" s="426"/>
    </row>
    <row r="50" customFormat="false" ht="13.5" hidden="false" customHeight="false" outlineLevel="0" collapsed="false">
      <c r="A50" s="440"/>
      <c r="B50" s="424"/>
      <c r="C50" s="424"/>
      <c r="D50" s="424"/>
      <c r="E50" s="424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35" t="n">
        <v>44</v>
      </c>
      <c r="R50" s="434" t="s">
        <v>544</v>
      </c>
      <c r="S50" s="424"/>
      <c r="T50" s="434" t="s">
        <v>545</v>
      </c>
      <c r="U50" s="434" t="s">
        <v>546</v>
      </c>
      <c r="V50" s="436" t="n">
        <f aca="false">AY55</f>
        <v>0</v>
      </c>
      <c r="W50" s="424"/>
      <c r="AO50" s="428"/>
      <c r="AY50" s="427"/>
      <c r="BB50" s="427"/>
      <c r="BC50" s="428"/>
      <c r="BG50" s="427"/>
      <c r="BH50" s="437"/>
      <c r="BJ50" s="427"/>
      <c r="BK50" s="427"/>
      <c r="BL50" s="427"/>
      <c r="BM50" s="429"/>
      <c r="BN50" s="427"/>
      <c r="BO50" s="428"/>
      <c r="BP50" s="428"/>
      <c r="BQ50" s="429"/>
      <c r="BR50" s="426"/>
      <c r="BS50" s="426"/>
    </row>
    <row r="51" customFormat="false" ht="13.5" hidden="false" customHeight="false" outlineLevel="0" collapsed="false">
      <c r="A51" s="440"/>
      <c r="B51" s="424"/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35" t="n">
        <v>45</v>
      </c>
      <c r="R51" s="434" t="s">
        <v>547</v>
      </c>
      <c r="S51" s="424"/>
      <c r="T51" s="434" t="s">
        <v>548</v>
      </c>
      <c r="U51" s="434" t="s">
        <v>549</v>
      </c>
      <c r="V51" s="436" t="n">
        <f aca="false">AY56</f>
        <v>0</v>
      </c>
      <c r="W51" s="424"/>
      <c r="X51" s="429"/>
      <c r="Y51" s="426"/>
      <c r="Z51" s="429"/>
      <c r="AA51" s="426"/>
      <c r="AB51" s="426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8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BB51" s="427"/>
      <c r="BC51" s="428"/>
      <c r="BG51" s="427"/>
      <c r="BH51" s="437"/>
      <c r="BJ51" s="427"/>
      <c r="BK51" s="427"/>
      <c r="BL51" s="427"/>
      <c r="BN51" s="427"/>
      <c r="BO51" s="428"/>
      <c r="BP51" s="428"/>
      <c r="BQ51" s="429"/>
      <c r="BR51" s="429"/>
      <c r="BS51" s="426"/>
    </row>
    <row r="52" customFormat="false" ht="13.5" hidden="false" customHeight="false" outlineLevel="0" collapsed="false">
      <c r="A52" s="440"/>
      <c r="B52" s="424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35" t="n">
        <v>46</v>
      </c>
      <c r="R52" s="434" t="s">
        <v>550</v>
      </c>
      <c r="S52" s="424"/>
      <c r="T52" s="434" t="s">
        <v>551</v>
      </c>
      <c r="U52" s="434" t="s">
        <v>552</v>
      </c>
      <c r="V52" s="436" t="n">
        <f aca="false">AY57</f>
        <v>0</v>
      </c>
      <c r="W52" s="424"/>
      <c r="X52" s="429"/>
      <c r="Y52" s="426"/>
      <c r="Z52" s="429"/>
      <c r="AA52" s="426"/>
      <c r="AB52" s="426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8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BC52" s="428"/>
      <c r="BG52" s="427"/>
      <c r="BH52" s="437"/>
      <c r="BJ52" s="427"/>
      <c r="BK52" s="427"/>
      <c r="BL52" s="427"/>
      <c r="BN52" s="427"/>
      <c r="BO52" s="428"/>
      <c r="BP52" s="428"/>
      <c r="BQ52" s="429"/>
      <c r="BR52" s="429"/>
      <c r="BS52" s="426"/>
    </row>
    <row r="53" customFormat="false" ht="13.5" hidden="false" customHeight="false" outlineLevel="0" collapsed="false">
      <c r="A53" s="440"/>
      <c r="B53" s="424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35" t="n">
        <v>47</v>
      </c>
      <c r="R53" s="434" t="s">
        <v>553</v>
      </c>
      <c r="S53" s="424"/>
      <c r="T53" s="434" t="s">
        <v>554</v>
      </c>
      <c r="U53" s="434" t="s">
        <v>555</v>
      </c>
      <c r="V53" s="436" t="n">
        <f aca="false">AY58</f>
        <v>0</v>
      </c>
      <c r="W53" s="424"/>
      <c r="X53" s="429"/>
      <c r="Y53" s="426"/>
      <c r="Z53" s="429"/>
      <c r="AA53" s="426"/>
      <c r="AB53" s="426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8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BC53" s="428"/>
      <c r="BG53" s="427"/>
      <c r="BH53" s="437"/>
      <c r="BJ53" s="427"/>
      <c r="BK53" s="427"/>
      <c r="BL53" s="427"/>
      <c r="BN53" s="427"/>
      <c r="BO53" s="428"/>
      <c r="BQ53" s="429"/>
      <c r="BR53" s="429"/>
      <c r="BS53" s="426"/>
    </row>
    <row r="54" customFormat="false" ht="13.5" hidden="false" customHeight="false" outlineLevel="0" collapsed="false">
      <c r="A54" s="424"/>
      <c r="B54" s="424"/>
      <c r="C54" s="424"/>
      <c r="D54" s="424"/>
      <c r="E54" s="424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35" t="n">
        <v>48</v>
      </c>
      <c r="R54" s="434" t="s">
        <v>556</v>
      </c>
      <c r="S54" s="424"/>
      <c r="T54" s="434" t="s">
        <v>557</v>
      </c>
      <c r="U54" s="434" t="s">
        <v>558</v>
      </c>
      <c r="V54" s="436" t="n">
        <f aca="false">AY59</f>
        <v>0</v>
      </c>
      <c r="W54" s="424"/>
      <c r="X54" s="429"/>
      <c r="Y54" s="426"/>
      <c r="Z54" s="429"/>
      <c r="AA54" s="426"/>
      <c r="AB54" s="426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8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BC54" s="428"/>
      <c r="BG54" s="427"/>
      <c r="BH54" s="437"/>
      <c r="BJ54" s="427"/>
      <c r="BK54" s="427"/>
      <c r="BL54" s="427"/>
      <c r="BN54" s="427"/>
      <c r="BO54" s="428"/>
      <c r="BQ54" s="429"/>
      <c r="BR54" s="429"/>
      <c r="BS54" s="426"/>
    </row>
    <row r="55" customFormat="false" ht="13.5" hidden="false" customHeight="false" outlineLevel="0" collapsed="false">
      <c r="A55" s="424"/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35" t="n">
        <v>49</v>
      </c>
      <c r="R55" s="434" t="s">
        <v>559</v>
      </c>
      <c r="S55" s="424"/>
      <c r="T55" s="434" t="s">
        <v>560</v>
      </c>
      <c r="U55" s="434" t="s">
        <v>561</v>
      </c>
      <c r="V55" s="436" t="n">
        <f aca="false">AY60</f>
        <v>0</v>
      </c>
      <c r="W55" s="424"/>
      <c r="X55" s="429"/>
      <c r="Y55" s="426"/>
      <c r="Z55" s="429"/>
      <c r="AA55" s="426"/>
      <c r="AB55" s="426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8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BC55" s="428"/>
      <c r="BG55" s="427"/>
      <c r="BH55" s="437"/>
      <c r="BJ55" s="427"/>
      <c r="BK55" s="427"/>
      <c r="BL55" s="427"/>
      <c r="BN55" s="427"/>
      <c r="BO55" s="428"/>
      <c r="BQ55" s="429"/>
      <c r="BR55" s="429"/>
      <c r="BS55" s="426"/>
    </row>
    <row r="56" customFormat="false" ht="13.5" hidden="false" customHeight="false" outlineLevel="0" collapsed="false">
      <c r="A56" s="424"/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35" t="n">
        <v>50</v>
      </c>
      <c r="R56" s="434" t="s">
        <v>562</v>
      </c>
      <c r="S56" s="424"/>
      <c r="T56" s="434" t="s">
        <v>563</v>
      </c>
      <c r="U56" s="434" t="s">
        <v>564</v>
      </c>
      <c r="V56" s="436" t="n">
        <f aca="false">AY61</f>
        <v>0</v>
      </c>
      <c r="W56" s="424"/>
      <c r="X56" s="429"/>
      <c r="Y56" s="426"/>
      <c r="Z56" s="429"/>
      <c r="AA56" s="426"/>
      <c r="AB56" s="426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8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BC56" s="428"/>
      <c r="BG56" s="427"/>
      <c r="BH56" s="437"/>
      <c r="BJ56" s="427"/>
      <c r="BK56" s="427"/>
      <c r="BL56" s="427"/>
      <c r="BN56" s="427"/>
      <c r="BO56" s="428"/>
      <c r="BQ56" s="429"/>
      <c r="BR56" s="429"/>
      <c r="BS56" s="426"/>
    </row>
    <row r="57" customFormat="false" ht="13.5" hidden="false" customHeight="false" outlineLevel="0" collapsed="false">
      <c r="A57" s="424"/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35" t="n">
        <v>51</v>
      </c>
      <c r="R57" s="434" t="s">
        <v>565</v>
      </c>
      <c r="S57" s="424"/>
      <c r="T57" s="434" t="s">
        <v>566</v>
      </c>
      <c r="U57" s="434" t="s">
        <v>567</v>
      </c>
      <c r="V57" s="436" t="n">
        <f aca="false">AY62</f>
        <v>0</v>
      </c>
      <c r="W57" s="424"/>
      <c r="X57" s="429"/>
      <c r="Y57" s="426"/>
      <c r="Z57" s="429"/>
      <c r="AA57" s="426"/>
      <c r="AB57" s="426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8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BC57" s="428"/>
      <c r="BG57" s="427"/>
      <c r="BH57" s="437"/>
      <c r="BJ57" s="427"/>
      <c r="BK57" s="427"/>
      <c r="BL57" s="427"/>
      <c r="BN57" s="427"/>
      <c r="BO57" s="428"/>
      <c r="BQ57" s="429"/>
      <c r="BR57" s="429"/>
      <c r="BS57" s="426"/>
    </row>
    <row r="58" customFormat="false" ht="13.5" hidden="false" customHeight="false" outlineLevel="0" collapsed="false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35" t="n">
        <v>52</v>
      </c>
      <c r="R58" s="434" t="s">
        <v>568</v>
      </c>
      <c r="S58" s="424"/>
      <c r="T58" s="434" t="s">
        <v>569</v>
      </c>
      <c r="U58" s="434" t="s">
        <v>570</v>
      </c>
      <c r="V58" s="436" t="n">
        <f aca="false">AY63</f>
        <v>0</v>
      </c>
      <c r="W58" s="424"/>
      <c r="X58" s="429"/>
      <c r="Y58" s="426"/>
      <c r="Z58" s="429"/>
      <c r="AA58" s="426"/>
      <c r="AB58" s="426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8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BC58" s="428"/>
      <c r="BG58" s="427"/>
      <c r="BH58" s="437"/>
      <c r="BJ58" s="427"/>
      <c r="BK58" s="427"/>
      <c r="BL58" s="427"/>
      <c r="BN58" s="427"/>
      <c r="BO58" s="428"/>
      <c r="BQ58" s="429"/>
      <c r="BR58" s="429"/>
      <c r="BS58" s="426"/>
    </row>
    <row r="59" customFormat="false" ht="13.5" hidden="false" customHeight="false" outlineLevel="0" collapsed="false">
      <c r="A59" s="424"/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35" t="n">
        <v>53</v>
      </c>
      <c r="R59" s="434" t="s">
        <v>571</v>
      </c>
      <c r="S59" s="424"/>
      <c r="T59" s="434" t="s">
        <v>572</v>
      </c>
      <c r="U59" s="434" t="s">
        <v>573</v>
      </c>
      <c r="V59" s="436" t="n">
        <f aca="false">AY64</f>
        <v>0</v>
      </c>
      <c r="W59" s="424"/>
      <c r="X59" s="429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8"/>
      <c r="AP59" s="427"/>
      <c r="AQ59" s="427"/>
      <c r="AR59" s="427"/>
      <c r="AS59" s="427"/>
      <c r="AT59" s="427"/>
      <c r="AX59" s="427"/>
      <c r="AY59" s="427"/>
      <c r="BC59" s="428"/>
      <c r="BD59" s="428"/>
      <c r="BE59" s="428"/>
      <c r="BG59" s="428"/>
      <c r="BH59" s="428"/>
      <c r="BJ59" s="428"/>
      <c r="BK59" s="428"/>
      <c r="BL59" s="428"/>
      <c r="BM59" s="428"/>
      <c r="BN59" s="439"/>
      <c r="BO59" s="428"/>
      <c r="BQ59" s="429"/>
      <c r="BR59" s="429"/>
      <c r="BS59" s="426"/>
    </row>
    <row r="60" customFormat="false" ht="13.5" hidden="false" customHeight="false" outlineLevel="0" collapsed="false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35" t="n">
        <v>54</v>
      </c>
      <c r="R60" s="434" t="s">
        <v>574</v>
      </c>
      <c r="S60" s="424"/>
      <c r="T60" s="434" t="s">
        <v>575</v>
      </c>
      <c r="U60" s="434" t="s">
        <v>576</v>
      </c>
      <c r="V60" s="436" t="n">
        <f aca="false">AY65</f>
        <v>0</v>
      </c>
      <c r="W60" s="424"/>
      <c r="X60" s="429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8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BC60" s="428"/>
      <c r="BD60" s="429"/>
      <c r="BG60" s="431"/>
      <c r="BH60" s="437"/>
      <c r="BJ60" s="431"/>
      <c r="BK60" s="427"/>
      <c r="BL60" s="427"/>
      <c r="BM60" s="426"/>
      <c r="BN60" s="427"/>
      <c r="BO60" s="428"/>
      <c r="BQ60" s="429"/>
      <c r="BR60" s="426"/>
      <c r="BS60" s="426"/>
    </row>
    <row r="61" customFormat="false" ht="13.5" hidden="false" customHeight="false" outlineLevel="0" collapsed="false">
      <c r="A61" s="424"/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35" t="n">
        <v>55</v>
      </c>
      <c r="R61" s="434" t="s">
        <v>577</v>
      </c>
      <c r="S61" s="424"/>
      <c r="T61" s="434" t="s">
        <v>578</v>
      </c>
      <c r="U61" s="434" t="s">
        <v>579</v>
      </c>
      <c r="V61" s="436" t="n">
        <f aca="false">AY66</f>
        <v>0</v>
      </c>
      <c r="W61" s="424"/>
      <c r="X61" s="429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8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BC61" s="428"/>
      <c r="BE61" s="426"/>
      <c r="BG61" s="426"/>
      <c r="BN61" s="427"/>
      <c r="BO61" s="428"/>
      <c r="BQ61" s="429"/>
      <c r="BR61" s="429"/>
      <c r="BS61" s="426"/>
    </row>
    <row r="62" customFormat="false" ht="13.5" hidden="false" customHeight="false" outlineLevel="0" collapsed="false">
      <c r="A62" s="424"/>
      <c r="B62" s="424"/>
      <c r="C62" s="424"/>
      <c r="D62" s="424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35" t="n">
        <v>56</v>
      </c>
      <c r="R62" s="434" t="s">
        <v>580</v>
      </c>
      <c r="S62" s="424"/>
      <c r="T62" s="434" t="s">
        <v>581</v>
      </c>
      <c r="U62" s="434" t="s">
        <v>582</v>
      </c>
      <c r="V62" s="436" t="n">
        <f aca="false">AY67</f>
        <v>0</v>
      </c>
      <c r="W62" s="424"/>
      <c r="X62" s="429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8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BC62" s="428"/>
      <c r="BE62" s="426"/>
      <c r="BG62" s="426"/>
      <c r="BN62" s="427"/>
      <c r="BO62" s="428"/>
      <c r="BQ62" s="429"/>
      <c r="BR62" s="429"/>
      <c r="BS62" s="426"/>
    </row>
    <row r="63" customFormat="false" ht="13.5" hidden="false" customHeight="false" outlineLevel="0" collapsed="false">
      <c r="A63" s="424"/>
      <c r="B63" s="424"/>
      <c r="C63" s="424"/>
      <c r="D63" s="424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35" t="n">
        <v>57</v>
      </c>
      <c r="R63" s="434" t="s">
        <v>583</v>
      </c>
      <c r="S63" s="424"/>
      <c r="T63" s="434" t="s">
        <v>584</v>
      </c>
      <c r="U63" s="434" t="s">
        <v>585</v>
      </c>
      <c r="V63" s="436" t="n">
        <f aca="false">AY68</f>
        <v>0</v>
      </c>
      <c r="W63" s="424"/>
      <c r="X63" s="429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8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BC63" s="428"/>
      <c r="BN63" s="427"/>
      <c r="BO63" s="428"/>
      <c r="BQ63" s="429"/>
      <c r="BR63" s="429"/>
      <c r="BS63" s="426"/>
    </row>
    <row r="64" customFormat="false" ht="13.5" hidden="false" customHeight="false" outlineLevel="0" collapsed="false">
      <c r="A64" s="424"/>
      <c r="B64" s="424"/>
      <c r="C64" s="424"/>
      <c r="D64" s="424"/>
      <c r="E64" s="424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35" t="n">
        <v>58</v>
      </c>
      <c r="R64" s="434" t="s">
        <v>586</v>
      </c>
      <c r="S64" s="424"/>
      <c r="T64" s="434" t="s">
        <v>587</v>
      </c>
      <c r="U64" s="434" t="s">
        <v>588</v>
      </c>
      <c r="V64" s="436" t="n">
        <f aca="false">AY69</f>
        <v>0</v>
      </c>
      <c r="W64" s="424"/>
      <c r="X64" s="429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8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BC64" s="428"/>
      <c r="BN64" s="427"/>
      <c r="BO64" s="428"/>
      <c r="BQ64" s="429"/>
      <c r="BR64" s="429"/>
      <c r="BS64" s="426"/>
    </row>
    <row r="65" customFormat="false" ht="13.5" hidden="false" customHeight="false" outlineLevel="0" collapsed="false">
      <c r="A65" s="424"/>
      <c r="B65" s="424"/>
      <c r="C65" s="424"/>
      <c r="D65" s="424"/>
      <c r="E65" s="424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35" t="n">
        <v>59</v>
      </c>
      <c r="R65" s="434" t="s">
        <v>589</v>
      </c>
      <c r="S65" s="424"/>
      <c r="T65" s="434" t="s">
        <v>590</v>
      </c>
      <c r="U65" s="434" t="s">
        <v>591</v>
      </c>
      <c r="V65" s="436" t="n">
        <f aca="false">AY70</f>
        <v>0</v>
      </c>
      <c r="W65" s="424"/>
      <c r="X65" s="429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8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BC65" s="428"/>
      <c r="BE65" s="431"/>
      <c r="BN65" s="427"/>
      <c r="BO65" s="428"/>
      <c r="BQ65" s="429"/>
      <c r="BR65" s="429"/>
      <c r="BS65" s="426"/>
    </row>
    <row r="66" customFormat="false" ht="13.5" hidden="false" customHeight="false" outlineLevel="0" collapsed="false">
      <c r="A66" s="424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35" t="n">
        <v>60</v>
      </c>
      <c r="R66" s="434" t="s">
        <v>592</v>
      </c>
      <c r="S66" s="424"/>
      <c r="T66" s="434" t="s">
        <v>593</v>
      </c>
      <c r="U66" s="434" t="s">
        <v>594</v>
      </c>
      <c r="V66" s="436" t="n">
        <f aca="false">AY71</f>
        <v>0</v>
      </c>
      <c r="W66" s="424"/>
      <c r="X66" s="429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8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BC66" s="428"/>
      <c r="BE66" s="426"/>
      <c r="BN66" s="427"/>
      <c r="BO66" s="428"/>
      <c r="BQ66" s="429"/>
      <c r="BR66" s="429"/>
      <c r="BS66" s="426"/>
    </row>
    <row r="67" customFormat="false" ht="13.5" hidden="false" customHeight="false" outlineLevel="0" collapsed="false">
      <c r="A67" s="424"/>
      <c r="B67" s="424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35" t="n">
        <v>61</v>
      </c>
      <c r="R67" s="434" t="s">
        <v>595</v>
      </c>
      <c r="S67" s="424"/>
      <c r="T67" s="434" t="s">
        <v>596</v>
      </c>
      <c r="U67" s="434" t="s">
        <v>597</v>
      </c>
      <c r="V67" s="436" t="n">
        <f aca="false">AY72</f>
        <v>0</v>
      </c>
      <c r="W67" s="424"/>
      <c r="X67" s="429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8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BC67" s="428"/>
      <c r="BE67" s="426"/>
      <c r="BN67" s="427"/>
      <c r="BO67" s="428"/>
      <c r="BQ67" s="429"/>
      <c r="BR67" s="429"/>
      <c r="BS67" s="426"/>
    </row>
    <row r="68" customFormat="false" ht="13.5" hidden="false" customHeight="false" outlineLevel="0" collapsed="false">
      <c r="A68" s="424"/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35" t="n">
        <v>62</v>
      </c>
      <c r="R68" s="434" t="s">
        <v>598</v>
      </c>
      <c r="S68" s="424"/>
      <c r="T68" s="434" t="s">
        <v>599</v>
      </c>
      <c r="U68" s="434" t="s">
        <v>600</v>
      </c>
      <c r="V68" s="436" t="n">
        <f aca="false">AY73</f>
        <v>0</v>
      </c>
      <c r="W68" s="424"/>
      <c r="X68" s="429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8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BC68" s="428"/>
      <c r="BG68" s="443"/>
      <c r="BH68" s="443"/>
      <c r="BK68" s="443"/>
      <c r="BL68" s="443"/>
      <c r="BN68" s="427"/>
      <c r="BO68" s="428"/>
      <c r="BQ68" s="429"/>
      <c r="BR68" s="429"/>
      <c r="BS68" s="426"/>
    </row>
    <row r="69" customFormat="false" ht="13.5" hidden="false" customHeight="false" outlineLevel="0" collapsed="false">
      <c r="A69" s="424"/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35" t="n">
        <v>63</v>
      </c>
      <c r="R69" s="434" t="s">
        <v>601</v>
      </c>
      <c r="S69" s="424"/>
      <c r="T69" s="434" t="s">
        <v>602</v>
      </c>
      <c r="U69" s="434" t="s">
        <v>603</v>
      </c>
      <c r="V69" s="436" t="n">
        <f aca="false">AY74</f>
        <v>0</v>
      </c>
      <c r="W69" s="424"/>
      <c r="X69" s="429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8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BC69" s="428"/>
      <c r="BD69" s="429"/>
      <c r="BE69" s="429"/>
      <c r="BF69" s="427"/>
      <c r="BG69" s="437"/>
      <c r="BH69" s="427"/>
      <c r="BJ69" s="437"/>
      <c r="BK69" s="427"/>
      <c r="BM69" s="426"/>
      <c r="BN69" s="427"/>
      <c r="BO69" s="439"/>
      <c r="BP69" s="427"/>
      <c r="BQ69" s="427"/>
      <c r="BR69" s="427"/>
      <c r="BS69" s="431"/>
      <c r="BT69" s="427"/>
      <c r="BU69" s="427"/>
      <c r="BV69" s="427"/>
      <c r="BW69" s="427"/>
      <c r="BX69" s="427"/>
      <c r="BY69" s="427"/>
      <c r="BZ69" s="427"/>
      <c r="CA69" s="427"/>
      <c r="CB69" s="427"/>
      <c r="CC69" s="427"/>
      <c r="CD69" s="427"/>
      <c r="CE69" s="427"/>
      <c r="CF69" s="427"/>
      <c r="CG69" s="427"/>
      <c r="CH69" s="427"/>
      <c r="CI69" s="427"/>
    </row>
    <row r="70" customFormat="false" ht="13.5" hidden="false" customHeight="false" outlineLevel="0" collapsed="false">
      <c r="A70" s="424"/>
      <c r="B70" s="424"/>
      <c r="C70" s="424"/>
      <c r="D70" s="424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35" t="n">
        <v>64</v>
      </c>
      <c r="R70" s="434" t="s">
        <v>604</v>
      </c>
      <c r="S70" s="424"/>
      <c r="T70" s="434" t="s">
        <v>605</v>
      </c>
      <c r="U70" s="434" t="s">
        <v>606</v>
      </c>
      <c r="V70" s="436" t="n">
        <f aca="false">AY75</f>
        <v>0</v>
      </c>
      <c r="W70" s="424"/>
      <c r="X70" s="429"/>
      <c r="Y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8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BC70" s="428"/>
      <c r="BD70" s="429"/>
      <c r="BE70" s="429"/>
      <c r="BF70" s="427"/>
      <c r="BG70" s="437"/>
      <c r="BH70" s="427"/>
      <c r="BJ70" s="437"/>
      <c r="BK70" s="427"/>
      <c r="BM70" s="426"/>
      <c r="BN70" s="427"/>
      <c r="BO70" s="439"/>
      <c r="BP70" s="427"/>
      <c r="BQ70" s="427"/>
      <c r="BR70" s="431"/>
      <c r="BS70" s="431"/>
      <c r="BT70" s="427"/>
      <c r="BU70" s="427"/>
      <c r="BV70" s="427"/>
      <c r="BW70" s="427"/>
      <c r="BX70" s="427"/>
      <c r="BY70" s="427"/>
      <c r="BZ70" s="427"/>
      <c r="CA70" s="427"/>
      <c r="CB70" s="427"/>
      <c r="CC70" s="427"/>
      <c r="CD70" s="427"/>
      <c r="CE70" s="427"/>
      <c r="CF70" s="427"/>
      <c r="CG70" s="427"/>
      <c r="CH70" s="427"/>
      <c r="CI70" s="427"/>
    </row>
    <row r="71" customFormat="false" ht="13.5" hidden="false" customHeight="false" outlineLevel="0" collapsed="false">
      <c r="A71" s="424"/>
      <c r="B71" s="424"/>
      <c r="C71" s="424"/>
      <c r="D71" s="424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35" t="n">
        <v>65</v>
      </c>
      <c r="R71" s="434" t="s">
        <v>607</v>
      </c>
      <c r="S71" s="424"/>
      <c r="T71" s="434" t="s">
        <v>608</v>
      </c>
      <c r="U71" s="434" t="s">
        <v>609</v>
      </c>
      <c r="V71" s="436" t="n">
        <f aca="false">AY76</f>
        <v>0</v>
      </c>
      <c r="W71" s="424"/>
      <c r="X71" s="429"/>
      <c r="Y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8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BC71" s="428"/>
      <c r="BD71" s="429"/>
      <c r="BE71" s="429"/>
      <c r="BF71" s="427"/>
      <c r="BG71" s="437"/>
      <c r="BH71" s="427"/>
      <c r="BJ71" s="437"/>
      <c r="BK71" s="427"/>
      <c r="BM71" s="426"/>
      <c r="BN71" s="427"/>
      <c r="BO71" s="439"/>
      <c r="BP71" s="427"/>
      <c r="BQ71" s="427"/>
      <c r="BR71" s="427"/>
      <c r="BS71" s="431"/>
      <c r="BT71" s="427"/>
      <c r="BU71" s="427"/>
      <c r="BV71" s="427"/>
      <c r="BW71" s="427"/>
      <c r="BX71" s="427"/>
      <c r="BY71" s="427"/>
      <c r="BZ71" s="427"/>
      <c r="CA71" s="427"/>
      <c r="CB71" s="427"/>
      <c r="CC71" s="427"/>
      <c r="CD71" s="427"/>
      <c r="CE71" s="427"/>
      <c r="CF71" s="427"/>
      <c r="CG71" s="427"/>
      <c r="CH71" s="427"/>
      <c r="CI71" s="427"/>
    </row>
    <row r="72" customFormat="false" ht="13.5" hidden="false" customHeight="false" outlineLevel="0" collapsed="false">
      <c r="A72" s="424"/>
      <c r="B72" s="424"/>
      <c r="C72" s="424"/>
      <c r="D72" s="424"/>
      <c r="E72" s="424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35" t="n">
        <v>66</v>
      </c>
      <c r="R72" s="434" t="s">
        <v>610</v>
      </c>
      <c r="S72" s="424"/>
      <c r="T72" s="434" t="s">
        <v>611</v>
      </c>
      <c r="U72" s="434" t="s">
        <v>612</v>
      </c>
      <c r="V72" s="436" t="n">
        <f aca="false">AY77</f>
        <v>0</v>
      </c>
      <c r="W72" s="424"/>
      <c r="X72" s="429"/>
      <c r="Y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8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BC72" s="428"/>
      <c r="BD72" s="429"/>
      <c r="BE72" s="429"/>
      <c r="BF72" s="427"/>
      <c r="BG72" s="437"/>
      <c r="BH72" s="427"/>
      <c r="BJ72" s="437"/>
      <c r="BK72" s="427"/>
      <c r="BM72" s="426"/>
      <c r="BN72" s="427"/>
      <c r="BO72" s="439"/>
      <c r="BP72" s="427"/>
      <c r="BQ72" s="427"/>
      <c r="BR72" s="427"/>
      <c r="BS72" s="431"/>
      <c r="BT72" s="427"/>
      <c r="BU72" s="427"/>
      <c r="BV72" s="427"/>
      <c r="BW72" s="427"/>
      <c r="BX72" s="427"/>
      <c r="BY72" s="427"/>
      <c r="BZ72" s="427"/>
      <c r="CA72" s="427"/>
      <c r="CB72" s="427"/>
      <c r="CC72" s="427"/>
      <c r="CD72" s="427"/>
      <c r="CE72" s="427"/>
      <c r="CF72" s="427"/>
      <c r="CG72" s="427"/>
      <c r="CH72" s="427"/>
      <c r="CI72" s="427"/>
    </row>
    <row r="73" customFormat="false" ht="13.5" hidden="false" customHeight="false" outlineLevel="0" collapsed="false">
      <c r="A73" s="424"/>
      <c r="B73" s="424"/>
      <c r="C73" s="424"/>
      <c r="D73" s="424"/>
      <c r="E73" s="424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35" t="n">
        <v>67</v>
      </c>
      <c r="R73" s="434" t="s">
        <v>613</v>
      </c>
      <c r="S73" s="424"/>
      <c r="T73" s="434" t="s">
        <v>614</v>
      </c>
      <c r="U73" s="434" t="s">
        <v>615</v>
      </c>
      <c r="V73" s="436" t="n">
        <f aca="false">AY78</f>
        <v>0</v>
      </c>
      <c r="W73" s="424"/>
      <c r="Y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8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BC73" s="428"/>
      <c r="BD73" s="429"/>
      <c r="BF73" s="427"/>
      <c r="BG73" s="437"/>
      <c r="BH73" s="427"/>
      <c r="BJ73" s="437"/>
      <c r="BK73" s="427"/>
      <c r="BN73" s="427"/>
      <c r="BO73" s="439"/>
      <c r="BP73" s="427"/>
      <c r="BQ73" s="427"/>
      <c r="BR73" s="427"/>
      <c r="BS73" s="431"/>
      <c r="BT73" s="427"/>
      <c r="BU73" s="427"/>
      <c r="BV73" s="427"/>
      <c r="BW73" s="427"/>
      <c r="BX73" s="427"/>
      <c r="BY73" s="427"/>
      <c r="BZ73" s="427"/>
      <c r="CA73" s="427"/>
      <c r="CB73" s="427"/>
      <c r="CC73" s="427"/>
      <c r="CD73" s="427"/>
      <c r="CE73" s="427"/>
      <c r="CF73" s="427"/>
      <c r="CG73" s="427"/>
      <c r="CH73" s="427"/>
      <c r="CI73" s="427"/>
    </row>
    <row r="74" customFormat="false" ht="13.5" hidden="false" customHeight="false" outlineLevel="0" collapsed="false">
      <c r="A74" s="424"/>
      <c r="B74" s="424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35" t="n">
        <v>68</v>
      </c>
      <c r="R74" s="434" t="s">
        <v>616</v>
      </c>
      <c r="S74" s="424"/>
      <c r="T74" s="434" t="s">
        <v>617</v>
      </c>
      <c r="U74" s="434" t="s">
        <v>618</v>
      </c>
      <c r="V74" s="436" t="n">
        <f aca="false">AY79</f>
        <v>0</v>
      </c>
      <c r="W74" s="424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8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BC74" s="428"/>
      <c r="BD74" s="429"/>
      <c r="BF74" s="427"/>
      <c r="BG74" s="437"/>
      <c r="BH74" s="427"/>
      <c r="BJ74" s="437"/>
      <c r="BK74" s="427"/>
      <c r="BN74" s="427"/>
      <c r="BO74" s="439"/>
      <c r="BP74" s="427"/>
      <c r="BQ74" s="427"/>
      <c r="BR74" s="427"/>
      <c r="BS74" s="431"/>
      <c r="BT74" s="427"/>
      <c r="BU74" s="427"/>
      <c r="BV74" s="427"/>
      <c r="BW74" s="427"/>
      <c r="BX74" s="427"/>
      <c r="BY74" s="427"/>
      <c r="BZ74" s="427"/>
      <c r="CA74" s="427"/>
      <c r="CB74" s="427"/>
      <c r="CC74" s="427"/>
      <c r="CD74" s="427"/>
      <c r="CE74" s="427"/>
      <c r="CF74" s="427"/>
      <c r="CG74" s="427"/>
      <c r="CH74" s="427"/>
      <c r="CI74" s="427"/>
    </row>
    <row r="75" customFormat="false" ht="13.5" hidden="false" customHeight="false" outlineLevel="0" collapsed="false">
      <c r="A75" s="424"/>
      <c r="B75" s="424"/>
      <c r="C75" s="424"/>
      <c r="D75" s="424"/>
      <c r="E75" s="424"/>
      <c r="F75" s="424"/>
      <c r="G75" s="424"/>
      <c r="H75" s="424"/>
      <c r="I75" s="424"/>
      <c r="J75" s="424"/>
      <c r="K75" s="424"/>
      <c r="L75" s="424"/>
      <c r="M75" s="424"/>
      <c r="N75" s="424"/>
      <c r="O75" s="424"/>
      <c r="P75" s="424"/>
      <c r="Q75" s="435" t="n">
        <v>69</v>
      </c>
      <c r="R75" s="434" t="s">
        <v>619</v>
      </c>
      <c r="S75" s="424"/>
      <c r="T75" s="434" t="s">
        <v>620</v>
      </c>
      <c r="U75" s="434" t="s">
        <v>621</v>
      </c>
      <c r="V75" s="436" t="n">
        <f aca="false">AY80</f>
        <v>0</v>
      </c>
      <c r="W75" s="424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8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BC75" s="428"/>
      <c r="BD75" s="429"/>
      <c r="BF75" s="427"/>
      <c r="BG75" s="437"/>
      <c r="BH75" s="427"/>
      <c r="BJ75" s="437"/>
      <c r="BM75" s="428"/>
      <c r="BN75" s="439"/>
      <c r="BO75" s="439"/>
      <c r="BP75" s="427"/>
      <c r="BQ75" s="427"/>
      <c r="BR75" s="427"/>
      <c r="BS75" s="431"/>
      <c r="BT75" s="427"/>
      <c r="BU75" s="427"/>
      <c r="BV75" s="427"/>
      <c r="BW75" s="427"/>
      <c r="BX75" s="427"/>
      <c r="BY75" s="427"/>
      <c r="BZ75" s="427"/>
      <c r="CA75" s="427"/>
      <c r="CB75" s="427"/>
      <c r="CC75" s="427"/>
      <c r="CD75" s="427"/>
      <c r="CE75" s="427"/>
      <c r="CF75" s="427"/>
      <c r="CG75" s="427"/>
      <c r="CH75" s="427"/>
      <c r="CI75" s="427"/>
    </row>
    <row r="76" customFormat="false" ht="13.5" hidden="false" customHeight="false" outlineLevel="0" collapsed="false">
      <c r="A76" s="424"/>
      <c r="B76" s="424"/>
      <c r="C76" s="424"/>
      <c r="D76" s="424"/>
      <c r="E76" s="424"/>
      <c r="F76" s="424"/>
      <c r="G76" s="424"/>
      <c r="H76" s="424"/>
      <c r="I76" s="424"/>
      <c r="J76" s="424"/>
      <c r="K76" s="424"/>
      <c r="L76" s="424"/>
      <c r="M76" s="424"/>
      <c r="N76" s="424"/>
      <c r="O76" s="424"/>
      <c r="P76" s="424"/>
      <c r="Q76" s="435" t="n">
        <v>70</v>
      </c>
      <c r="R76" s="434" t="s">
        <v>622</v>
      </c>
      <c r="S76" s="424"/>
      <c r="T76" s="434" t="s">
        <v>623</v>
      </c>
      <c r="U76" s="434" t="s">
        <v>624</v>
      </c>
      <c r="V76" s="436" t="n">
        <f aca="false">AY81</f>
        <v>0</v>
      </c>
      <c r="W76" s="424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8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BC76" s="428"/>
      <c r="BD76" s="429"/>
      <c r="BF76" s="427"/>
      <c r="BG76" s="437"/>
      <c r="BH76" s="427"/>
      <c r="BJ76" s="437"/>
      <c r="BK76" s="430"/>
      <c r="BL76" s="427"/>
      <c r="BM76" s="426"/>
      <c r="BN76" s="427"/>
      <c r="BO76" s="439"/>
      <c r="BP76" s="427"/>
      <c r="BQ76" s="427"/>
      <c r="BR76" s="427"/>
      <c r="BS76" s="431"/>
      <c r="BT76" s="427"/>
      <c r="BU76" s="427"/>
      <c r="BV76" s="427"/>
      <c r="BW76" s="427"/>
      <c r="BX76" s="427"/>
      <c r="BY76" s="427"/>
      <c r="BZ76" s="427"/>
      <c r="CA76" s="427"/>
      <c r="CB76" s="427"/>
      <c r="CC76" s="427"/>
      <c r="CD76" s="427"/>
      <c r="CE76" s="427"/>
      <c r="CF76" s="427"/>
      <c r="CG76" s="427"/>
      <c r="CH76" s="427"/>
      <c r="CI76" s="427"/>
    </row>
    <row r="77" customFormat="false" ht="13.5" hidden="false" customHeight="false" outlineLevel="0" collapsed="false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35" t="n">
        <v>71</v>
      </c>
      <c r="R77" s="434" t="s">
        <v>625</v>
      </c>
      <c r="S77" s="424"/>
      <c r="T77" s="434" t="s">
        <v>626</v>
      </c>
      <c r="U77" s="434" t="s">
        <v>627</v>
      </c>
      <c r="V77" s="436" t="n">
        <f aca="false">AY82</f>
        <v>0</v>
      </c>
      <c r="W77" s="424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8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BC77" s="428"/>
      <c r="BD77" s="429"/>
      <c r="BF77" s="427"/>
      <c r="BG77" s="437"/>
      <c r="BH77" s="427"/>
      <c r="BJ77" s="437"/>
      <c r="BK77" s="437"/>
      <c r="BM77" s="428"/>
      <c r="BN77" s="439"/>
      <c r="BO77" s="439"/>
      <c r="BP77" s="427"/>
      <c r="BQ77" s="427"/>
      <c r="BR77" s="427"/>
      <c r="BS77" s="431"/>
      <c r="BT77" s="427"/>
      <c r="BU77" s="427"/>
      <c r="BV77" s="427"/>
      <c r="BW77" s="427"/>
      <c r="BX77" s="427"/>
      <c r="BY77" s="427"/>
      <c r="BZ77" s="427"/>
      <c r="CA77" s="427"/>
      <c r="CB77" s="427"/>
      <c r="CC77" s="427"/>
      <c r="CD77" s="427"/>
      <c r="CE77" s="427"/>
      <c r="CF77" s="427"/>
      <c r="CG77" s="427"/>
      <c r="CH77" s="427"/>
      <c r="CI77" s="427"/>
    </row>
    <row r="78" customFormat="false" ht="13.5" hidden="false" customHeight="false" outlineLevel="0" collapsed="false">
      <c r="A78" s="424"/>
      <c r="B78" s="424"/>
      <c r="C78" s="424"/>
      <c r="D78" s="424"/>
      <c r="E78" s="424"/>
      <c r="F78" s="424"/>
      <c r="G78" s="424"/>
      <c r="H78" s="424"/>
      <c r="I78" s="424"/>
      <c r="J78" s="424"/>
      <c r="K78" s="424"/>
      <c r="L78" s="424"/>
      <c r="M78" s="424"/>
      <c r="N78" s="424"/>
      <c r="O78" s="424"/>
      <c r="P78" s="424"/>
      <c r="Q78" s="435" t="n">
        <v>72</v>
      </c>
      <c r="R78" s="434" t="s">
        <v>628</v>
      </c>
      <c r="S78" s="424"/>
      <c r="T78" s="434" t="s">
        <v>629</v>
      </c>
      <c r="U78" s="434" t="s">
        <v>630</v>
      </c>
      <c r="V78" s="436" t="n">
        <f aca="false">AY83</f>
        <v>0</v>
      </c>
      <c r="W78" s="424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8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BC78" s="428"/>
      <c r="BD78" s="429"/>
      <c r="BF78" s="427"/>
      <c r="BG78" s="437"/>
      <c r="BH78" s="427"/>
      <c r="BJ78" s="437"/>
      <c r="BK78" s="437"/>
      <c r="BN78" s="427"/>
      <c r="BO78" s="439"/>
      <c r="BP78" s="427"/>
      <c r="BQ78" s="427"/>
      <c r="BR78" s="427"/>
      <c r="BS78" s="431"/>
      <c r="BT78" s="427"/>
      <c r="BU78" s="427"/>
      <c r="BV78" s="427"/>
      <c r="BW78" s="427"/>
      <c r="BX78" s="427"/>
      <c r="BY78" s="427"/>
      <c r="BZ78" s="427"/>
      <c r="CA78" s="427"/>
      <c r="CB78" s="427"/>
      <c r="CC78" s="427"/>
      <c r="CD78" s="427"/>
      <c r="CE78" s="427"/>
      <c r="CF78" s="427"/>
      <c r="CG78" s="427"/>
      <c r="CH78" s="427"/>
      <c r="CI78" s="427"/>
    </row>
    <row r="79" customFormat="false" ht="13.5" hidden="false" customHeight="false" outlineLevel="0" collapsed="false">
      <c r="A79" s="424"/>
      <c r="B79" s="424"/>
      <c r="C79" s="424"/>
      <c r="D79" s="424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35" t="n">
        <v>73</v>
      </c>
      <c r="R79" s="434" t="s">
        <v>631</v>
      </c>
      <c r="S79" s="424"/>
      <c r="T79" s="434" t="s">
        <v>632</v>
      </c>
      <c r="U79" s="434" t="s">
        <v>633</v>
      </c>
      <c r="V79" s="436" t="n">
        <f aca="false">AY84</f>
        <v>0</v>
      </c>
      <c r="W79" s="424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8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BC79" s="428"/>
      <c r="BD79" s="429"/>
      <c r="BF79" s="427"/>
      <c r="BG79" s="437"/>
      <c r="BH79" s="427"/>
      <c r="BJ79" s="437"/>
      <c r="BK79" s="431"/>
      <c r="BM79" s="427"/>
      <c r="BN79" s="427"/>
      <c r="BO79" s="439"/>
      <c r="BP79" s="427"/>
      <c r="BQ79" s="427"/>
      <c r="BR79" s="427"/>
      <c r="BS79" s="431"/>
      <c r="BT79" s="427"/>
      <c r="BU79" s="427"/>
      <c r="BV79" s="427"/>
      <c r="BW79" s="427"/>
      <c r="BX79" s="427"/>
      <c r="BY79" s="427"/>
      <c r="BZ79" s="427"/>
      <c r="CA79" s="427"/>
      <c r="CB79" s="427"/>
      <c r="CC79" s="427"/>
      <c r="CD79" s="427"/>
      <c r="CE79" s="427"/>
      <c r="CF79" s="427"/>
      <c r="CG79" s="427"/>
      <c r="CH79" s="427"/>
      <c r="CI79" s="427"/>
    </row>
    <row r="80" customFormat="false" ht="13.5" hidden="false" customHeight="false" outlineLevel="0" collapsed="false">
      <c r="A80" s="424"/>
      <c r="B80" s="424"/>
      <c r="C80" s="424"/>
      <c r="D80" s="424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35" t="n">
        <v>74</v>
      </c>
      <c r="R80" s="434" t="s">
        <v>634</v>
      </c>
      <c r="S80" s="424"/>
      <c r="T80" s="434" t="s">
        <v>635</v>
      </c>
      <c r="U80" s="434" t="s">
        <v>636</v>
      </c>
      <c r="V80" s="436" t="n">
        <f aca="false">AY85</f>
        <v>0</v>
      </c>
      <c r="W80" s="424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8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BC80" s="428"/>
      <c r="BD80" s="429"/>
      <c r="BF80" s="427"/>
      <c r="BG80" s="437"/>
      <c r="BH80" s="427"/>
      <c r="BJ80" s="437"/>
      <c r="BM80" s="427"/>
      <c r="BN80" s="427"/>
      <c r="BO80" s="439"/>
      <c r="BP80" s="427"/>
      <c r="BQ80" s="427"/>
      <c r="BR80" s="431"/>
      <c r="BS80" s="431"/>
      <c r="BT80" s="427"/>
      <c r="BU80" s="427"/>
      <c r="BV80" s="427"/>
      <c r="BW80" s="427"/>
      <c r="BX80" s="427"/>
      <c r="BY80" s="427"/>
      <c r="BZ80" s="427"/>
      <c r="CA80" s="427"/>
      <c r="CB80" s="427"/>
      <c r="CC80" s="427"/>
      <c r="CD80" s="427"/>
      <c r="CE80" s="427"/>
      <c r="CF80" s="427"/>
      <c r="CG80" s="427"/>
      <c r="CH80" s="427"/>
      <c r="CI80" s="427"/>
    </row>
    <row r="81" customFormat="false" ht="13.5" hidden="false" customHeight="false" outlineLevel="0" collapsed="false">
      <c r="A81" s="424"/>
      <c r="B81" s="424"/>
      <c r="C81" s="424"/>
      <c r="D81" s="424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35" t="n">
        <v>75</v>
      </c>
      <c r="R81" s="434" t="s">
        <v>637</v>
      </c>
      <c r="S81" s="424"/>
      <c r="T81" s="434" t="s">
        <v>638</v>
      </c>
      <c r="U81" s="434" t="s">
        <v>639</v>
      </c>
      <c r="V81" s="436" t="n">
        <f aca="false">AY86</f>
        <v>0</v>
      </c>
      <c r="W81" s="424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8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BC81" s="428"/>
      <c r="BD81" s="429"/>
      <c r="BF81" s="427"/>
      <c r="BG81" s="437"/>
      <c r="BH81" s="427"/>
      <c r="BJ81" s="437"/>
      <c r="BK81" s="426"/>
      <c r="BN81" s="427"/>
      <c r="BO81" s="439"/>
      <c r="BP81" s="427"/>
      <c r="BQ81" s="427"/>
      <c r="BR81" s="427"/>
      <c r="BS81" s="431"/>
      <c r="BT81" s="427"/>
      <c r="BU81" s="427"/>
      <c r="BV81" s="427"/>
      <c r="BW81" s="427"/>
      <c r="BX81" s="427"/>
      <c r="BY81" s="427"/>
      <c r="BZ81" s="427"/>
      <c r="CA81" s="427"/>
      <c r="CB81" s="427"/>
      <c r="CC81" s="427"/>
      <c r="CD81" s="427"/>
      <c r="CE81" s="427"/>
      <c r="CF81" s="427"/>
      <c r="CG81" s="427"/>
      <c r="CH81" s="427"/>
      <c r="CI81" s="427"/>
    </row>
    <row r="82" customFormat="false" ht="13.5" hidden="false" customHeight="false" outlineLevel="0" collapsed="false">
      <c r="A82" s="424"/>
      <c r="B82" s="424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35" t="n">
        <v>76</v>
      </c>
      <c r="R82" s="434" t="s">
        <v>640</v>
      </c>
      <c r="S82" s="424"/>
      <c r="T82" s="434" t="s">
        <v>641</v>
      </c>
      <c r="U82" s="434" t="s">
        <v>642</v>
      </c>
      <c r="V82" s="436" t="n">
        <f aca="false">AY87</f>
        <v>0</v>
      </c>
      <c r="W82" s="424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8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BC82" s="428"/>
      <c r="BD82" s="429"/>
      <c r="BF82" s="427"/>
      <c r="BG82" s="437"/>
      <c r="BH82" s="427"/>
      <c r="BJ82" s="437"/>
      <c r="BK82" s="426"/>
      <c r="BN82" s="427"/>
      <c r="BO82" s="439"/>
      <c r="BP82" s="427"/>
      <c r="BQ82" s="427"/>
      <c r="BR82" s="427"/>
      <c r="BS82" s="431"/>
      <c r="BT82" s="427"/>
      <c r="BU82" s="427"/>
      <c r="BV82" s="427"/>
      <c r="BW82" s="427"/>
      <c r="BX82" s="427"/>
      <c r="BY82" s="427"/>
      <c r="BZ82" s="427"/>
      <c r="CA82" s="427"/>
      <c r="CB82" s="427"/>
      <c r="CC82" s="427"/>
      <c r="CD82" s="427"/>
      <c r="CE82" s="427"/>
      <c r="CF82" s="427"/>
      <c r="CG82" s="427"/>
      <c r="CH82" s="427"/>
      <c r="CI82" s="427"/>
    </row>
    <row r="83" customFormat="false" ht="13.5" hidden="false" customHeight="false" outlineLevel="0" collapsed="false">
      <c r="A83" s="424"/>
      <c r="B83" s="424"/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35" t="n">
        <v>77</v>
      </c>
      <c r="R83" s="434" t="s">
        <v>643</v>
      </c>
      <c r="S83" s="424"/>
      <c r="T83" s="434" t="s">
        <v>644</v>
      </c>
      <c r="U83" s="434" t="s">
        <v>645</v>
      </c>
      <c r="V83" s="436" t="n">
        <f aca="false">AY88</f>
        <v>0</v>
      </c>
      <c r="W83" s="424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8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BC83" s="428"/>
      <c r="BD83" s="429"/>
      <c r="BF83" s="427"/>
      <c r="BG83" s="437"/>
      <c r="BH83" s="427"/>
      <c r="BJ83" s="437"/>
      <c r="BN83" s="427"/>
      <c r="BO83" s="439"/>
      <c r="BP83" s="427"/>
      <c r="BQ83" s="427"/>
      <c r="BR83" s="427"/>
      <c r="BS83" s="431"/>
      <c r="BT83" s="427"/>
      <c r="BU83" s="427"/>
      <c r="BV83" s="427"/>
      <c r="BW83" s="427"/>
      <c r="BX83" s="427"/>
      <c r="BY83" s="427"/>
      <c r="BZ83" s="427"/>
      <c r="CA83" s="427"/>
      <c r="CB83" s="427"/>
      <c r="CC83" s="427"/>
      <c r="CD83" s="427"/>
      <c r="CE83" s="427"/>
      <c r="CF83" s="427"/>
      <c r="CG83" s="427"/>
      <c r="CH83" s="427"/>
      <c r="CI83" s="427"/>
    </row>
    <row r="84" customFormat="false" ht="13.5" hidden="false" customHeight="false" outlineLevel="0" collapsed="false">
      <c r="A84" s="424"/>
      <c r="B84" s="424"/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  <c r="P84" s="424"/>
      <c r="Q84" s="435" t="n">
        <v>78</v>
      </c>
      <c r="R84" s="434" t="s">
        <v>646</v>
      </c>
      <c r="S84" s="424"/>
      <c r="T84" s="434" t="s">
        <v>647</v>
      </c>
      <c r="U84" s="434" t="s">
        <v>648</v>
      </c>
      <c r="V84" s="436" t="n">
        <f aca="false">AY89</f>
        <v>0</v>
      </c>
      <c r="W84" s="424"/>
      <c r="X84" s="429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8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BC84" s="428"/>
      <c r="BD84" s="429"/>
      <c r="BE84" s="429"/>
      <c r="BF84" s="427"/>
      <c r="BG84" s="437"/>
      <c r="BH84" s="427"/>
      <c r="BJ84" s="437"/>
      <c r="BK84" s="437"/>
      <c r="BL84" s="427"/>
      <c r="BM84" s="429"/>
      <c r="BN84" s="427"/>
      <c r="BO84" s="439"/>
      <c r="BP84" s="427"/>
      <c r="BQ84" s="427"/>
      <c r="BR84" s="427"/>
      <c r="BS84" s="431"/>
      <c r="BT84" s="427"/>
      <c r="BU84" s="427"/>
      <c r="BV84" s="427"/>
      <c r="BW84" s="427"/>
      <c r="BX84" s="427"/>
      <c r="BY84" s="427"/>
      <c r="BZ84" s="427"/>
      <c r="CA84" s="427"/>
      <c r="CB84" s="427"/>
      <c r="CC84" s="427"/>
      <c r="CD84" s="427"/>
      <c r="CE84" s="427"/>
      <c r="CF84" s="427"/>
      <c r="CG84" s="427"/>
      <c r="CH84" s="427"/>
      <c r="CI84" s="427"/>
    </row>
    <row r="85" customFormat="false" ht="13.5" hidden="false" customHeight="false" outlineLevel="0" collapsed="false">
      <c r="A85" s="424"/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  <c r="P85" s="424"/>
      <c r="Q85" s="435" t="n">
        <v>79</v>
      </c>
      <c r="R85" s="434" t="s">
        <v>649</v>
      </c>
      <c r="S85" s="424"/>
      <c r="T85" s="434" t="s">
        <v>650</v>
      </c>
      <c r="U85" s="434" t="s">
        <v>651</v>
      </c>
      <c r="V85" s="436" t="n">
        <f aca="false">AY90</f>
        <v>0</v>
      </c>
      <c r="W85" s="424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8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BC85" s="428"/>
      <c r="BD85" s="429"/>
      <c r="BF85" s="427"/>
      <c r="BG85" s="437"/>
      <c r="BH85" s="427"/>
      <c r="BJ85" s="437"/>
      <c r="BK85" s="437"/>
      <c r="BL85" s="427"/>
      <c r="BM85" s="429"/>
      <c r="BN85" s="427"/>
      <c r="BO85" s="439"/>
      <c r="BP85" s="427"/>
      <c r="BQ85" s="427"/>
      <c r="BR85" s="427"/>
      <c r="BS85" s="431"/>
      <c r="BT85" s="427"/>
      <c r="BU85" s="427"/>
      <c r="BV85" s="427"/>
      <c r="BW85" s="427"/>
      <c r="BX85" s="427"/>
      <c r="BY85" s="427"/>
      <c r="BZ85" s="427"/>
      <c r="CA85" s="427"/>
      <c r="CB85" s="427"/>
      <c r="CC85" s="427"/>
      <c r="CD85" s="427"/>
      <c r="CE85" s="427"/>
      <c r="CF85" s="427"/>
      <c r="CG85" s="427"/>
      <c r="CH85" s="427"/>
      <c r="CI85" s="427"/>
    </row>
    <row r="86" customFormat="false" ht="13.5" hidden="false" customHeight="false" outlineLevel="0" collapsed="false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  <c r="M86" s="424"/>
      <c r="N86" s="424"/>
      <c r="O86" s="424"/>
      <c r="P86" s="424"/>
      <c r="Q86" s="435" t="n">
        <v>80</v>
      </c>
      <c r="R86" s="434" t="s">
        <v>652</v>
      </c>
      <c r="S86" s="424"/>
      <c r="T86" s="434" t="s">
        <v>653</v>
      </c>
      <c r="U86" s="434" t="s">
        <v>654</v>
      </c>
      <c r="V86" s="436" t="n">
        <f aca="false">AY91</f>
        <v>0</v>
      </c>
      <c r="W86" s="424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8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BC86" s="428"/>
      <c r="BD86" s="429"/>
      <c r="BF86" s="427"/>
      <c r="BG86" s="437"/>
      <c r="BH86" s="427"/>
      <c r="BJ86" s="437"/>
      <c r="BK86" s="431"/>
      <c r="BN86" s="427"/>
      <c r="BO86" s="439"/>
      <c r="BP86" s="427"/>
      <c r="BQ86" s="427"/>
      <c r="BR86" s="427"/>
      <c r="BS86" s="431"/>
      <c r="BT86" s="427"/>
      <c r="BU86" s="427"/>
      <c r="BV86" s="427"/>
      <c r="BW86" s="427"/>
      <c r="BX86" s="427"/>
      <c r="BY86" s="427"/>
      <c r="BZ86" s="427"/>
      <c r="CA86" s="427"/>
      <c r="CB86" s="427"/>
      <c r="CC86" s="427"/>
      <c r="CD86" s="427"/>
      <c r="CE86" s="427"/>
      <c r="CF86" s="427"/>
      <c r="CG86" s="427"/>
      <c r="CH86" s="427"/>
      <c r="CI86" s="427"/>
    </row>
    <row r="87" customFormat="false" ht="13.5" hidden="false" customHeight="false" outlineLevel="0" collapsed="false">
      <c r="A87" s="424"/>
      <c r="B87" s="424"/>
      <c r="C87" s="424"/>
      <c r="D87" s="424"/>
      <c r="E87" s="424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4"/>
      <c r="Q87" s="435" t="n">
        <v>81</v>
      </c>
      <c r="R87" s="434" t="s">
        <v>655</v>
      </c>
      <c r="S87" s="424"/>
      <c r="T87" s="434" t="s">
        <v>656</v>
      </c>
      <c r="U87" s="434" t="s">
        <v>657</v>
      </c>
      <c r="V87" s="436" t="n">
        <f aca="false">AY92</f>
        <v>0</v>
      </c>
      <c r="W87" s="424"/>
      <c r="X87" s="43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8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BC87" s="428"/>
      <c r="BD87" s="429"/>
      <c r="BF87" s="427"/>
      <c r="BG87" s="437"/>
      <c r="BH87" s="427"/>
      <c r="BJ87" s="437"/>
      <c r="BK87" s="431"/>
      <c r="BN87" s="427"/>
      <c r="BO87" s="439"/>
      <c r="BP87" s="427"/>
      <c r="BQ87" s="427"/>
      <c r="BR87" s="427"/>
      <c r="BS87" s="431"/>
      <c r="BT87" s="427"/>
      <c r="BU87" s="427"/>
      <c r="BV87" s="427"/>
      <c r="BW87" s="427"/>
      <c r="BX87" s="427"/>
      <c r="BY87" s="427"/>
      <c r="BZ87" s="427"/>
      <c r="CA87" s="427"/>
      <c r="CB87" s="427"/>
      <c r="CC87" s="427"/>
      <c r="CD87" s="427"/>
      <c r="CE87" s="427"/>
      <c r="CF87" s="427"/>
      <c r="CG87" s="427"/>
      <c r="CH87" s="427"/>
      <c r="CI87" s="427"/>
    </row>
    <row r="88" customFormat="false" ht="13.5" hidden="false" customHeight="false" outlineLevel="0" collapsed="false">
      <c r="A88" s="424"/>
      <c r="B88" s="424"/>
      <c r="C88" s="424"/>
      <c r="D88" s="424"/>
      <c r="E88" s="424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4"/>
      <c r="Q88" s="435" t="n">
        <v>82</v>
      </c>
      <c r="R88" s="434" t="s">
        <v>658</v>
      </c>
      <c r="S88" s="424"/>
      <c r="T88" s="434" t="s">
        <v>659</v>
      </c>
      <c r="U88" s="434" t="s">
        <v>660</v>
      </c>
      <c r="V88" s="436" t="n">
        <f aca="false">AY93</f>
        <v>0</v>
      </c>
      <c r="W88" s="424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8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BC88" s="428"/>
      <c r="BD88" s="429"/>
      <c r="BF88" s="427"/>
      <c r="BG88" s="437"/>
      <c r="BH88" s="427"/>
      <c r="BJ88" s="437"/>
      <c r="BO88" s="439"/>
      <c r="BP88" s="427"/>
      <c r="BQ88" s="427"/>
      <c r="BR88" s="427"/>
      <c r="BS88" s="431"/>
      <c r="BT88" s="427"/>
      <c r="BU88" s="427"/>
      <c r="BV88" s="427"/>
      <c r="BW88" s="427"/>
      <c r="BX88" s="427"/>
      <c r="BY88" s="427"/>
      <c r="BZ88" s="427"/>
      <c r="CA88" s="427"/>
      <c r="CB88" s="427"/>
      <c r="CC88" s="427"/>
      <c r="CD88" s="427"/>
      <c r="CE88" s="427"/>
      <c r="CF88" s="427"/>
      <c r="CG88" s="427"/>
      <c r="CH88" s="427"/>
      <c r="CI88" s="427"/>
    </row>
    <row r="89" customFormat="false" ht="13.5" hidden="false" customHeight="false" outlineLevel="0" collapsed="false">
      <c r="A89" s="424"/>
      <c r="B89" s="424"/>
      <c r="C89" s="424"/>
      <c r="D89" s="424"/>
      <c r="E89" s="424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4"/>
      <c r="Q89" s="435" t="n">
        <v>83</v>
      </c>
      <c r="R89" s="434" t="s">
        <v>661</v>
      </c>
      <c r="S89" s="424"/>
      <c r="T89" s="434" t="s">
        <v>662</v>
      </c>
      <c r="U89" s="434" t="s">
        <v>663</v>
      </c>
      <c r="V89" s="436" t="n">
        <f aca="false">AY94</f>
        <v>0</v>
      </c>
      <c r="W89" s="424"/>
      <c r="X89" s="43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8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BC89" s="428"/>
      <c r="BD89" s="429"/>
      <c r="BF89" s="427"/>
      <c r="BG89" s="437"/>
      <c r="BH89" s="427"/>
      <c r="BJ89" s="437"/>
      <c r="BO89" s="439"/>
      <c r="BP89" s="427"/>
      <c r="BQ89" s="427"/>
      <c r="BR89" s="427"/>
      <c r="BS89" s="431"/>
      <c r="BT89" s="427"/>
      <c r="BU89" s="427"/>
      <c r="BV89" s="427"/>
      <c r="BW89" s="427"/>
      <c r="BX89" s="427"/>
      <c r="BY89" s="427"/>
      <c r="BZ89" s="427"/>
      <c r="CA89" s="427"/>
      <c r="CB89" s="427"/>
      <c r="CC89" s="427"/>
      <c r="CD89" s="427"/>
      <c r="CE89" s="427"/>
      <c r="CF89" s="427"/>
      <c r="CG89" s="427"/>
      <c r="CH89" s="427"/>
      <c r="CI89" s="427"/>
    </row>
    <row r="90" customFormat="false" ht="13.5" hidden="false" customHeight="false" outlineLevel="0" collapsed="false">
      <c r="A90" s="424"/>
      <c r="B90" s="424"/>
      <c r="C90" s="424"/>
      <c r="D90" s="424"/>
      <c r="E90" s="424"/>
      <c r="F90" s="424"/>
      <c r="G90" s="424"/>
      <c r="H90" s="424"/>
      <c r="I90" s="424"/>
      <c r="J90" s="424"/>
      <c r="K90" s="424"/>
      <c r="L90" s="424"/>
      <c r="M90" s="424"/>
      <c r="N90" s="424"/>
      <c r="O90" s="424"/>
      <c r="P90" s="424"/>
      <c r="Q90" s="435" t="n">
        <v>84</v>
      </c>
      <c r="R90" s="434" t="s">
        <v>664</v>
      </c>
      <c r="S90" s="424"/>
      <c r="T90" s="434" t="s">
        <v>665</v>
      </c>
      <c r="U90" s="434" t="s">
        <v>666</v>
      </c>
      <c r="V90" s="436" t="n">
        <f aca="false">AY95</f>
        <v>0</v>
      </c>
      <c r="W90" s="424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8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BC90" s="428"/>
      <c r="BD90" s="429"/>
      <c r="BF90" s="427"/>
      <c r="BG90" s="437"/>
      <c r="BH90" s="427"/>
      <c r="BJ90" s="437"/>
      <c r="BO90" s="439"/>
      <c r="BP90" s="427"/>
      <c r="BQ90" s="427"/>
      <c r="BR90" s="431"/>
      <c r="BS90" s="431"/>
      <c r="BT90" s="427"/>
      <c r="BU90" s="427"/>
      <c r="BV90" s="427"/>
      <c r="BW90" s="427"/>
      <c r="BX90" s="427"/>
      <c r="BY90" s="427"/>
      <c r="BZ90" s="427"/>
      <c r="CA90" s="427"/>
      <c r="CB90" s="427"/>
      <c r="CC90" s="427"/>
      <c r="CD90" s="427"/>
      <c r="CE90" s="427"/>
      <c r="CF90" s="427"/>
      <c r="CG90" s="427"/>
      <c r="CH90" s="427"/>
      <c r="CI90" s="427"/>
    </row>
    <row r="91" customFormat="false" ht="13.5" hidden="false" customHeight="false" outlineLevel="0" collapsed="false">
      <c r="A91" s="424"/>
      <c r="B91" s="424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4"/>
      <c r="Q91" s="435" t="n">
        <v>85</v>
      </c>
      <c r="R91" s="434" t="s">
        <v>667</v>
      </c>
      <c r="S91" s="424"/>
      <c r="T91" s="434" t="s">
        <v>668</v>
      </c>
      <c r="U91" s="434" t="s">
        <v>669</v>
      </c>
      <c r="V91" s="436" t="n">
        <f aca="false">AY96</f>
        <v>0</v>
      </c>
      <c r="W91" s="424"/>
      <c r="X91" s="43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8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BC91" s="428"/>
      <c r="BD91" s="429"/>
      <c r="BF91" s="427"/>
      <c r="BG91" s="437"/>
      <c r="BH91" s="427"/>
      <c r="BJ91" s="437"/>
      <c r="BO91" s="439"/>
      <c r="BP91" s="427"/>
      <c r="BQ91" s="427"/>
      <c r="BR91" s="427"/>
      <c r="BS91" s="431"/>
      <c r="BT91" s="427"/>
      <c r="BU91" s="427"/>
      <c r="BV91" s="427"/>
      <c r="BW91" s="427"/>
      <c r="BX91" s="427"/>
      <c r="BY91" s="427"/>
      <c r="BZ91" s="427"/>
      <c r="CA91" s="427"/>
      <c r="CB91" s="427"/>
      <c r="CC91" s="427"/>
      <c r="CD91" s="427"/>
      <c r="CE91" s="427"/>
      <c r="CF91" s="427"/>
      <c r="CG91" s="439"/>
      <c r="CH91" s="427"/>
      <c r="CI91" s="427"/>
    </row>
    <row r="92" customFormat="false" ht="13.5" hidden="false" customHeight="false" outlineLevel="0" collapsed="false">
      <c r="A92" s="424"/>
      <c r="B92" s="424"/>
      <c r="C92" s="424"/>
      <c r="D92" s="424"/>
      <c r="E92" s="424"/>
      <c r="F92" s="424"/>
      <c r="G92" s="424"/>
      <c r="H92" s="424"/>
      <c r="I92" s="424"/>
      <c r="J92" s="424"/>
      <c r="K92" s="424"/>
      <c r="L92" s="424"/>
      <c r="M92" s="424"/>
      <c r="N92" s="424"/>
      <c r="O92" s="424"/>
      <c r="P92" s="424"/>
      <c r="Q92" s="435" t="n">
        <v>86</v>
      </c>
      <c r="R92" s="434" t="s">
        <v>670</v>
      </c>
      <c r="S92" s="424"/>
      <c r="T92" s="434" t="s">
        <v>671</v>
      </c>
      <c r="U92" s="434" t="s">
        <v>672</v>
      </c>
      <c r="V92" s="436" t="n">
        <f aca="false">AY97</f>
        <v>0</v>
      </c>
      <c r="W92" s="424"/>
      <c r="X92" s="43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8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BC92" s="428"/>
      <c r="BF92" s="437"/>
      <c r="BG92" s="427"/>
      <c r="BH92" s="437"/>
      <c r="BI92" s="427"/>
      <c r="BJ92" s="427"/>
      <c r="BO92" s="439"/>
      <c r="BP92" s="427"/>
      <c r="BQ92" s="427"/>
      <c r="BR92" s="427"/>
      <c r="BS92" s="431"/>
      <c r="BT92" s="427"/>
      <c r="BU92" s="427"/>
      <c r="BV92" s="427"/>
      <c r="BW92" s="427"/>
      <c r="BX92" s="427"/>
      <c r="BY92" s="427"/>
      <c r="BZ92" s="427"/>
      <c r="CA92" s="427"/>
      <c r="CB92" s="427"/>
      <c r="CC92" s="427"/>
      <c r="CD92" s="427"/>
      <c r="CE92" s="427"/>
      <c r="CF92" s="427"/>
      <c r="CG92" s="439"/>
      <c r="CH92" s="427"/>
      <c r="CI92" s="427"/>
    </row>
    <row r="93" customFormat="false" ht="13.5" hidden="false" customHeight="false" outlineLevel="0" collapsed="false">
      <c r="A93" s="424"/>
      <c r="B93" s="424"/>
      <c r="C93" s="424"/>
      <c r="D93" s="424"/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35" t="n">
        <v>87</v>
      </c>
      <c r="R93" s="434" t="s">
        <v>673</v>
      </c>
      <c r="S93" s="424"/>
      <c r="T93" s="434" t="s">
        <v>674</v>
      </c>
      <c r="U93" s="434" t="s">
        <v>675</v>
      </c>
      <c r="V93" s="436" t="n">
        <f aca="false">AY98</f>
        <v>0</v>
      </c>
      <c r="W93" s="424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8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BC93" s="428"/>
      <c r="BF93" s="437"/>
      <c r="BG93" s="427"/>
      <c r="BH93" s="437"/>
      <c r="BI93" s="427"/>
      <c r="BJ93" s="427"/>
      <c r="BO93" s="439"/>
      <c r="BP93" s="427"/>
      <c r="BQ93" s="427"/>
      <c r="BR93" s="427"/>
      <c r="BS93" s="431"/>
      <c r="BT93" s="427"/>
      <c r="BU93" s="427"/>
      <c r="BV93" s="427"/>
      <c r="BW93" s="427"/>
      <c r="BX93" s="427"/>
      <c r="BY93" s="427"/>
      <c r="BZ93" s="427"/>
      <c r="CA93" s="427"/>
      <c r="CB93" s="427"/>
      <c r="CC93" s="427"/>
      <c r="CD93" s="427"/>
      <c r="CE93" s="427"/>
      <c r="CF93" s="427"/>
      <c r="CG93" s="439"/>
      <c r="CH93" s="427"/>
      <c r="CI93" s="427"/>
    </row>
    <row r="94" customFormat="false" ht="13.5" hidden="false" customHeight="false" outlineLevel="0" collapsed="false">
      <c r="A94" s="424"/>
      <c r="B94" s="424"/>
      <c r="C94" s="424"/>
      <c r="D94" s="424"/>
      <c r="E94" s="424"/>
      <c r="F94" s="424"/>
      <c r="G94" s="424"/>
      <c r="H94" s="424"/>
      <c r="I94" s="424"/>
      <c r="J94" s="424"/>
      <c r="K94" s="424"/>
      <c r="L94" s="424"/>
      <c r="M94" s="424"/>
      <c r="N94" s="424"/>
      <c r="O94" s="424"/>
      <c r="P94" s="424"/>
      <c r="Q94" s="435" t="n">
        <v>88</v>
      </c>
      <c r="R94" s="434" t="s">
        <v>676</v>
      </c>
      <c r="S94" s="424"/>
      <c r="T94" s="434" t="s">
        <v>677</v>
      </c>
      <c r="U94" s="434" t="s">
        <v>678</v>
      </c>
      <c r="V94" s="436" t="n">
        <f aca="false">AY99</f>
        <v>0</v>
      </c>
      <c r="W94" s="424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8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BC94" s="428"/>
      <c r="BO94" s="439"/>
      <c r="BP94" s="427"/>
      <c r="BQ94" s="427"/>
      <c r="BR94" s="427"/>
      <c r="BS94" s="431"/>
      <c r="BT94" s="427"/>
      <c r="BU94" s="427"/>
      <c r="BV94" s="427"/>
      <c r="BW94" s="427"/>
      <c r="BX94" s="427"/>
      <c r="BY94" s="427"/>
      <c r="BZ94" s="427"/>
      <c r="CA94" s="427"/>
      <c r="CB94" s="427"/>
      <c r="CC94" s="427"/>
      <c r="CD94" s="427"/>
      <c r="CE94" s="427"/>
      <c r="CF94" s="427"/>
      <c r="CG94" s="439"/>
      <c r="CH94" s="427"/>
      <c r="CI94" s="427"/>
    </row>
    <row r="95" customFormat="false" ht="13.5" hidden="false" customHeight="false" outlineLevel="0" collapsed="false">
      <c r="A95" s="424"/>
      <c r="B95" s="424"/>
      <c r="C95" s="424"/>
      <c r="D95" s="424"/>
      <c r="E95" s="424"/>
      <c r="F95" s="424"/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35" t="n">
        <v>89</v>
      </c>
      <c r="R95" s="434" t="s">
        <v>679</v>
      </c>
      <c r="S95" s="424"/>
      <c r="T95" s="434" t="s">
        <v>680</v>
      </c>
      <c r="U95" s="434" t="s">
        <v>681</v>
      </c>
      <c r="V95" s="436" t="n">
        <f aca="false">AY100</f>
        <v>0</v>
      </c>
      <c r="W95" s="424"/>
      <c r="X95" s="43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8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BC95" s="428"/>
      <c r="BJ95" s="427"/>
      <c r="BO95" s="439"/>
      <c r="BP95" s="427"/>
      <c r="BQ95" s="427"/>
      <c r="BR95" s="427"/>
      <c r="BS95" s="431"/>
      <c r="BT95" s="427"/>
      <c r="BU95" s="427"/>
      <c r="BV95" s="427"/>
      <c r="BW95" s="427"/>
      <c r="BX95" s="427"/>
      <c r="BY95" s="427"/>
      <c r="BZ95" s="427"/>
      <c r="CA95" s="427"/>
      <c r="CB95" s="427"/>
      <c r="CC95" s="427"/>
      <c r="CD95" s="427"/>
      <c r="CE95" s="427"/>
      <c r="CF95" s="427"/>
      <c r="CG95" s="439"/>
      <c r="CH95" s="427"/>
      <c r="CI95" s="427"/>
    </row>
    <row r="96" customFormat="false" ht="13.5" hidden="false" customHeight="false" outlineLevel="0" collapsed="false">
      <c r="A96" s="424"/>
      <c r="B96" s="424"/>
      <c r="C96" s="424"/>
      <c r="D96" s="424"/>
      <c r="E96" s="424"/>
      <c r="F96" s="424"/>
      <c r="G96" s="424"/>
      <c r="H96" s="424"/>
      <c r="I96" s="424"/>
      <c r="J96" s="424"/>
      <c r="K96" s="424"/>
      <c r="L96" s="424"/>
      <c r="M96" s="424"/>
      <c r="N96" s="424"/>
      <c r="O96" s="424"/>
      <c r="P96" s="424"/>
      <c r="Q96" s="435" t="n">
        <v>90</v>
      </c>
      <c r="R96" s="434" t="s">
        <v>682</v>
      </c>
      <c r="S96" s="424"/>
      <c r="T96" s="434" t="s">
        <v>683</v>
      </c>
      <c r="U96" s="434" t="s">
        <v>684</v>
      </c>
      <c r="V96" s="436" t="n">
        <f aca="false">AY101</f>
        <v>0</v>
      </c>
      <c r="W96" s="424"/>
      <c r="X96" s="43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8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BC96" s="428"/>
      <c r="BG96" s="427"/>
      <c r="BH96" s="437"/>
      <c r="BJ96" s="427"/>
      <c r="BO96" s="439"/>
      <c r="BP96" s="427"/>
      <c r="BQ96" s="427"/>
      <c r="BR96" s="427"/>
      <c r="BS96" s="431"/>
      <c r="BT96" s="427"/>
      <c r="BU96" s="427"/>
      <c r="BV96" s="427"/>
      <c r="BW96" s="427"/>
      <c r="BX96" s="427"/>
      <c r="BY96" s="427"/>
      <c r="BZ96" s="427"/>
      <c r="CA96" s="427"/>
      <c r="CB96" s="427"/>
      <c r="CC96" s="427"/>
      <c r="CD96" s="427"/>
      <c r="CE96" s="427"/>
      <c r="CF96" s="427"/>
      <c r="CG96" s="439"/>
      <c r="CH96" s="427"/>
      <c r="CI96" s="427"/>
    </row>
    <row r="97" customFormat="false" ht="13.5" hidden="false" customHeight="false" outlineLevel="0" collapsed="false">
      <c r="A97" s="424"/>
      <c r="B97" s="424"/>
      <c r="C97" s="424"/>
      <c r="D97" s="424"/>
      <c r="E97" s="424"/>
      <c r="F97" s="424"/>
      <c r="G97" s="424"/>
      <c r="H97" s="424"/>
      <c r="I97" s="424"/>
      <c r="J97" s="424"/>
      <c r="K97" s="424"/>
      <c r="L97" s="424"/>
      <c r="M97" s="424"/>
      <c r="N97" s="424"/>
      <c r="O97" s="424"/>
      <c r="P97" s="424"/>
      <c r="Q97" s="435" t="n">
        <v>91</v>
      </c>
      <c r="R97" s="434" t="s">
        <v>685</v>
      </c>
      <c r="S97" s="424"/>
      <c r="T97" s="434" t="s">
        <v>686</v>
      </c>
      <c r="U97" s="434" t="s">
        <v>687</v>
      </c>
      <c r="V97" s="436" t="n">
        <f aca="false">AY102</f>
        <v>0</v>
      </c>
      <c r="W97" s="424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8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BC97" s="428"/>
      <c r="BG97" s="427"/>
      <c r="BH97" s="437"/>
      <c r="BJ97" s="427"/>
      <c r="BO97" s="439"/>
      <c r="BP97" s="427"/>
      <c r="BQ97" s="427"/>
      <c r="BR97" s="427"/>
      <c r="BS97" s="431"/>
      <c r="BT97" s="427"/>
      <c r="BU97" s="427"/>
      <c r="BV97" s="427"/>
      <c r="BW97" s="427"/>
      <c r="BX97" s="427"/>
      <c r="BY97" s="427"/>
      <c r="BZ97" s="427"/>
      <c r="CA97" s="427"/>
      <c r="CB97" s="427"/>
      <c r="CC97" s="427"/>
      <c r="CD97" s="427"/>
      <c r="CE97" s="427"/>
      <c r="CF97" s="427"/>
      <c r="CG97" s="439"/>
      <c r="CH97" s="427"/>
      <c r="CI97" s="427"/>
    </row>
    <row r="98" customFormat="false" ht="13.5" hidden="false" customHeight="false" outlineLevel="0" collapsed="false">
      <c r="A98" s="424"/>
      <c r="B98" s="424"/>
      <c r="C98" s="424"/>
      <c r="D98" s="424"/>
      <c r="E98" s="424"/>
      <c r="F98" s="424"/>
      <c r="G98" s="424"/>
      <c r="H98" s="424"/>
      <c r="I98" s="424"/>
      <c r="J98" s="424"/>
      <c r="K98" s="424"/>
      <c r="L98" s="424"/>
      <c r="M98" s="424"/>
      <c r="N98" s="424"/>
      <c r="O98" s="424"/>
      <c r="P98" s="424"/>
      <c r="Q98" s="435" t="n">
        <v>92</v>
      </c>
      <c r="R98" s="434" t="s">
        <v>688</v>
      </c>
      <c r="S98" s="424"/>
      <c r="T98" s="434" t="s">
        <v>689</v>
      </c>
      <c r="U98" s="434" t="s">
        <v>690</v>
      </c>
      <c r="V98" s="436" t="n">
        <f aca="false">AY103</f>
        <v>0</v>
      </c>
      <c r="W98" s="424"/>
      <c r="X98" s="43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8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BC98" s="428"/>
      <c r="BG98" s="427"/>
      <c r="BH98" s="437"/>
      <c r="BJ98" s="427"/>
      <c r="BO98" s="439"/>
      <c r="BP98" s="427"/>
      <c r="BQ98" s="427"/>
      <c r="BR98" s="427"/>
      <c r="BS98" s="431"/>
      <c r="BT98" s="427"/>
      <c r="BU98" s="427"/>
      <c r="BV98" s="427"/>
      <c r="BW98" s="427"/>
      <c r="BX98" s="427"/>
      <c r="BY98" s="427"/>
      <c r="BZ98" s="427"/>
      <c r="CA98" s="427"/>
      <c r="CB98" s="427"/>
      <c r="CC98" s="427"/>
      <c r="CD98" s="427"/>
      <c r="CE98" s="427"/>
      <c r="CF98" s="427"/>
      <c r="CG98" s="439"/>
      <c r="CH98" s="427"/>
      <c r="CI98" s="427"/>
    </row>
    <row r="99" customFormat="false" ht="13.5" hidden="false" customHeight="false" outlineLevel="0" collapsed="false">
      <c r="A99" s="424"/>
      <c r="B99" s="424"/>
      <c r="C99" s="424"/>
      <c r="D99" s="424"/>
      <c r="E99" s="424"/>
      <c r="F99" s="424"/>
      <c r="G99" s="424"/>
      <c r="H99" s="424"/>
      <c r="I99" s="424"/>
      <c r="J99" s="424"/>
      <c r="K99" s="424"/>
      <c r="L99" s="424"/>
      <c r="M99" s="424"/>
      <c r="N99" s="424"/>
      <c r="O99" s="424"/>
      <c r="P99" s="424"/>
      <c r="Q99" s="435" t="n">
        <v>93</v>
      </c>
      <c r="R99" s="434" t="s">
        <v>691</v>
      </c>
      <c r="S99" s="424"/>
      <c r="T99" s="434" t="s">
        <v>692</v>
      </c>
      <c r="U99" s="434" t="s">
        <v>693</v>
      </c>
      <c r="V99" s="436" t="n">
        <f aca="false">AY104</f>
        <v>0</v>
      </c>
      <c r="W99" s="424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8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BC99" s="428"/>
      <c r="BG99" s="427"/>
      <c r="BH99" s="437"/>
      <c r="BN99" s="427"/>
      <c r="BO99" s="439"/>
      <c r="BP99" s="427"/>
      <c r="BQ99" s="427"/>
      <c r="BR99" s="427"/>
      <c r="BS99" s="431"/>
      <c r="BT99" s="427"/>
      <c r="BU99" s="427"/>
      <c r="BV99" s="427"/>
      <c r="BW99" s="427"/>
      <c r="BX99" s="427"/>
      <c r="BY99" s="427"/>
      <c r="BZ99" s="427"/>
      <c r="CA99" s="427"/>
      <c r="CB99" s="427"/>
      <c r="CC99" s="427"/>
      <c r="CD99" s="427"/>
      <c r="CE99" s="427"/>
      <c r="CF99" s="427"/>
      <c r="CG99" s="439"/>
      <c r="CH99" s="427"/>
      <c r="CI99" s="427"/>
    </row>
    <row r="100" customFormat="false" ht="13.5" hidden="false" customHeight="false" outlineLevel="0" collapsed="false">
      <c r="A100" s="424"/>
      <c r="B100" s="424"/>
      <c r="C100" s="424"/>
      <c r="D100" s="424"/>
      <c r="E100" s="424"/>
      <c r="F100" s="424"/>
      <c r="G100" s="424"/>
      <c r="H100" s="424"/>
      <c r="I100" s="424"/>
      <c r="J100" s="424"/>
      <c r="K100" s="424"/>
      <c r="L100" s="424"/>
      <c r="M100" s="424"/>
      <c r="N100" s="424"/>
      <c r="O100" s="424"/>
      <c r="P100" s="424"/>
      <c r="Q100" s="435" t="n">
        <v>94</v>
      </c>
      <c r="R100" s="434" t="s">
        <v>694</v>
      </c>
      <c r="S100" s="424"/>
      <c r="T100" s="434" t="s">
        <v>695</v>
      </c>
      <c r="U100" s="434" t="s">
        <v>696</v>
      </c>
      <c r="V100" s="436" t="n">
        <f aca="false">AY105</f>
        <v>0</v>
      </c>
      <c r="W100" s="424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8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BC100" s="428"/>
      <c r="BJ100" s="437"/>
      <c r="BO100" s="439"/>
      <c r="BP100" s="427"/>
      <c r="BQ100" s="427"/>
      <c r="BR100" s="431"/>
      <c r="BS100" s="431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  <c r="CD100" s="427"/>
      <c r="CE100" s="427"/>
      <c r="CF100" s="427"/>
      <c r="CG100" s="439"/>
      <c r="CH100" s="427"/>
      <c r="CI100" s="427"/>
    </row>
    <row r="101" customFormat="false" ht="13.5" hidden="false" customHeight="false" outlineLevel="0" collapsed="false">
      <c r="A101" s="424"/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  <c r="P101" s="424"/>
      <c r="Q101" s="435" t="n">
        <v>95</v>
      </c>
      <c r="R101" s="434" t="s">
        <v>697</v>
      </c>
      <c r="S101" s="424"/>
      <c r="T101" s="434" t="s">
        <v>698</v>
      </c>
      <c r="U101" s="434" t="s">
        <v>699</v>
      </c>
      <c r="V101" s="436" t="n">
        <f aca="false">AY106</f>
        <v>0</v>
      </c>
      <c r="W101" s="424"/>
      <c r="X101" s="43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BC101" s="428"/>
      <c r="BO101" s="439"/>
      <c r="BP101" s="427"/>
      <c r="BQ101" s="427"/>
      <c r="BR101" s="427"/>
      <c r="BS101" s="431"/>
      <c r="BT101" s="427"/>
      <c r="BU101" s="427"/>
      <c r="BV101" s="427"/>
      <c r="BW101" s="427"/>
      <c r="BX101" s="427"/>
      <c r="BY101" s="427"/>
      <c r="BZ101" s="427"/>
      <c r="CA101" s="427"/>
      <c r="CB101" s="427"/>
      <c r="CC101" s="427"/>
      <c r="CD101" s="427"/>
      <c r="CE101" s="427"/>
      <c r="CF101" s="427"/>
      <c r="CG101" s="439"/>
      <c r="CH101" s="427"/>
      <c r="CI101" s="427"/>
    </row>
    <row r="102" customFormat="false" ht="13.5" hidden="false" customHeight="false" outlineLevel="0" collapsed="false">
      <c r="A102" s="424"/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  <c r="P102" s="424"/>
      <c r="Q102" s="435" t="n">
        <v>96</v>
      </c>
      <c r="R102" s="434" t="s">
        <v>700</v>
      </c>
      <c r="S102" s="424"/>
      <c r="T102" s="434" t="s">
        <v>701</v>
      </c>
      <c r="U102" s="434" t="s">
        <v>702</v>
      </c>
      <c r="V102" s="436" t="n">
        <f aca="false">AY107</f>
        <v>0</v>
      </c>
      <c r="W102" s="424"/>
      <c r="X102" s="43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BC102" s="428"/>
      <c r="BJ102" s="427"/>
      <c r="BO102" s="439"/>
      <c r="BP102" s="427"/>
      <c r="BQ102" s="427"/>
      <c r="BR102" s="427"/>
      <c r="BS102" s="431"/>
      <c r="BT102" s="427"/>
      <c r="BU102" s="427"/>
      <c r="BV102" s="427"/>
      <c r="BW102" s="427"/>
      <c r="BX102" s="427"/>
      <c r="BY102" s="427"/>
      <c r="BZ102" s="427"/>
      <c r="CA102" s="427"/>
      <c r="CB102" s="427"/>
      <c r="CC102" s="427"/>
      <c r="CD102" s="427"/>
      <c r="CE102" s="427"/>
      <c r="CF102" s="427"/>
      <c r="CG102" s="439"/>
      <c r="CH102" s="427"/>
      <c r="CI102" s="427"/>
    </row>
    <row r="103" customFormat="false" ht="13.5" hidden="false" customHeight="false" outlineLevel="0" collapsed="false">
      <c r="A103" s="424"/>
      <c r="B103" s="424"/>
      <c r="C103" s="424"/>
      <c r="D103" s="424"/>
      <c r="E103" s="424"/>
      <c r="F103" s="424"/>
      <c r="G103" s="424"/>
      <c r="H103" s="424"/>
      <c r="I103" s="424"/>
      <c r="J103" s="424"/>
      <c r="K103" s="424"/>
      <c r="L103" s="424"/>
      <c r="M103" s="424"/>
      <c r="N103" s="424"/>
      <c r="O103" s="424"/>
      <c r="P103" s="424"/>
      <c r="Q103" s="435" t="n">
        <v>97</v>
      </c>
      <c r="R103" s="434" t="s">
        <v>703</v>
      </c>
      <c r="S103" s="424"/>
      <c r="T103" s="434" t="s">
        <v>704</v>
      </c>
      <c r="U103" s="434" t="s">
        <v>705</v>
      </c>
      <c r="V103" s="436" t="n">
        <f aca="false">AY108</f>
        <v>0</v>
      </c>
      <c r="W103" s="424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BC103" s="428"/>
      <c r="BO103" s="439"/>
      <c r="BP103" s="427"/>
      <c r="BQ103" s="427"/>
      <c r="BR103" s="427"/>
      <c r="BS103" s="431"/>
      <c r="BT103" s="427"/>
      <c r="BU103" s="427"/>
      <c r="BV103" s="427"/>
      <c r="BW103" s="427"/>
      <c r="BX103" s="427"/>
      <c r="BY103" s="427"/>
      <c r="BZ103" s="427"/>
      <c r="CA103" s="427"/>
      <c r="CB103" s="427"/>
      <c r="CC103" s="427"/>
      <c r="CD103" s="427"/>
      <c r="CE103" s="427"/>
      <c r="CF103" s="427"/>
      <c r="CG103" s="439"/>
      <c r="CH103" s="427"/>
      <c r="CI103" s="427"/>
    </row>
    <row r="104" customFormat="false" ht="13.5" hidden="false" customHeight="false" outlineLevel="0" collapsed="false">
      <c r="A104" s="424"/>
      <c r="B104" s="424"/>
      <c r="C104" s="424"/>
      <c r="D104" s="424"/>
      <c r="E104" s="424"/>
      <c r="F104" s="424"/>
      <c r="G104" s="424"/>
      <c r="H104" s="424"/>
      <c r="I104" s="424"/>
      <c r="J104" s="424"/>
      <c r="K104" s="424"/>
      <c r="L104" s="424"/>
      <c r="M104" s="424"/>
      <c r="N104" s="424"/>
      <c r="O104" s="424"/>
      <c r="P104" s="424"/>
      <c r="Q104" s="435" t="n">
        <v>98</v>
      </c>
      <c r="R104" s="434" t="s">
        <v>706</v>
      </c>
      <c r="S104" s="424"/>
      <c r="T104" s="434" t="s">
        <v>707</v>
      </c>
      <c r="U104" s="434" t="s">
        <v>708</v>
      </c>
      <c r="V104" s="436" t="n">
        <f aca="false">AY109</f>
        <v>0</v>
      </c>
      <c r="W104" s="424"/>
      <c r="X104" s="43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BC104" s="428"/>
      <c r="BO104" s="439"/>
      <c r="BP104" s="427"/>
      <c r="BQ104" s="427"/>
      <c r="BR104" s="427"/>
      <c r="BS104" s="431"/>
      <c r="BT104" s="427"/>
      <c r="BU104" s="427"/>
      <c r="BV104" s="427"/>
      <c r="BW104" s="427"/>
      <c r="BX104" s="427"/>
      <c r="BY104" s="427"/>
      <c r="BZ104" s="427"/>
      <c r="CA104" s="427"/>
      <c r="CB104" s="427"/>
      <c r="CC104" s="427"/>
      <c r="CD104" s="427"/>
      <c r="CE104" s="427"/>
      <c r="CF104" s="427"/>
      <c r="CG104" s="439"/>
      <c r="CH104" s="427"/>
      <c r="CI104" s="427"/>
    </row>
    <row r="105" customFormat="false" ht="13.5" hidden="false" customHeight="false" outlineLevel="0" collapsed="false">
      <c r="A105" s="424"/>
      <c r="B105" s="424"/>
      <c r="C105" s="424"/>
      <c r="D105" s="424"/>
      <c r="E105" s="424"/>
      <c r="F105" s="424"/>
      <c r="G105" s="424"/>
      <c r="H105" s="424"/>
      <c r="I105" s="424"/>
      <c r="J105" s="424"/>
      <c r="K105" s="424"/>
      <c r="L105" s="424"/>
      <c r="M105" s="424"/>
      <c r="N105" s="424"/>
      <c r="O105" s="424"/>
      <c r="P105" s="424"/>
      <c r="Q105" s="435" t="n">
        <v>99</v>
      </c>
      <c r="R105" s="434" t="s">
        <v>709</v>
      </c>
      <c r="S105" s="424"/>
      <c r="T105" s="434" t="s">
        <v>710</v>
      </c>
      <c r="U105" s="434" t="s">
        <v>711</v>
      </c>
      <c r="V105" s="436" t="n">
        <f aca="false">AY110</f>
        <v>0</v>
      </c>
      <c r="W105" s="424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BC105" s="428"/>
      <c r="BO105" s="439"/>
      <c r="BP105" s="427"/>
      <c r="BQ105" s="427"/>
      <c r="BR105" s="427"/>
      <c r="BS105" s="431"/>
      <c r="BT105" s="427"/>
      <c r="BU105" s="427"/>
      <c r="BV105" s="427"/>
      <c r="BW105" s="427"/>
      <c r="BX105" s="427"/>
      <c r="BY105" s="427"/>
      <c r="BZ105" s="427"/>
      <c r="CA105" s="427"/>
      <c r="CB105" s="427"/>
      <c r="CC105" s="427"/>
      <c r="CD105" s="427"/>
      <c r="CE105" s="427"/>
      <c r="CF105" s="427"/>
      <c r="CG105" s="439"/>
      <c r="CH105" s="427"/>
      <c r="CI105" s="427"/>
    </row>
    <row r="106" customFormat="false" ht="13.5" hidden="false" customHeight="false" outlineLevel="0" collapsed="false">
      <c r="A106" s="424"/>
      <c r="B106" s="424"/>
      <c r="C106" s="424"/>
      <c r="D106" s="424"/>
      <c r="E106" s="424"/>
      <c r="F106" s="424"/>
      <c r="G106" s="424"/>
      <c r="H106" s="424"/>
      <c r="I106" s="424"/>
      <c r="J106" s="424"/>
      <c r="K106" s="424"/>
      <c r="L106" s="424"/>
      <c r="M106" s="424"/>
      <c r="N106" s="424"/>
      <c r="O106" s="424"/>
      <c r="P106" s="424"/>
      <c r="Q106" s="424"/>
      <c r="R106" s="424"/>
      <c r="S106" s="424"/>
      <c r="T106" s="424"/>
      <c r="U106" s="424"/>
      <c r="V106" s="436" t="n">
        <f aca="false">AY111</f>
        <v>0</v>
      </c>
      <c r="W106" s="424"/>
      <c r="X106" s="43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BC106" s="428"/>
      <c r="BN106" s="427"/>
      <c r="BO106" s="439"/>
      <c r="BP106" s="427"/>
      <c r="BQ106" s="427"/>
      <c r="BR106" s="427"/>
      <c r="BS106" s="431"/>
      <c r="BT106" s="427"/>
      <c r="BU106" s="427"/>
      <c r="BV106" s="427"/>
      <c r="BW106" s="427"/>
      <c r="BX106" s="427"/>
      <c r="BY106" s="427"/>
      <c r="BZ106" s="427"/>
      <c r="CA106" s="427"/>
      <c r="CB106" s="427"/>
      <c r="CC106" s="427"/>
      <c r="CD106" s="427"/>
      <c r="CE106" s="427"/>
      <c r="CF106" s="427"/>
      <c r="CG106" s="439"/>
      <c r="CH106" s="427"/>
      <c r="CI106" s="427"/>
    </row>
    <row r="107" customFormat="false" ht="13.5" hidden="false" customHeight="false" outlineLevel="0" collapsed="false">
      <c r="A107" s="424"/>
      <c r="B107" s="424"/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36" t="n">
        <f aca="false">AY112</f>
        <v>0</v>
      </c>
      <c r="W107" s="424"/>
      <c r="AC107" s="427"/>
      <c r="AD107" s="427"/>
      <c r="AE107" s="427"/>
      <c r="AG107" s="427"/>
      <c r="AH107" s="427"/>
      <c r="AI107" s="427"/>
      <c r="AJ107" s="427"/>
      <c r="AK107" s="427"/>
      <c r="AL107" s="427"/>
      <c r="AM107" s="427"/>
      <c r="AN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BC107" s="428"/>
      <c r="BN107" s="427"/>
      <c r="BO107" s="439"/>
      <c r="BP107" s="427"/>
      <c r="BQ107" s="427"/>
      <c r="BR107" s="427"/>
      <c r="BS107" s="431"/>
      <c r="BT107" s="427"/>
      <c r="BU107" s="427"/>
      <c r="BV107" s="427"/>
      <c r="BW107" s="427"/>
      <c r="BX107" s="427"/>
      <c r="BY107" s="427"/>
      <c r="BZ107" s="427"/>
      <c r="CA107" s="427"/>
      <c r="CB107" s="427"/>
      <c r="CC107" s="427"/>
      <c r="CD107" s="427"/>
      <c r="CE107" s="427"/>
      <c r="CF107" s="427"/>
      <c r="CG107" s="439"/>
      <c r="CH107" s="427"/>
      <c r="CI107" s="427"/>
    </row>
    <row r="108" customFormat="false" ht="13.5" hidden="false" customHeight="false" outlineLevel="0" collapsed="false">
      <c r="A108" s="424"/>
      <c r="B108" s="424"/>
      <c r="C108" s="424"/>
      <c r="D108" s="424"/>
      <c r="E108" s="424"/>
      <c r="F108" s="424"/>
      <c r="G108" s="424"/>
      <c r="H108" s="424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36" t="n">
        <f aca="false">AY113</f>
        <v>0</v>
      </c>
      <c r="W108" s="424"/>
      <c r="X108" s="437"/>
      <c r="AC108" s="427"/>
      <c r="AD108" s="427"/>
      <c r="AE108" s="427"/>
      <c r="AG108" s="427"/>
      <c r="AH108" s="427"/>
      <c r="AI108" s="427"/>
      <c r="AJ108" s="427"/>
      <c r="AK108" s="427"/>
      <c r="AL108" s="427"/>
      <c r="AM108" s="427"/>
      <c r="AN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BC108" s="428"/>
      <c r="BN108" s="427"/>
      <c r="BO108" s="439"/>
      <c r="BP108" s="427"/>
      <c r="BQ108" s="427"/>
      <c r="BR108" s="427"/>
      <c r="BS108" s="431"/>
      <c r="BT108" s="427"/>
      <c r="BU108" s="427"/>
      <c r="BV108" s="427"/>
      <c r="BW108" s="427"/>
      <c r="BX108" s="427"/>
      <c r="BY108" s="427"/>
      <c r="BZ108" s="427"/>
      <c r="CA108" s="427"/>
      <c r="CB108" s="427"/>
      <c r="CC108" s="427"/>
      <c r="CD108" s="427"/>
      <c r="CE108" s="427"/>
      <c r="CF108" s="427"/>
      <c r="CG108" s="439"/>
      <c r="CH108" s="427"/>
      <c r="CI108" s="427"/>
    </row>
    <row r="109" customFormat="false" ht="13.5" hidden="false" customHeight="false" outlineLevel="0" collapsed="false">
      <c r="A109" s="424"/>
      <c r="B109" s="424"/>
      <c r="C109" s="424"/>
      <c r="D109" s="424"/>
      <c r="E109" s="424"/>
      <c r="F109" s="424"/>
      <c r="G109" s="424"/>
      <c r="H109" s="424"/>
      <c r="I109" s="424"/>
      <c r="J109" s="424"/>
      <c r="K109" s="424"/>
      <c r="L109" s="424"/>
      <c r="M109" s="424"/>
      <c r="N109" s="424"/>
      <c r="O109" s="424"/>
      <c r="P109" s="424"/>
      <c r="Q109" s="424"/>
      <c r="R109" s="424"/>
      <c r="S109" s="424"/>
      <c r="T109" s="424"/>
      <c r="U109" s="424"/>
      <c r="V109" s="436" t="n">
        <f aca="false">AY114</f>
        <v>0</v>
      </c>
      <c r="W109" s="424"/>
      <c r="AC109" s="427"/>
      <c r="AD109" s="427"/>
      <c r="AE109" s="427"/>
      <c r="AG109" s="427"/>
      <c r="AH109" s="427"/>
      <c r="AI109" s="427"/>
      <c r="AJ109" s="427"/>
      <c r="AK109" s="427"/>
      <c r="AL109" s="427"/>
      <c r="AM109" s="427"/>
      <c r="AN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BC109" s="428"/>
      <c r="BN109" s="427"/>
      <c r="BO109" s="439"/>
      <c r="BP109" s="427"/>
      <c r="BQ109" s="427"/>
      <c r="BR109" s="427"/>
      <c r="BS109" s="431"/>
      <c r="BT109" s="427"/>
      <c r="BU109" s="427"/>
      <c r="BV109" s="427"/>
      <c r="BW109" s="427"/>
      <c r="BX109" s="427"/>
      <c r="BY109" s="427"/>
      <c r="BZ109" s="427"/>
      <c r="CA109" s="427"/>
      <c r="CB109" s="427"/>
      <c r="CC109" s="427"/>
      <c r="CD109" s="427"/>
      <c r="CE109" s="427"/>
      <c r="CF109" s="427"/>
      <c r="CG109" s="439"/>
      <c r="CH109" s="427"/>
      <c r="CI109" s="427"/>
    </row>
    <row r="110" customFormat="false" ht="13.5" hidden="false" customHeight="false" outlineLevel="0" collapsed="false">
      <c r="A110" s="424"/>
      <c r="B110" s="424"/>
      <c r="C110" s="424"/>
      <c r="D110" s="424"/>
      <c r="E110" s="424"/>
      <c r="F110" s="424"/>
      <c r="G110" s="424"/>
      <c r="H110" s="424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36" t="n">
        <f aca="false">AY115</f>
        <v>0</v>
      </c>
      <c r="W110" s="424"/>
      <c r="X110" s="437"/>
      <c r="AC110" s="427"/>
      <c r="AD110" s="427"/>
      <c r="AE110" s="427"/>
      <c r="AG110" s="427"/>
      <c r="AH110" s="427"/>
      <c r="AI110" s="427"/>
      <c r="AJ110" s="427"/>
      <c r="AK110" s="427"/>
      <c r="AL110" s="427"/>
      <c r="AM110" s="427"/>
      <c r="AN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BC110" s="428"/>
      <c r="BN110" s="427"/>
      <c r="BO110" s="428"/>
      <c r="BQ110" s="429"/>
      <c r="BR110" s="426"/>
      <c r="BS110" s="426"/>
      <c r="CG110" s="428"/>
    </row>
    <row r="111" customFormat="false" ht="13.5" hidden="false" customHeight="false" outlineLevel="0" collapsed="false">
      <c r="A111" s="424"/>
      <c r="B111" s="424"/>
      <c r="C111" s="424"/>
      <c r="D111" s="424"/>
      <c r="E111" s="424"/>
      <c r="F111" s="424"/>
      <c r="G111" s="424"/>
      <c r="H111" s="424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36" t="n">
        <f aca="false">AY116</f>
        <v>0</v>
      </c>
      <c r="W111" s="424"/>
      <c r="X111" s="437"/>
      <c r="AC111" s="427"/>
      <c r="AD111" s="427"/>
      <c r="AE111" s="427"/>
      <c r="AG111" s="427"/>
      <c r="AH111" s="427"/>
      <c r="AI111" s="427"/>
      <c r="AJ111" s="427"/>
      <c r="AK111" s="427"/>
      <c r="AL111" s="427"/>
      <c r="AM111" s="427"/>
      <c r="AN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BC111" s="428"/>
      <c r="BN111" s="427"/>
      <c r="BO111" s="428"/>
      <c r="BQ111" s="429"/>
      <c r="BR111" s="429"/>
      <c r="BS111" s="426"/>
      <c r="CG111" s="428"/>
    </row>
    <row r="112" customFormat="false" ht="13.5" hidden="false" customHeight="false" outlineLevel="0" collapsed="false">
      <c r="A112" s="424"/>
      <c r="B112" s="424"/>
      <c r="C112" s="424"/>
      <c r="D112" s="424"/>
      <c r="E112" s="424"/>
      <c r="F112" s="424"/>
      <c r="G112" s="424"/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36" t="n">
        <f aca="false">AY117</f>
        <v>0</v>
      </c>
      <c r="W112" s="424"/>
      <c r="AC112" s="427"/>
      <c r="AD112" s="427"/>
      <c r="AE112" s="427"/>
      <c r="AG112" s="427"/>
      <c r="AH112" s="427"/>
      <c r="AI112" s="427"/>
      <c r="AJ112" s="427"/>
      <c r="AK112" s="427"/>
      <c r="AL112" s="427"/>
      <c r="AM112" s="427"/>
      <c r="AN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BC112" s="428"/>
      <c r="BN112" s="427"/>
      <c r="BO112" s="428"/>
      <c r="BQ112" s="429"/>
      <c r="BR112" s="429"/>
      <c r="BS112" s="426"/>
    </row>
    <row r="113" customFormat="false" ht="13.5" hidden="false" customHeight="false" outlineLevel="0" collapsed="false">
      <c r="A113" s="424"/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36" t="n">
        <f aca="false">AY118</f>
        <v>0</v>
      </c>
      <c r="W113" s="424"/>
      <c r="AC113" s="427"/>
      <c r="AD113" s="427"/>
      <c r="AE113" s="427"/>
      <c r="AG113" s="427"/>
      <c r="AH113" s="427"/>
      <c r="AI113" s="427"/>
      <c r="AJ113" s="427"/>
      <c r="AK113" s="427"/>
      <c r="AL113" s="427"/>
      <c r="AM113" s="427"/>
      <c r="AN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BC113" s="428"/>
      <c r="BN113" s="427"/>
      <c r="BO113" s="428"/>
      <c r="BQ113" s="429"/>
      <c r="BR113" s="429"/>
      <c r="BS113" s="426"/>
    </row>
    <row r="114" customFormat="false" ht="13.5" hidden="false" customHeight="false" outlineLevel="0" collapsed="false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  <c r="M114" s="424"/>
      <c r="N114" s="424"/>
      <c r="O114" s="424"/>
      <c r="P114" s="424"/>
      <c r="Q114" s="424"/>
      <c r="R114" s="424"/>
      <c r="S114" s="424"/>
      <c r="T114" s="424"/>
      <c r="U114" s="424"/>
      <c r="V114" s="436" t="n">
        <f aca="false">AY119</f>
        <v>0</v>
      </c>
      <c r="W114" s="424"/>
      <c r="X114" s="437"/>
      <c r="AC114" s="427"/>
      <c r="AD114" s="427"/>
      <c r="AE114" s="427"/>
      <c r="AG114" s="427"/>
      <c r="AH114" s="427"/>
      <c r="AI114" s="427"/>
      <c r="AJ114" s="427"/>
      <c r="AK114" s="427"/>
      <c r="AL114" s="427"/>
      <c r="AM114" s="427"/>
      <c r="AN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BC114" s="428"/>
      <c r="BN114" s="427"/>
      <c r="BO114" s="428"/>
      <c r="BQ114" s="429"/>
      <c r="BR114" s="429"/>
      <c r="BS114" s="426"/>
    </row>
    <row r="115" customFormat="false" ht="13.5" hidden="false" customHeight="false" outlineLevel="0" collapsed="false">
      <c r="A115" s="424"/>
      <c r="B115" s="424"/>
      <c r="C115" s="424"/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  <c r="R115" s="424"/>
      <c r="S115" s="424"/>
      <c r="T115" s="424"/>
      <c r="U115" s="424"/>
      <c r="V115" s="436" t="n">
        <f aca="false">AY120</f>
        <v>0</v>
      </c>
      <c r="W115" s="424"/>
      <c r="AC115" s="427"/>
      <c r="AD115" s="427"/>
      <c r="AE115" s="427"/>
      <c r="AG115" s="427"/>
      <c r="AH115" s="427"/>
      <c r="AI115" s="427"/>
      <c r="AJ115" s="427"/>
      <c r="AK115" s="427"/>
      <c r="AL115" s="427"/>
      <c r="AM115" s="427"/>
      <c r="AN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BC115" s="428"/>
      <c r="BN115" s="427"/>
      <c r="BO115" s="428"/>
      <c r="BQ115" s="429"/>
      <c r="BR115" s="429"/>
      <c r="BS115" s="426"/>
    </row>
    <row r="116" customFormat="false" ht="13.5" hidden="false" customHeight="false" outlineLevel="0" collapsed="false">
      <c r="A116" s="424"/>
      <c r="B116" s="424"/>
      <c r="C116" s="424"/>
      <c r="D116" s="424"/>
      <c r="E116" s="424"/>
      <c r="F116" s="424"/>
      <c r="G116" s="424"/>
      <c r="H116" s="424"/>
      <c r="I116" s="424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36" t="n">
        <f aca="false">AY121</f>
        <v>0</v>
      </c>
      <c r="W116" s="424"/>
      <c r="X116" s="437"/>
      <c r="AC116" s="427"/>
      <c r="AD116" s="427"/>
      <c r="AE116" s="427"/>
      <c r="AG116" s="427"/>
      <c r="AH116" s="427"/>
      <c r="AI116" s="427"/>
      <c r="AJ116" s="427"/>
      <c r="AK116" s="427"/>
      <c r="AL116" s="427"/>
      <c r="AM116" s="427"/>
      <c r="AN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BC116" s="428"/>
      <c r="BN116" s="427"/>
      <c r="BO116" s="428"/>
      <c r="BQ116" s="429"/>
      <c r="BR116" s="429"/>
      <c r="BS116" s="426"/>
    </row>
    <row r="117" customFormat="false" ht="13.5" hidden="false" customHeight="false" outlineLevel="0" collapsed="false">
      <c r="A117" s="424"/>
      <c r="B117" s="424"/>
      <c r="C117" s="424"/>
      <c r="D117" s="424"/>
      <c r="E117" s="424"/>
      <c r="F117" s="424"/>
      <c r="G117" s="424"/>
      <c r="H117" s="424"/>
      <c r="I117" s="424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36" t="n">
        <f aca="false">AY122</f>
        <v>0</v>
      </c>
      <c r="W117" s="424"/>
      <c r="AC117" s="427"/>
      <c r="AD117" s="427"/>
      <c r="AE117" s="427"/>
      <c r="AG117" s="427"/>
      <c r="AH117" s="427"/>
      <c r="AI117" s="427"/>
      <c r="AJ117" s="427"/>
      <c r="AK117" s="427"/>
      <c r="AL117" s="427"/>
      <c r="AM117" s="427"/>
      <c r="AN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BC117" s="428"/>
      <c r="BN117" s="427"/>
      <c r="BO117" s="428"/>
      <c r="BQ117" s="429"/>
      <c r="BR117" s="429"/>
      <c r="BS117" s="426"/>
    </row>
    <row r="118" customFormat="false" ht="13.5" hidden="false" customHeight="false" outlineLevel="0" collapsed="false">
      <c r="A118" s="424"/>
      <c r="B118" s="424"/>
      <c r="C118" s="424"/>
      <c r="D118" s="424"/>
      <c r="E118" s="424"/>
      <c r="F118" s="424"/>
      <c r="G118" s="424"/>
      <c r="H118" s="424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36" t="n">
        <f aca="false">AY123</f>
        <v>0</v>
      </c>
      <c r="W118" s="424"/>
      <c r="X118" s="437"/>
      <c r="AC118" s="427"/>
      <c r="AD118" s="427"/>
      <c r="AE118" s="427"/>
      <c r="AG118" s="427"/>
      <c r="AH118" s="427"/>
      <c r="AI118" s="427"/>
      <c r="AJ118" s="427"/>
      <c r="AK118" s="427"/>
      <c r="AL118" s="427"/>
      <c r="AM118" s="427"/>
      <c r="AN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BC118" s="428"/>
      <c r="BN118" s="427"/>
      <c r="BO118" s="428"/>
      <c r="BQ118" s="429"/>
      <c r="BR118" s="429"/>
      <c r="BS118" s="426"/>
    </row>
    <row r="119" customFormat="false" ht="13.5" hidden="false" customHeight="false" outlineLevel="0" collapsed="false">
      <c r="A119" s="424"/>
      <c r="B119" s="424"/>
      <c r="C119" s="424"/>
      <c r="D119" s="424"/>
      <c r="E119" s="424"/>
      <c r="F119" s="424"/>
      <c r="G119" s="424"/>
      <c r="H119" s="424"/>
      <c r="I119" s="424"/>
      <c r="J119" s="424"/>
      <c r="K119" s="424"/>
      <c r="L119" s="424"/>
      <c r="M119" s="424"/>
      <c r="N119" s="424"/>
      <c r="O119" s="424"/>
      <c r="P119" s="424"/>
      <c r="Q119" s="424"/>
      <c r="R119" s="424"/>
      <c r="S119" s="424"/>
      <c r="T119" s="424"/>
      <c r="U119" s="424"/>
      <c r="V119" s="436" t="n">
        <f aca="false">AY124</f>
        <v>0</v>
      </c>
      <c r="W119" s="424"/>
      <c r="X119" s="437"/>
      <c r="AC119" s="427"/>
      <c r="AD119" s="427"/>
      <c r="AE119" s="427"/>
      <c r="AG119" s="427"/>
      <c r="AH119" s="427"/>
      <c r="AI119" s="427"/>
      <c r="AJ119" s="427"/>
      <c r="AK119" s="427"/>
      <c r="AL119" s="427"/>
      <c r="AM119" s="427"/>
      <c r="AN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BC119" s="428"/>
      <c r="BN119" s="427"/>
      <c r="BO119" s="428"/>
      <c r="BQ119" s="429"/>
      <c r="BR119" s="429"/>
      <c r="BS119" s="426"/>
    </row>
    <row r="120" customFormat="false" ht="13.5" hidden="false" customHeight="false" outlineLevel="0" collapsed="false">
      <c r="A120" s="424"/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24"/>
      <c r="Q120" s="424"/>
      <c r="R120" s="424"/>
      <c r="S120" s="424"/>
      <c r="T120" s="424"/>
      <c r="U120" s="424"/>
      <c r="V120" s="436" t="n">
        <f aca="false">AY125</f>
        <v>0</v>
      </c>
      <c r="W120" s="424"/>
      <c r="AC120" s="427"/>
      <c r="AD120" s="427"/>
      <c r="AE120" s="427"/>
      <c r="AG120" s="427"/>
      <c r="AH120" s="427"/>
      <c r="AI120" s="427"/>
      <c r="AJ120" s="427"/>
      <c r="AK120" s="427"/>
      <c r="AL120" s="427"/>
      <c r="AM120" s="427"/>
      <c r="AN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BC120" s="428"/>
      <c r="BN120" s="427"/>
      <c r="BO120" s="428"/>
      <c r="BQ120" s="429"/>
    </row>
    <row r="121" customFormat="false" ht="13.5" hidden="false" customHeight="false" outlineLevel="0" collapsed="false">
      <c r="A121" s="424"/>
      <c r="B121" s="424"/>
      <c r="C121" s="424"/>
      <c r="D121" s="424"/>
      <c r="E121" s="424"/>
      <c r="F121" s="424"/>
      <c r="G121" s="424"/>
      <c r="H121" s="424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36" t="n">
        <f aca="false">AY126</f>
        <v>0</v>
      </c>
      <c r="W121" s="424"/>
      <c r="AC121" s="427"/>
      <c r="AD121" s="427"/>
      <c r="AE121" s="427"/>
      <c r="AG121" s="427"/>
      <c r="AH121" s="427"/>
      <c r="AI121" s="427"/>
      <c r="AJ121" s="427"/>
      <c r="AK121" s="427"/>
      <c r="AL121" s="427"/>
      <c r="AM121" s="427"/>
      <c r="AN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BC121" s="428"/>
      <c r="BN121" s="427"/>
    </row>
    <row r="122" customFormat="false" ht="13.5" hidden="false" customHeight="false" outlineLevel="0" collapsed="false">
      <c r="A122" s="424"/>
      <c r="B122" s="424"/>
      <c r="C122" s="424"/>
      <c r="D122" s="424"/>
      <c r="E122" s="424"/>
      <c r="F122" s="424"/>
      <c r="G122" s="424"/>
      <c r="H122" s="424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36" t="n">
        <f aca="false">AY127</f>
        <v>0</v>
      </c>
      <c r="W122" s="424"/>
      <c r="X122" s="437"/>
      <c r="AC122" s="427"/>
      <c r="AD122" s="427"/>
      <c r="AE122" s="427"/>
      <c r="AG122" s="427"/>
      <c r="AH122" s="427"/>
      <c r="AI122" s="427"/>
      <c r="AJ122" s="427"/>
      <c r="AK122" s="427"/>
      <c r="AL122" s="427"/>
      <c r="AM122" s="427"/>
      <c r="AN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BC122" s="428"/>
      <c r="BN122" s="427"/>
    </row>
    <row r="123" customFormat="false" ht="13.5" hidden="false" customHeight="false" outlineLevel="0" collapsed="false">
      <c r="A123" s="424"/>
      <c r="B123" s="424"/>
      <c r="C123" s="424"/>
      <c r="D123" s="424"/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36" t="n">
        <f aca="false">AY128</f>
        <v>0</v>
      </c>
      <c r="W123" s="424"/>
      <c r="X123" s="437"/>
      <c r="AC123" s="427"/>
      <c r="AD123" s="427"/>
      <c r="AE123" s="427"/>
      <c r="AG123" s="427"/>
      <c r="AH123" s="427"/>
      <c r="AI123" s="427"/>
      <c r="AJ123" s="427"/>
      <c r="AK123" s="427"/>
      <c r="AL123" s="427"/>
      <c r="AM123" s="427"/>
      <c r="AN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BC123" s="428"/>
      <c r="BN123" s="427"/>
    </row>
    <row r="124" customFormat="false" ht="13.5" hidden="false" customHeight="false" outlineLevel="0" collapsed="false">
      <c r="A124" s="424"/>
      <c r="B124" s="424"/>
      <c r="C124" s="424"/>
      <c r="D124" s="424"/>
      <c r="E124" s="424"/>
      <c r="F124" s="424"/>
      <c r="G124" s="424"/>
      <c r="H124" s="424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36"/>
      <c r="W124" s="424"/>
      <c r="AC124" s="427"/>
      <c r="AD124" s="427"/>
      <c r="AE124" s="427"/>
      <c r="AG124" s="427"/>
      <c r="AH124" s="427"/>
      <c r="AI124" s="427"/>
      <c r="AJ124" s="427"/>
      <c r="AK124" s="427"/>
      <c r="AL124" s="427"/>
      <c r="AM124" s="427"/>
      <c r="AN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BC124" s="428"/>
      <c r="BN124" s="427"/>
    </row>
    <row r="125" customFormat="false" ht="13.5" hidden="false" customHeight="false" outlineLevel="0" collapsed="false">
      <c r="A125" s="424"/>
      <c r="B125" s="424"/>
      <c r="C125" s="424"/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36"/>
      <c r="W125" s="424"/>
      <c r="AC125" s="427"/>
      <c r="AD125" s="427"/>
      <c r="AE125" s="427"/>
      <c r="AG125" s="427"/>
      <c r="AH125" s="427"/>
      <c r="AI125" s="427"/>
      <c r="AJ125" s="427"/>
      <c r="AK125" s="427"/>
      <c r="AL125" s="427"/>
      <c r="AM125" s="427"/>
      <c r="AN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BC125" s="428"/>
      <c r="BN125" s="427"/>
    </row>
    <row r="126" customFormat="false" ht="13.5" hidden="false" customHeight="false" outlineLevel="0" collapsed="false">
      <c r="A126" s="424"/>
      <c r="B126" s="424"/>
      <c r="C126" s="424"/>
      <c r="D126" s="424"/>
      <c r="E126" s="424"/>
      <c r="F126" s="424"/>
      <c r="G126" s="424"/>
      <c r="H126" s="424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36"/>
      <c r="W126" s="424"/>
      <c r="X126" s="437"/>
      <c r="AC126" s="427"/>
      <c r="AD126" s="427"/>
      <c r="AE126" s="427"/>
      <c r="AG126" s="427"/>
      <c r="AH126" s="427"/>
      <c r="AI126" s="427"/>
      <c r="AJ126" s="427"/>
      <c r="AK126" s="427"/>
      <c r="AL126" s="427"/>
      <c r="AM126" s="427"/>
      <c r="AN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BC126" s="428"/>
      <c r="BN126" s="427"/>
    </row>
    <row r="127" customFormat="false" ht="13.5" hidden="false" customHeight="false" outlineLevel="0" collapsed="false">
      <c r="A127" s="424"/>
      <c r="B127" s="424"/>
      <c r="C127" s="424"/>
      <c r="D127" s="424"/>
      <c r="E127" s="424"/>
      <c r="F127" s="424"/>
      <c r="G127" s="424"/>
      <c r="H127" s="424"/>
      <c r="I127" s="424"/>
      <c r="J127" s="424"/>
      <c r="K127" s="424"/>
      <c r="L127" s="424"/>
      <c r="M127" s="424"/>
      <c r="N127" s="424"/>
      <c r="O127" s="424"/>
      <c r="P127" s="424"/>
      <c r="Q127" s="424"/>
      <c r="R127" s="424"/>
      <c r="S127" s="424"/>
      <c r="T127" s="424"/>
      <c r="U127" s="424"/>
      <c r="V127" s="424"/>
      <c r="W127" s="424"/>
      <c r="AC127" s="427"/>
      <c r="AD127" s="427"/>
      <c r="AE127" s="427"/>
      <c r="AG127" s="427"/>
      <c r="AH127" s="427"/>
      <c r="AI127" s="427"/>
      <c r="AJ127" s="427"/>
      <c r="AK127" s="427"/>
      <c r="AL127" s="427"/>
      <c r="AM127" s="427"/>
      <c r="AN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BC127" s="428"/>
      <c r="BN127" s="427"/>
    </row>
    <row r="128" customFormat="false" ht="13.5" hidden="false" customHeight="false" outlineLevel="0" collapsed="false">
      <c r="A128" s="424"/>
      <c r="B128" s="424"/>
      <c r="C128" s="424"/>
      <c r="D128" s="424"/>
      <c r="E128" s="424"/>
      <c r="F128" s="424"/>
      <c r="G128" s="424"/>
      <c r="H128" s="424"/>
      <c r="I128" s="424"/>
      <c r="J128" s="424"/>
      <c r="K128" s="424"/>
      <c r="L128" s="424"/>
      <c r="M128" s="424"/>
      <c r="N128" s="424"/>
      <c r="O128" s="424"/>
      <c r="P128" s="424"/>
      <c r="Q128" s="424"/>
      <c r="R128" s="424"/>
      <c r="S128" s="424"/>
      <c r="T128" s="424"/>
      <c r="U128" s="424"/>
      <c r="V128" s="424"/>
      <c r="W128" s="424"/>
      <c r="X128" s="437"/>
      <c r="AC128" s="427"/>
      <c r="AD128" s="427"/>
      <c r="AE128" s="427"/>
      <c r="AG128" s="427"/>
      <c r="AH128" s="427"/>
      <c r="AI128" s="427"/>
      <c r="AJ128" s="427"/>
      <c r="AK128" s="427"/>
      <c r="AL128" s="427"/>
      <c r="AM128" s="427"/>
      <c r="AN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BC128" s="428"/>
      <c r="BN128" s="427"/>
    </row>
    <row r="129" customFormat="false" ht="13.5" hidden="false" customHeight="false" outlineLevel="0" collapsed="false">
      <c r="A129" s="424"/>
      <c r="B129" s="424"/>
      <c r="C129" s="424"/>
      <c r="D129" s="424"/>
      <c r="E129" s="424"/>
      <c r="F129" s="424"/>
      <c r="G129" s="424"/>
      <c r="H129" s="424"/>
      <c r="I129" s="424"/>
      <c r="J129" s="424"/>
      <c r="K129" s="424"/>
      <c r="L129" s="424"/>
      <c r="M129" s="424"/>
      <c r="N129" s="424"/>
      <c r="O129" s="424"/>
      <c r="P129" s="424"/>
      <c r="Q129" s="424"/>
      <c r="R129" s="434" t="s">
        <v>400</v>
      </c>
      <c r="S129" s="424"/>
      <c r="T129" s="424"/>
      <c r="U129" s="424"/>
      <c r="V129" s="435" t="n">
        <f aca="false">SUM(V131:V163)</f>
        <v>0</v>
      </c>
      <c r="W129" s="424"/>
      <c r="X129" s="437"/>
      <c r="AC129" s="427"/>
      <c r="AD129" s="427"/>
      <c r="AE129" s="427"/>
      <c r="AG129" s="427"/>
      <c r="AH129" s="427"/>
      <c r="AI129" s="427"/>
      <c r="AJ129" s="427"/>
      <c r="AK129" s="427"/>
      <c r="AL129" s="427"/>
      <c r="AM129" s="427"/>
      <c r="AN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BC129" s="428"/>
      <c r="BN129" s="427"/>
    </row>
    <row r="130" customFormat="false" ht="13.5" hidden="false" customHeight="false" outlineLevel="0" collapsed="false">
      <c r="A130" s="424"/>
      <c r="B130" s="424"/>
      <c r="C130" s="424"/>
      <c r="D130" s="424"/>
      <c r="E130" s="424"/>
      <c r="F130" s="424"/>
      <c r="G130" s="424"/>
      <c r="H130" s="424"/>
      <c r="I130" s="424"/>
      <c r="J130" s="424"/>
      <c r="K130" s="424"/>
      <c r="L130" s="424"/>
      <c r="M130" s="424"/>
      <c r="N130" s="424"/>
      <c r="O130" s="424"/>
      <c r="P130" s="424"/>
      <c r="Q130" s="435" t="n">
        <v>0</v>
      </c>
      <c r="R130" s="424"/>
      <c r="S130" s="435" t="n">
        <v>0</v>
      </c>
      <c r="T130" s="424"/>
      <c r="U130" s="424"/>
      <c r="V130" s="436" t="n">
        <f aca="false">AY130</f>
        <v>0</v>
      </c>
      <c r="W130" s="424"/>
      <c r="AC130" s="427"/>
      <c r="AD130" s="427"/>
      <c r="AE130" s="427"/>
      <c r="AG130" s="427"/>
      <c r="AH130" s="427"/>
      <c r="AI130" s="427"/>
      <c r="AJ130" s="427"/>
      <c r="AK130" s="427"/>
      <c r="AL130" s="427"/>
      <c r="AM130" s="427"/>
      <c r="AN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BC130" s="428"/>
      <c r="BD130" s="428"/>
      <c r="BG130" s="428"/>
      <c r="BH130" s="428"/>
      <c r="BJ130" s="428"/>
      <c r="BK130" s="428"/>
      <c r="BL130" s="428"/>
      <c r="BM130" s="428"/>
      <c r="BN130" s="439"/>
      <c r="BO130" s="428"/>
    </row>
    <row r="131" customFormat="false" ht="13.5" hidden="false" customHeight="false" outlineLevel="0" collapsed="false">
      <c r="A131" s="424"/>
      <c r="B131" s="424"/>
      <c r="C131" s="424"/>
      <c r="D131" s="424"/>
      <c r="E131" s="424"/>
      <c r="F131" s="424"/>
      <c r="G131" s="424"/>
      <c r="H131" s="424"/>
      <c r="I131" s="424"/>
      <c r="J131" s="424"/>
      <c r="K131" s="424"/>
      <c r="L131" s="424"/>
      <c r="M131" s="424"/>
      <c r="N131" s="424"/>
      <c r="O131" s="424"/>
      <c r="P131" s="424"/>
      <c r="Q131" s="435" t="n">
        <v>1</v>
      </c>
      <c r="R131" s="434" t="s">
        <v>401</v>
      </c>
      <c r="S131" s="434" t="s">
        <v>402</v>
      </c>
      <c r="T131" s="434" t="s">
        <v>403</v>
      </c>
      <c r="U131" s="434" t="s">
        <v>404</v>
      </c>
      <c r="V131" s="436" t="n">
        <f aca="false">AY131</f>
        <v>0</v>
      </c>
      <c r="W131" s="424"/>
      <c r="X131" s="437"/>
      <c r="AC131" s="427"/>
      <c r="AD131" s="427"/>
      <c r="AE131" s="427"/>
      <c r="AG131" s="427"/>
      <c r="AH131" s="427"/>
      <c r="AI131" s="427"/>
      <c r="AJ131" s="427"/>
      <c r="AK131" s="427"/>
      <c r="AL131" s="427"/>
      <c r="AM131" s="427"/>
      <c r="AN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BC131" s="428"/>
      <c r="BD131" s="429"/>
      <c r="BE131" s="431"/>
      <c r="BF131" s="437"/>
      <c r="BH131" s="431"/>
      <c r="BI131" s="427"/>
      <c r="BJ131" s="427"/>
      <c r="BK131" s="426"/>
      <c r="BM131" s="427"/>
      <c r="BN131" s="427"/>
      <c r="BO131" s="428"/>
    </row>
    <row r="132" customFormat="false" ht="13.5" hidden="false" customHeight="false" outlineLevel="0" collapsed="false">
      <c r="A132" s="424"/>
      <c r="B132" s="424"/>
      <c r="C132" s="424"/>
      <c r="D132" s="424"/>
      <c r="E132" s="424"/>
      <c r="F132" s="424"/>
      <c r="G132" s="424"/>
      <c r="H132" s="424"/>
      <c r="I132" s="424"/>
      <c r="J132" s="424"/>
      <c r="K132" s="424"/>
      <c r="L132" s="424"/>
      <c r="M132" s="424"/>
      <c r="N132" s="424"/>
      <c r="O132" s="424"/>
      <c r="P132" s="424"/>
      <c r="Q132" s="435" t="n">
        <v>2</v>
      </c>
      <c r="R132" s="434" t="s">
        <v>405</v>
      </c>
      <c r="S132" s="434" t="s">
        <v>406</v>
      </c>
      <c r="T132" s="434" t="s">
        <v>407</v>
      </c>
      <c r="U132" s="434" t="s">
        <v>408</v>
      </c>
      <c r="V132" s="436" t="n">
        <f aca="false">AY132</f>
        <v>0</v>
      </c>
      <c r="W132" s="424"/>
      <c r="AC132" s="427"/>
      <c r="AD132" s="427"/>
      <c r="AE132" s="427"/>
      <c r="AG132" s="427"/>
      <c r="AH132" s="427"/>
      <c r="AI132" s="427"/>
      <c r="AJ132" s="427"/>
      <c r="AK132" s="427"/>
      <c r="AL132" s="427"/>
      <c r="AM132" s="427"/>
      <c r="AN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BC132" s="428"/>
      <c r="BE132" s="426"/>
      <c r="BG132" s="426"/>
      <c r="BN132" s="427"/>
      <c r="BO132" s="428"/>
    </row>
    <row r="133" customFormat="false" ht="13.5" hidden="false" customHeight="false" outlineLevel="0" collapsed="false">
      <c r="A133" s="424"/>
      <c r="B133" s="424"/>
      <c r="C133" s="424"/>
      <c r="D133" s="424"/>
      <c r="E133" s="424"/>
      <c r="F133" s="424"/>
      <c r="G133" s="424"/>
      <c r="H133" s="424"/>
      <c r="I133" s="424"/>
      <c r="J133" s="424"/>
      <c r="K133" s="424"/>
      <c r="L133" s="424"/>
      <c r="M133" s="424"/>
      <c r="N133" s="424"/>
      <c r="O133" s="424"/>
      <c r="P133" s="424"/>
      <c r="Q133" s="435" t="n">
        <v>3</v>
      </c>
      <c r="R133" s="434" t="s">
        <v>409</v>
      </c>
      <c r="S133" s="434" t="s">
        <v>410</v>
      </c>
      <c r="T133" s="434" t="s">
        <v>411</v>
      </c>
      <c r="U133" s="434" t="s">
        <v>412</v>
      </c>
      <c r="V133" s="436" t="n">
        <f aca="false">AY133</f>
        <v>0</v>
      </c>
      <c r="W133" s="424"/>
      <c r="X133" s="437"/>
      <c r="AC133" s="427"/>
      <c r="AD133" s="427"/>
      <c r="AE133" s="427"/>
      <c r="AG133" s="427"/>
      <c r="AH133" s="427"/>
      <c r="AI133" s="427"/>
      <c r="AJ133" s="427"/>
      <c r="AK133" s="427"/>
      <c r="AL133" s="427"/>
      <c r="AM133" s="427"/>
      <c r="AN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BC133" s="428"/>
      <c r="BE133" s="426"/>
      <c r="BG133" s="426"/>
      <c r="BN133" s="427"/>
      <c r="BO133" s="428"/>
    </row>
    <row r="134" customFormat="false" ht="13.5" hidden="false" customHeight="false" outlineLevel="0" collapsed="false">
      <c r="A134" s="424"/>
      <c r="B134" s="424"/>
      <c r="C134" s="424"/>
      <c r="D134" s="424"/>
      <c r="E134" s="424"/>
      <c r="F134" s="424"/>
      <c r="G134" s="424"/>
      <c r="H134" s="424"/>
      <c r="I134" s="424"/>
      <c r="J134" s="424"/>
      <c r="K134" s="424"/>
      <c r="L134" s="424"/>
      <c r="M134" s="424"/>
      <c r="N134" s="424"/>
      <c r="O134" s="424"/>
      <c r="P134" s="424"/>
      <c r="Q134" s="435" t="n">
        <v>4</v>
      </c>
      <c r="R134" s="434" t="s">
        <v>413</v>
      </c>
      <c r="S134" s="434" t="s">
        <v>414</v>
      </c>
      <c r="T134" s="434" t="s">
        <v>415</v>
      </c>
      <c r="U134" s="434" t="s">
        <v>416</v>
      </c>
      <c r="V134" s="436" t="n">
        <f aca="false">AY134</f>
        <v>0</v>
      </c>
      <c r="W134" s="424"/>
      <c r="AC134" s="427"/>
      <c r="AD134" s="427"/>
      <c r="AE134" s="427"/>
      <c r="AG134" s="427"/>
      <c r="AH134" s="427"/>
      <c r="AI134" s="427"/>
      <c r="AJ134" s="427"/>
      <c r="AK134" s="427"/>
      <c r="AL134" s="427"/>
      <c r="AM134" s="427"/>
      <c r="AN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BC134" s="428"/>
      <c r="BN134" s="427"/>
      <c r="BO134" s="428"/>
    </row>
    <row r="135" customFormat="false" ht="13.5" hidden="false" customHeight="false" outlineLevel="0" collapsed="false">
      <c r="A135" s="424"/>
      <c r="B135" s="424"/>
      <c r="C135" s="424"/>
      <c r="D135" s="424"/>
      <c r="E135" s="424"/>
      <c r="F135" s="424"/>
      <c r="G135" s="424"/>
      <c r="H135" s="424"/>
      <c r="I135" s="424"/>
      <c r="J135" s="424"/>
      <c r="K135" s="424"/>
      <c r="L135" s="424"/>
      <c r="M135" s="424"/>
      <c r="N135" s="424"/>
      <c r="O135" s="424"/>
      <c r="P135" s="438" t="s">
        <v>417</v>
      </c>
      <c r="Q135" s="435" t="n">
        <v>5</v>
      </c>
      <c r="R135" s="434" t="s">
        <v>418</v>
      </c>
      <c r="S135" s="434" t="s">
        <v>419</v>
      </c>
      <c r="T135" s="434" t="s">
        <v>420</v>
      </c>
      <c r="U135" s="434" t="s">
        <v>421</v>
      </c>
      <c r="V135" s="436" t="n">
        <f aca="false">AY135</f>
        <v>0</v>
      </c>
      <c r="W135" s="424"/>
      <c r="X135" s="437"/>
      <c r="AC135" s="427"/>
      <c r="AD135" s="427"/>
      <c r="AE135" s="427"/>
      <c r="AG135" s="427"/>
      <c r="AH135" s="427"/>
      <c r="AI135" s="427"/>
      <c r="AJ135" s="427"/>
      <c r="AK135" s="427"/>
      <c r="AL135" s="427"/>
      <c r="AM135" s="427"/>
      <c r="AN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BC135" s="428"/>
      <c r="BN135" s="427"/>
      <c r="BO135" s="428"/>
    </row>
    <row r="136" customFormat="false" ht="13.5" hidden="false" customHeight="false" outlineLevel="0" collapsed="false">
      <c r="A136" s="424"/>
      <c r="B136" s="424"/>
      <c r="C136" s="424"/>
      <c r="D136" s="424"/>
      <c r="E136" s="424"/>
      <c r="F136" s="424"/>
      <c r="G136" s="424"/>
      <c r="H136" s="424"/>
      <c r="I136" s="424"/>
      <c r="J136" s="424"/>
      <c r="K136" s="424"/>
      <c r="L136" s="424"/>
      <c r="M136" s="424"/>
      <c r="N136" s="424"/>
      <c r="O136" s="424"/>
      <c r="P136" s="438" t="s">
        <v>417</v>
      </c>
      <c r="Q136" s="435" t="n">
        <v>6</v>
      </c>
      <c r="R136" s="434" t="s">
        <v>422</v>
      </c>
      <c r="S136" s="434" t="s">
        <v>423</v>
      </c>
      <c r="T136" s="434" t="s">
        <v>424</v>
      </c>
      <c r="U136" s="434" t="s">
        <v>425</v>
      </c>
      <c r="V136" s="436" t="n">
        <f aca="false">AY136</f>
        <v>0</v>
      </c>
      <c r="W136" s="424"/>
      <c r="AC136" s="427"/>
      <c r="AD136" s="427"/>
      <c r="AE136" s="427"/>
      <c r="AG136" s="427"/>
      <c r="AH136" s="427"/>
      <c r="AI136" s="427"/>
      <c r="AJ136" s="427"/>
      <c r="AK136" s="427"/>
      <c r="AL136" s="427"/>
      <c r="AM136" s="427"/>
      <c r="AN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BC136" s="428"/>
      <c r="BE136" s="431"/>
      <c r="BN136" s="427"/>
      <c r="BO136" s="428"/>
    </row>
    <row r="137" customFormat="false" ht="13.5" hidden="false" customHeight="false" outlineLevel="0" collapsed="false">
      <c r="A137" s="424"/>
      <c r="B137" s="424"/>
      <c r="C137" s="424"/>
      <c r="D137" s="424"/>
      <c r="E137" s="424"/>
      <c r="F137" s="424"/>
      <c r="G137" s="424"/>
      <c r="H137" s="424"/>
      <c r="I137" s="424"/>
      <c r="J137" s="424"/>
      <c r="K137" s="424"/>
      <c r="L137" s="424"/>
      <c r="M137" s="424"/>
      <c r="N137" s="424"/>
      <c r="O137" s="424"/>
      <c r="P137" s="438" t="s">
        <v>417</v>
      </c>
      <c r="Q137" s="435" t="n">
        <v>7</v>
      </c>
      <c r="R137" s="434" t="s">
        <v>426</v>
      </c>
      <c r="S137" s="434" t="s">
        <v>427</v>
      </c>
      <c r="T137" s="434" t="s">
        <v>428</v>
      </c>
      <c r="U137" s="434" t="s">
        <v>429</v>
      </c>
      <c r="V137" s="436" t="n">
        <f aca="false">AY137</f>
        <v>0</v>
      </c>
      <c r="W137" s="424"/>
      <c r="X137" s="437"/>
      <c r="AC137" s="427"/>
      <c r="AD137" s="427"/>
      <c r="AE137" s="427"/>
      <c r="AG137" s="427"/>
      <c r="AH137" s="427"/>
      <c r="AI137" s="427"/>
      <c r="AJ137" s="427"/>
      <c r="AK137" s="427"/>
      <c r="AL137" s="427"/>
      <c r="AM137" s="427"/>
      <c r="AN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BC137" s="428"/>
      <c r="BE137" s="426"/>
      <c r="BN137" s="427"/>
      <c r="BO137" s="428"/>
    </row>
    <row r="138" customFormat="false" ht="13.5" hidden="false" customHeight="false" outlineLevel="0" collapsed="false">
      <c r="A138" s="424"/>
      <c r="B138" s="424"/>
      <c r="C138" s="424"/>
      <c r="D138" s="424"/>
      <c r="E138" s="424"/>
      <c r="F138" s="424"/>
      <c r="G138" s="424"/>
      <c r="H138" s="424"/>
      <c r="I138" s="424"/>
      <c r="J138" s="424"/>
      <c r="K138" s="424"/>
      <c r="L138" s="424"/>
      <c r="M138" s="424"/>
      <c r="N138" s="424"/>
      <c r="O138" s="424"/>
      <c r="P138" s="438" t="s">
        <v>417</v>
      </c>
      <c r="Q138" s="435" t="n">
        <v>8</v>
      </c>
      <c r="R138" s="434" t="s">
        <v>430</v>
      </c>
      <c r="S138" s="434" t="s">
        <v>431</v>
      </c>
      <c r="T138" s="434" t="s">
        <v>432</v>
      </c>
      <c r="U138" s="434" t="s">
        <v>433</v>
      </c>
      <c r="V138" s="436" t="n">
        <f aca="false">AY138</f>
        <v>0</v>
      </c>
      <c r="W138" s="424"/>
      <c r="AC138" s="427"/>
      <c r="AD138" s="427"/>
      <c r="AE138" s="427"/>
      <c r="AG138" s="427"/>
      <c r="AH138" s="427"/>
      <c r="AI138" s="427"/>
      <c r="AJ138" s="427"/>
      <c r="AK138" s="427"/>
      <c r="AL138" s="427"/>
      <c r="AM138" s="427"/>
      <c r="AN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BC138" s="428"/>
      <c r="BE138" s="426"/>
      <c r="BN138" s="427"/>
      <c r="BO138" s="428"/>
    </row>
    <row r="139" customFormat="false" ht="13.5" hidden="false" customHeight="false" outlineLevel="0" collapsed="false">
      <c r="A139" s="424"/>
      <c r="B139" s="424"/>
      <c r="C139" s="424"/>
      <c r="D139" s="424"/>
      <c r="E139" s="424"/>
      <c r="F139" s="424"/>
      <c r="G139" s="424"/>
      <c r="H139" s="424"/>
      <c r="I139" s="424"/>
      <c r="J139" s="424"/>
      <c r="K139" s="424"/>
      <c r="L139" s="424"/>
      <c r="M139" s="424"/>
      <c r="N139" s="424"/>
      <c r="O139" s="424"/>
      <c r="P139" s="438" t="s">
        <v>417</v>
      </c>
      <c r="Q139" s="435" t="n">
        <v>9</v>
      </c>
      <c r="R139" s="434" t="s">
        <v>434</v>
      </c>
      <c r="S139" s="434" t="s">
        <v>435</v>
      </c>
      <c r="T139" s="434" t="s">
        <v>436</v>
      </c>
      <c r="U139" s="434" t="s">
        <v>437</v>
      </c>
      <c r="V139" s="436" t="n">
        <f aca="false">AY139</f>
        <v>0</v>
      </c>
      <c r="W139" s="424"/>
      <c r="AC139" s="427"/>
      <c r="AD139" s="427"/>
      <c r="AE139" s="427"/>
      <c r="AG139" s="427"/>
      <c r="AH139" s="427"/>
      <c r="AI139" s="427"/>
      <c r="AJ139" s="427"/>
      <c r="AK139" s="427"/>
      <c r="AL139" s="427"/>
      <c r="AM139" s="427"/>
      <c r="AN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BC139" s="428"/>
      <c r="BG139" s="443"/>
      <c r="BH139" s="443"/>
      <c r="BK139" s="443"/>
      <c r="BL139" s="443"/>
      <c r="BM139" s="443"/>
      <c r="BN139" s="427"/>
      <c r="BO139" s="428"/>
    </row>
    <row r="140" customFormat="false" ht="13.5" hidden="false" customHeight="false" outlineLevel="0" collapsed="false">
      <c r="A140" s="424"/>
      <c r="B140" s="424"/>
      <c r="C140" s="424"/>
      <c r="D140" s="424"/>
      <c r="E140" s="424"/>
      <c r="F140" s="424"/>
      <c r="G140" s="424"/>
      <c r="H140" s="424"/>
      <c r="I140" s="424"/>
      <c r="J140" s="424"/>
      <c r="K140" s="424"/>
      <c r="L140" s="424"/>
      <c r="M140" s="424"/>
      <c r="N140" s="424"/>
      <c r="O140" s="424"/>
      <c r="P140" s="438" t="s">
        <v>417</v>
      </c>
      <c r="Q140" s="435" t="n">
        <v>10</v>
      </c>
      <c r="R140" s="434" t="s">
        <v>438</v>
      </c>
      <c r="S140" s="424"/>
      <c r="T140" s="434" t="s">
        <v>439</v>
      </c>
      <c r="U140" s="434" t="s">
        <v>440</v>
      </c>
      <c r="V140" s="436" t="n">
        <f aca="false">AY140</f>
        <v>0</v>
      </c>
      <c r="W140" s="424"/>
      <c r="X140" s="437"/>
      <c r="AC140" s="427"/>
      <c r="AD140" s="427"/>
      <c r="AE140" s="427"/>
      <c r="AG140" s="427"/>
      <c r="AH140" s="427"/>
      <c r="AI140" s="427"/>
      <c r="AJ140" s="427"/>
      <c r="AK140" s="427"/>
      <c r="AL140" s="427"/>
      <c r="AM140" s="427"/>
      <c r="AN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BC140" s="428"/>
      <c r="BD140" s="429"/>
      <c r="BE140" s="429"/>
      <c r="BF140" s="427"/>
      <c r="BG140" s="437"/>
      <c r="BH140" s="427"/>
      <c r="BJ140" s="437"/>
      <c r="BK140" s="427"/>
      <c r="BM140" s="426"/>
      <c r="BN140" s="427"/>
      <c r="BO140" s="428"/>
    </row>
    <row r="141" customFormat="false" ht="13.5" hidden="false" customHeight="false" outlineLevel="0" collapsed="false">
      <c r="A141" s="424"/>
      <c r="B141" s="424"/>
      <c r="C141" s="424"/>
      <c r="D141" s="424"/>
      <c r="E141" s="424"/>
      <c r="F141" s="435" t="n">
        <f aca="false">TRUNC(+A143/1000000)</f>
        <v>1</v>
      </c>
      <c r="G141" s="424"/>
      <c r="H141" s="424"/>
      <c r="I141" s="424"/>
      <c r="J141" s="424"/>
      <c r="K141" s="424"/>
      <c r="L141" s="424"/>
      <c r="M141" s="424"/>
      <c r="N141" s="424"/>
      <c r="O141" s="424"/>
      <c r="P141" s="438" t="s">
        <v>417</v>
      </c>
      <c r="Q141" s="435" t="n">
        <v>11</v>
      </c>
      <c r="R141" s="434" t="s">
        <v>441</v>
      </c>
      <c r="S141" s="424"/>
      <c r="T141" s="434" t="s">
        <v>442</v>
      </c>
      <c r="U141" s="434" t="s">
        <v>443</v>
      </c>
      <c r="V141" s="436" t="n">
        <f aca="false">AY141</f>
        <v>0</v>
      </c>
      <c r="W141" s="424"/>
      <c r="X141" s="437"/>
      <c r="AC141" s="427"/>
      <c r="AD141" s="427"/>
      <c r="AE141" s="427"/>
      <c r="AG141" s="427"/>
      <c r="AH141" s="427"/>
      <c r="AI141" s="427"/>
      <c r="AJ141" s="427"/>
      <c r="AK141" s="427"/>
      <c r="AL141" s="427"/>
      <c r="AM141" s="427"/>
      <c r="AN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BC141" s="428"/>
      <c r="BD141" s="429"/>
      <c r="BE141" s="429"/>
      <c r="BF141" s="427"/>
      <c r="BG141" s="437"/>
      <c r="BH141" s="427"/>
      <c r="BJ141" s="437"/>
      <c r="BK141" s="427"/>
      <c r="BM141" s="426"/>
      <c r="BN141" s="427"/>
      <c r="BO141" s="428"/>
    </row>
    <row r="142" customFormat="false" ht="13.5" hidden="false" customHeight="false" outlineLevel="0" collapsed="false">
      <c r="A142" s="424"/>
      <c r="B142" s="424"/>
      <c r="C142" s="424"/>
      <c r="D142" s="424"/>
      <c r="E142" s="424"/>
      <c r="F142" s="435" t="e">
        <f aca="false">(+B146*100000+C146*1000+E146*100)</f>
        <v>#VALUE!</v>
      </c>
      <c r="G142" s="424"/>
      <c r="H142" s="424"/>
      <c r="I142" s="424"/>
      <c r="J142" s="424"/>
      <c r="K142" s="424"/>
      <c r="L142" s="434" t="s">
        <v>444</v>
      </c>
      <c r="M142" s="424"/>
      <c r="N142" s="424"/>
      <c r="O142" s="424"/>
      <c r="P142" s="438" t="s">
        <v>417</v>
      </c>
      <c r="Q142" s="435" t="n">
        <v>12</v>
      </c>
      <c r="R142" s="434" t="s">
        <v>445</v>
      </c>
      <c r="S142" s="424"/>
      <c r="T142" s="434" t="s">
        <v>446</v>
      </c>
      <c r="U142" s="434" t="s">
        <v>447</v>
      </c>
      <c r="V142" s="436" t="n">
        <f aca="false">AY142</f>
        <v>0</v>
      </c>
      <c r="W142" s="424"/>
      <c r="AC142" s="427"/>
      <c r="AD142" s="427"/>
      <c r="AE142" s="427"/>
      <c r="AG142" s="427"/>
      <c r="AH142" s="427"/>
      <c r="AI142" s="427"/>
      <c r="AJ142" s="427"/>
      <c r="AK142" s="427"/>
      <c r="AL142" s="427"/>
      <c r="AM142" s="427"/>
      <c r="AN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BC142" s="428"/>
      <c r="BD142" s="429"/>
      <c r="BF142" s="427"/>
      <c r="BG142" s="437"/>
      <c r="BH142" s="427"/>
      <c r="BJ142" s="437"/>
      <c r="BK142" s="427"/>
      <c r="BN142" s="427"/>
      <c r="BO142" s="428"/>
    </row>
    <row r="143" customFormat="false" ht="13.5" hidden="false" customHeight="false" outlineLevel="0" collapsed="false">
      <c r="A143" s="445" t="n">
        <f aca="false">TRUNC(+A144)</f>
        <v>1350000</v>
      </c>
      <c r="B143" s="424"/>
      <c r="C143" s="424"/>
      <c r="D143" s="424"/>
      <c r="E143" s="440" t="n">
        <f aca="false">TRUNC(+A143/100000000)</f>
        <v>0</v>
      </c>
      <c r="F143" s="424"/>
      <c r="G143" s="424"/>
      <c r="H143" s="424"/>
      <c r="I143" s="424"/>
      <c r="J143" s="424"/>
      <c r="K143" s="424"/>
      <c r="L143" s="424"/>
      <c r="M143" s="424"/>
      <c r="N143" s="424"/>
      <c r="O143" s="424"/>
      <c r="P143" s="438" t="s">
        <v>417</v>
      </c>
      <c r="Q143" s="435" t="n">
        <v>13</v>
      </c>
      <c r="R143" s="434" t="s">
        <v>448</v>
      </c>
      <c r="S143" s="424"/>
      <c r="T143" s="434" t="s">
        <v>449</v>
      </c>
      <c r="U143" s="434" t="s">
        <v>450</v>
      </c>
      <c r="V143" s="436" t="n">
        <f aca="false">AY143</f>
        <v>0</v>
      </c>
      <c r="W143" s="424"/>
      <c r="X143" s="437"/>
      <c r="AC143" s="427"/>
      <c r="AD143" s="427"/>
      <c r="AE143" s="427"/>
      <c r="AG143" s="427"/>
      <c r="AH143" s="427"/>
      <c r="AI143" s="427"/>
      <c r="AJ143" s="427"/>
      <c r="AK143" s="427"/>
      <c r="AL143" s="427"/>
      <c r="AM143" s="427"/>
      <c r="AN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BC143" s="428"/>
      <c r="BD143" s="429"/>
      <c r="BF143" s="427"/>
      <c r="BG143" s="437"/>
      <c r="BH143" s="427"/>
      <c r="BJ143" s="437"/>
      <c r="BM143" s="439"/>
      <c r="BN143" s="439"/>
      <c r="BO143" s="428"/>
    </row>
    <row r="144" customFormat="false" ht="13.5" hidden="false" customHeight="false" outlineLevel="0" collapsed="false">
      <c r="A144" s="441" t="n">
        <f aca="false">'[2]Advis ADM, Pencairan &amp; Jiwa'!E14</f>
        <v>1350000</v>
      </c>
      <c r="B144" s="434" t="s">
        <v>451</v>
      </c>
      <c r="C144" s="434" t="s">
        <v>452</v>
      </c>
      <c r="D144" s="424"/>
      <c r="E144" s="434" t="s">
        <v>452</v>
      </c>
      <c r="F144" s="424"/>
      <c r="G144" s="424"/>
      <c r="H144" s="424"/>
      <c r="I144" s="440" t="n">
        <f aca="false">TRUNC((+A143-(+F141*1000000))/1000)</f>
        <v>350</v>
      </c>
      <c r="J144" s="424"/>
      <c r="K144" s="440" t="n">
        <f aca="false">(TRUNC((+A143-(+F141*1000000))/1))-I144*1000</f>
        <v>0</v>
      </c>
      <c r="L144" s="424"/>
      <c r="M144" s="424"/>
      <c r="N144" s="424"/>
      <c r="O144" s="424"/>
      <c r="P144" s="438" t="s">
        <v>417</v>
      </c>
      <c r="Q144" s="435" t="n">
        <v>14</v>
      </c>
      <c r="R144" s="434" t="s">
        <v>453</v>
      </c>
      <c r="S144" s="424"/>
      <c r="T144" s="434" t="s">
        <v>454</v>
      </c>
      <c r="U144" s="434" t="s">
        <v>455</v>
      </c>
      <c r="V144" s="436" t="n">
        <f aca="false">AY144</f>
        <v>0</v>
      </c>
      <c r="W144" s="424"/>
      <c r="X144" s="437"/>
      <c r="AC144" s="427"/>
      <c r="AD144" s="427"/>
      <c r="AE144" s="427"/>
      <c r="AG144" s="427"/>
      <c r="AH144" s="427"/>
      <c r="AI144" s="427"/>
      <c r="AJ144" s="427"/>
      <c r="AK144" s="427"/>
      <c r="AL144" s="427"/>
      <c r="AM144" s="427"/>
      <c r="AN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BC144" s="428"/>
      <c r="BD144" s="429"/>
      <c r="BF144" s="427"/>
      <c r="BG144" s="437"/>
      <c r="BH144" s="427"/>
      <c r="BJ144" s="437"/>
      <c r="BK144" s="431"/>
      <c r="BL144" s="427"/>
      <c r="BM144" s="426"/>
      <c r="BN144" s="427"/>
      <c r="BO144" s="428"/>
    </row>
    <row r="145" customFormat="false" ht="13.5" hidden="false" customHeight="false" outlineLevel="0" collapsed="false">
      <c r="A145" s="424"/>
      <c r="B145" s="442" t="s">
        <v>712</v>
      </c>
      <c r="C145" s="442" t="s">
        <v>712</v>
      </c>
      <c r="D145" s="424"/>
      <c r="E145" s="442" t="s">
        <v>712</v>
      </c>
      <c r="F145" s="424"/>
      <c r="G145" s="424"/>
      <c r="H145" s="424"/>
      <c r="I145" s="424"/>
      <c r="J145" s="424"/>
      <c r="K145" s="424"/>
      <c r="L145" s="424"/>
      <c r="M145" s="424"/>
      <c r="N145" s="440" t="n">
        <f aca="false">ROUND(((+A144-A143)*100),1)</f>
        <v>0</v>
      </c>
      <c r="O145" s="424"/>
      <c r="P145" s="438" t="s">
        <v>417</v>
      </c>
      <c r="Q145" s="435" t="n">
        <v>15</v>
      </c>
      <c r="R145" s="434" t="s">
        <v>457</v>
      </c>
      <c r="S145" s="424"/>
      <c r="T145" s="434" t="s">
        <v>458</v>
      </c>
      <c r="U145" s="434" t="s">
        <v>459</v>
      </c>
      <c r="V145" s="436" t="n">
        <f aca="false">AY145</f>
        <v>0</v>
      </c>
      <c r="W145" s="424"/>
      <c r="AC145" s="427"/>
      <c r="AD145" s="427"/>
      <c r="AE145" s="427"/>
      <c r="AG145" s="427"/>
      <c r="AH145" s="427"/>
      <c r="AI145" s="427"/>
      <c r="AJ145" s="427"/>
      <c r="AK145" s="427"/>
      <c r="AL145" s="427"/>
      <c r="AM145" s="427"/>
      <c r="AN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BC145" s="428"/>
      <c r="BD145" s="429"/>
      <c r="BF145" s="427"/>
      <c r="BG145" s="437"/>
      <c r="BH145" s="427"/>
      <c r="BJ145" s="437"/>
      <c r="BM145" s="439"/>
      <c r="BN145" s="439"/>
      <c r="BO145" s="428"/>
    </row>
    <row r="146" customFormat="false" ht="13.5" hidden="false" customHeight="false" outlineLevel="0" collapsed="false">
      <c r="A146" s="424"/>
      <c r="B146" s="440" t="n">
        <f aca="false">TRUNC(+A144/100000000000)</f>
        <v>0</v>
      </c>
      <c r="C146" s="440" t="n">
        <f aca="false">(TRUNC(+A143/1000000000))-B146*100</f>
        <v>0</v>
      </c>
      <c r="D146" s="424"/>
      <c r="E146" s="435" t="str">
        <f aca="false">IF(E143&gt;0,TRUNC(+E143-B146*1000-C146*10),"")</f>
        <v/>
      </c>
      <c r="F146" s="435" t="e">
        <f aca="false">F141-F142</f>
        <v>#VALUE!</v>
      </c>
      <c r="G146" s="435" t="e">
        <f aca="false">G148</f>
        <v>#VALUE!</v>
      </c>
      <c r="H146" s="440" t="n">
        <f aca="false">TRUNC((+A143-(+F141*1000000))/100000)</f>
        <v>3</v>
      </c>
      <c r="I146" s="440" t="n">
        <f aca="false">I144-H146*100</f>
        <v>50</v>
      </c>
      <c r="J146" s="424"/>
      <c r="K146" s="440" t="n">
        <f aca="false">TRUNC(+K144/100)</f>
        <v>0</v>
      </c>
      <c r="L146" s="440" t="n">
        <f aca="false">K144-K146*100</f>
        <v>0</v>
      </c>
      <c r="M146" s="440" t="str">
        <f aca="false">IF(N146&gt;0," &amp; Sen ","")</f>
        <v/>
      </c>
      <c r="N146" s="435" t="n">
        <f aca="false">N145</f>
        <v>0</v>
      </c>
      <c r="O146" s="424"/>
      <c r="P146" s="438" t="s">
        <v>417</v>
      </c>
      <c r="Q146" s="435" t="n">
        <v>16</v>
      </c>
      <c r="R146" s="434" t="s">
        <v>460</v>
      </c>
      <c r="S146" s="424"/>
      <c r="T146" s="434" t="s">
        <v>461</v>
      </c>
      <c r="U146" s="434" t="s">
        <v>462</v>
      </c>
      <c r="V146" s="436" t="n">
        <f aca="false">AY146</f>
        <v>0</v>
      </c>
      <c r="W146" s="424"/>
      <c r="X146" s="437"/>
      <c r="AC146" s="427"/>
      <c r="AD146" s="427"/>
      <c r="AE146" s="427"/>
      <c r="AG146" s="427"/>
      <c r="AH146" s="427"/>
      <c r="AI146" s="427"/>
      <c r="AJ146" s="427"/>
      <c r="AK146" s="427"/>
      <c r="AL146" s="427"/>
      <c r="AM146" s="427"/>
      <c r="AN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BC146" s="428"/>
      <c r="BD146" s="429"/>
      <c r="BF146" s="427"/>
      <c r="BG146" s="437"/>
      <c r="BH146" s="427"/>
      <c r="BJ146" s="437"/>
      <c r="BN146" s="427"/>
      <c r="BO146" s="428"/>
    </row>
    <row r="147" customFormat="false" ht="13.5" hidden="false" customHeight="false" outlineLevel="0" collapsed="false">
      <c r="A147" s="424"/>
      <c r="B147" s="424"/>
      <c r="C147" s="424"/>
      <c r="D147" s="424"/>
      <c r="E147" s="424"/>
      <c r="F147" s="424"/>
      <c r="G147" s="424"/>
      <c r="H147" s="424"/>
      <c r="I147" s="424"/>
      <c r="J147" s="424"/>
      <c r="K147" s="424"/>
      <c r="L147" s="424"/>
      <c r="M147" s="424"/>
      <c r="N147" s="424"/>
      <c r="O147" s="424"/>
      <c r="P147" s="438" t="s">
        <v>417</v>
      </c>
      <c r="Q147" s="435" t="n">
        <v>17</v>
      </c>
      <c r="R147" s="434" t="s">
        <v>463</v>
      </c>
      <c r="S147" s="424"/>
      <c r="T147" s="434" t="s">
        <v>464</v>
      </c>
      <c r="U147" s="434" t="s">
        <v>465</v>
      </c>
      <c r="V147" s="436" t="n">
        <f aca="false">AY147</f>
        <v>0</v>
      </c>
      <c r="W147" s="424"/>
      <c r="AC147" s="427"/>
      <c r="AD147" s="427"/>
      <c r="AE147" s="427"/>
      <c r="AG147" s="427"/>
      <c r="AH147" s="427"/>
      <c r="AI147" s="427"/>
      <c r="AJ147" s="427"/>
      <c r="AK147" s="427"/>
      <c r="AL147" s="427"/>
      <c r="AM147" s="427"/>
      <c r="AN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BC147" s="428"/>
      <c r="BF147" s="437"/>
      <c r="BG147" s="427"/>
      <c r="BH147" s="437"/>
      <c r="BI147" s="427"/>
      <c r="BJ147" s="427"/>
      <c r="BK147" s="431"/>
      <c r="BM147" s="427"/>
      <c r="BN147" s="427"/>
      <c r="BO147" s="428"/>
    </row>
    <row r="148" customFormat="false" ht="13.5" hidden="false" customHeight="false" outlineLevel="0" collapsed="false">
      <c r="A148" s="440" t="n">
        <f aca="false">B146*100000000000</f>
        <v>0</v>
      </c>
      <c r="B148" s="440" t="str">
        <f aca="false">IF(B146&gt;0,VLOOKUP(B146,$Q$7:$T$15,3),"")</f>
        <v/>
      </c>
      <c r="C148" s="440" t="str">
        <f aca="false">IF(C146&gt;0,VLOOKUP(C146,Q131:R229,2),"")</f>
        <v/>
      </c>
      <c r="D148" s="440" t="str">
        <f aca="false">IF(B143+C146&gt;0," Milyar ","")</f>
        <v/>
      </c>
      <c r="E148" s="440" t="e">
        <f aca="false">IF(E146&gt;0,VLOOKUP(E146,$Q$7:$T$15,3),"")</f>
        <v>#N/A</v>
      </c>
      <c r="F148" s="440" t="e">
        <f aca="false">IF(F146&gt;0,VLOOKUP(F146,Q131:R229,2),"")</f>
        <v>#VALUE!</v>
      </c>
      <c r="G148" s="435" t="e">
        <f aca="false">IF(F146+E146&gt;0," Juta","")</f>
        <v>#VALUE!</v>
      </c>
      <c r="H148" s="440" t="str">
        <f aca="false">IF(H146&gt;0,VLOOKUP(H146,$Q$7:$T$15,3),"")</f>
        <v> Tiga ratus</v>
      </c>
      <c r="I148" s="440" t="str">
        <f aca="false">IF(I146=1," Se",IF(I146=0,"",VLOOKUP(I146,Q131:R229,2)))</f>
        <v>  Lima puluh</v>
      </c>
      <c r="J148" s="435" t="str">
        <f aca="false">IF(I146+H146&gt;0," ribu","")</f>
        <v> ribu</v>
      </c>
      <c r="K148" s="440" t="str">
        <f aca="false">IF(K146&gt;0,VLOOKUP(K146,Q131:S139,3),"")</f>
        <v/>
      </c>
      <c r="L148" s="440" t="str">
        <f aca="false">IF(L146&gt;0,VLOOKUP(L146,Q131:R229,2),"")</f>
        <v/>
      </c>
      <c r="M148" s="440" t="str">
        <f aca="false">IF(N146&gt;0,VLOOKUP(N145,Q130:U229,5)," Rupiah ")</f>
        <v> Rupiah </v>
      </c>
      <c r="N148" s="424"/>
      <c r="O148" s="435" t="str">
        <f aca="false">IF(N146&gt;0," ====","")</f>
        <v/>
      </c>
      <c r="P148" s="435" t="str">
        <f aca="false">IF(N146&gt;0,"-","====")</f>
        <v>====</v>
      </c>
      <c r="Q148" s="435" t="n">
        <v>18</v>
      </c>
      <c r="R148" s="434" t="s">
        <v>466</v>
      </c>
      <c r="S148" s="424"/>
      <c r="T148" s="434" t="s">
        <v>467</v>
      </c>
      <c r="U148" s="434" t="s">
        <v>468</v>
      </c>
      <c r="V148" s="436" t="n">
        <f aca="false">AY148</f>
        <v>0</v>
      </c>
      <c r="W148" s="424"/>
      <c r="X148" s="437"/>
      <c r="AC148" s="427"/>
      <c r="AD148" s="427"/>
      <c r="AE148" s="427"/>
      <c r="AG148" s="427"/>
      <c r="AH148" s="427"/>
      <c r="AI148" s="427"/>
      <c r="AJ148" s="427"/>
      <c r="AK148" s="427"/>
      <c r="AL148" s="427"/>
      <c r="AM148" s="427"/>
      <c r="AN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BC148" s="428"/>
      <c r="BG148" s="427"/>
      <c r="BH148" s="437"/>
      <c r="BJ148" s="427"/>
      <c r="BM148" s="427"/>
      <c r="BN148" s="427"/>
      <c r="BO148" s="428"/>
    </row>
    <row r="149" customFormat="false" ht="13.5" hidden="false" customHeight="false" outlineLevel="0" collapsed="false">
      <c r="A149" s="440"/>
      <c r="B149" s="435" t="str">
        <f aca="false">B148</f>
        <v/>
      </c>
      <c r="C149" s="424"/>
      <c r="D149" s="424"/>
      <c r="E149" s="424"/>
      <c r="F149" s="424"/>
      <c r="G149" s="424"/>
      <c r="H149" s="424"/>
      <c r="I149" s="424"/>
      <c r="J149" s="424"/>
      <c r="K149" s="424"/>
      <c r="L149" s="424"/>
      <c r="M149" s="424"/>
      <c r="N149" s="424"/>
      <c r="O149" s="424"/>
      <c r="P149" s="438" t="s">
        <v>417</v>
      </c>
      <c r="Q149" s="435" t="n">
        <v>19</v>
      </c>
      <c r="R149" s="434" t="s">
        <v>469</v>
      </c>
      <c r="S149" s="424"/>
      <c r="T149" s="434" t="s">
        <v>470</v>
      </c>
      <c r="U149" s="434" t="s">
        <v>471</v>
      </c>
      <c r="V149" s="436" t="n">
        <f aca="false">AY154</f>
        <v>0</v>
      </c>
      <c r="W149" s="424"/>
      <c r="AC149" s="427"/>
      <c r="AD149" s="427"/>
      <c r="AE149" s="427"/>
      <c r="AG149" s="427"/>
      <c r="AH149" s="427"/>
      <c r="AI149" s="427"/>
      <c r="AJ149" s="427"/>
      <c r="AK149" s="427"/>
      <c r="AL149" s="427"/>
      <c r="AM149" s="427"/>
      <c r="AN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BC149" s="428"/>
      <c r="BG149" s="427"/>
      <c r="BH149" s="437"/>
      <c r="BJ149" s="427"/>
      <c r="BK149" s="426"/>
      <c r="BN149" s="427"/>
      <c r="BO149" s="428"/>
    </row>
    <row r="150" customFormat="false" ht="13.5" hidden="false" customHeight="false" outlineLevel="0" collapsed="false">
      <c r="A150" s="440"/>
      <c r="B150" s="435" t="str">
        <f aca="false">C148</f>
        <v/>
      </c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38" t="s">
        <v>417</v>
      </c>
      <c r="Q150" s="435" t="n">
        <v>20</v>
      </c>
      <c r="R150" s="434" t="s">
        <v>472</v>
      </c>
      <c r="S150" s="424"/>
      <c r="T150" s="434" t="s">
        <v>473</v>
      </c>
      <c r="U150" s="434" t="s">
        <v>474</v>
      </c>
      <c r="V150" s="436" t="n">
        <f aca="false">AY155</f>
        <v>0</v>
      </c>
      <c r="W150" s="424"/>
      <c r="AC150" s="427"/>
      <c r="AD150" s="427"/>
      <c r="AE150" s="427"/>
      <c r="AG150" s="427"/>
      <c r="AH150" s="427"/>
      <c r="AI150" s="427"/>
      <c r="AJ150" s="427"/>
      <c r="AK150" s="427"/>
      <c r="AL150" s="427"/>
      <c r="AM150" s="427"/>
      <c r="AN150" s="427"/>
      <c r="AP150" s="427"/>
      <c r="AQ150" s="427"/>
      <c r="AR150" s="427"/>
      <c r="AS150" s="427"/>
      <c r="AT150" s="427"/>
      <c r="AU150" s="427"/>
      <c r="AV150" s="427"/>
      <c r="AW150" s="427"/>
      <c r="AX150" s="427"/>
      <c r="AY150" s="427"/>
      <c r="BC150" s="428"/>
      <c r="BG150" s="427"/>
      <c r="BH150" s="437"/>
      <c r="BJ150" s="427"/>
      <c r="BK150" s="426"/>
      <c r="BN150" s="427"/>
      <c r="BO150" s="428"/>
    </row>
    <row r="151" customFormat="false" ht="13.5" hidden="false" customHeight="false" outlineLevel="0" collapsed="false">
      <c r="A151" s="440"/>
      <c r="B151" s="435" t="str">
        <f aca="false">D148</f>
        <v/>
      </c>
      <c r="C151" s="424"/>
      <c r="D151" s="424"/>
      <c r="E151" s="424"/>
      <c r="F151" s="424"/>
      <c r="G151" s="424"/>
      <c r="H151" s="424"/>
      <c r="I151" s="424"/>
      <c r="J151" s="424"/>
      <c r="K151" s="424"/>
      <c r="L151" s="424"/>
      <c r="M151" s="424"/>
      <c r="N151" s="424"/>
      <c r="O151" s="424"/>
      <c r="P151" s="438" t="s">
        <v>417</v>
      </c>
      <c r="Q151" s="435" t="n">
        <v>21</v>
      </c>
      <c r="R151" s="434" t="s">
        <v>475</v>
      </c>
      <c r="S151" s="424"/>
      <c r="T151" s="434" t="s">
        <v>476</v>
      </c>
      <c r="U151" s="434" t="s">
        <v>477</v>
      </c>
      <c r="V151" s="436" t="n">
        <f aca="false">AY156</f>
        <v>0</v>
      </c>
      <c r="W151" s="424"/>
      <c r="AC151" s="427"/>
      <c r="AD151" s="427"/>
      <c r="AE151" s="427"/>
      <c r="AG151" s="427"/>
      <c r="AH151" s="427"/>
      <c r="AI151" s="427"/>
      <c r="AJ151" s="427"/>
      <c r="AK151" s="427"/>
      <c r="AL151" s="427"/>
      <c r="AM151" s="427"/>
      <c r="AN151" s="427"/>
      <c r="AP151" s="427"/>
      <c r="AQ151" s="427"/>
      <c r="AR151" s="427"/>
      <c r="AS151" s="427"/>
      <c r="AT151" s="427"/>
      <c r="AU151" s="427"/>
      <c r="AV151" s="427"/>
      <c r="AW151" s="427"/>
      <c r="AX151" s="427"/>
      <c r="AY151" s="427"/>
      <c r="BC151" s="428"/>
      <c r="BG151" s="427"/>
      <c r="BH151" s="437"/>
      <c r="BJ151" s="427"/>
      <c r="BN151" s="427"/>
      <c r="BO151" s="428"/>
    </row>
    <row r="152" customFormat="false" ht="13.5" hidden="false" customHeight="false" outlineLevel="0" collapsed="false">
      <c r="A152" s="440"/>
      <c r="B152" s="435" t="e">
        <f aca="false">E148</f>
        <v>#N/A</v>
      </c>
      <c r="C152" s="424"/>
      <c r="D152" s="424"/>
      <c r="E152" s="424"/>
      <c r="F152" s="424"/>
      <c r="G152" s="424"/>
      <c r="H152" s="424"/>
      <c r="I152" s="424"/>
      <c r="J152" s="424"/>
      <c r="K152" s="424"/>
      <c r="L152" s="424"/>
      <c r="M152" s="424"/>
      <c r="N152" s="424"/>
      <c r="O152" s="424"/>
      <c r="P152" s="424"/>
      <c r="Q152" s="435" t="n">
        <v>22</v>
      </c>
      <c r="R152" s="434" t="s">
        <v>478</v>
      </c>
      <c r="S152" s="424"/>
      <c r="T152" s="434" t="s">
        <v>479</v>
      </c>
      <c r="U152" s="434" t="s">
        <v>480</v>
      </c>
      <c r="V152" s="436" t="n">
        <f aca="false">AY157</f>
        <v>0</v>
      </c>
      <c r="W152" s="424"/>
      <c r="AC152" s="427"/>
      <c r="AD152" s="427"/>
      <c r="AE152" s="427"/>
      <c r="AG152" s="427"/>
      <c r="AH152" s="427"/>
      <c r="AI152" s="427"/>
      <c r="AJ152" s="427"/>
      <c r="AK152" s="427"/>
      <c r="AL152" s="427"/>
      <c r="AM152" s="427"/>
      <c r="AN152" s="427"/>
      <c r="AP152" s="427"/>
      <c r="AQ152" s="427"/>
      <c r="AR152" s="427"/>
      <c r="AS152" s="427"/>
      <c r="AT152" s="427"/>
      <c r="AU152" s="427"/>
      <c r="AV152" s="427"/>
      <c r="AW152" s="427"/>
      <c r="AX152" s="427"/>
      <c r="AY152" s="427"/>
      <c r="BC152" s="428"/>
      <c r="BG152" s="427"/>
      <c r="BH152" s="437"/>
      <c r="BJ152" s="427"/>
      <c r="BK152" s="437"/>
      <c r="BL152" s="427"/>
      <c r="BM152" s="429"/>
      <c r="BN152" s="427"/>
      <c r="BO152" s="428"/>
    </row>
    <row r="153" customFormat="false" ht="13.5" hidden="false" customHeight="false" outlineLevel="0" collapsed="false">
      <c r="A153" s="440"/>
      <c r="B153" s="435" t="e">
        <f aca="false">F148</f>
        <v>#VALUE!</v>
      </c>
      <c r="C153" s="424"/>
      <c r="D153" s="424"/>
      <c r="E153" s="424"/>
      <c r="F153" s="424"/>
      <c r="G153" s="424"/>
      <c r="H153" s="424"/>
      <c r="I153" s="424"/>
      <c r="J153" s="424"/>
      <c r="K153" s="424"/>
      <c r="L153" s="424"/>
      <c r="M153" s="424"/>
      <c r="N153" s="424"/>
      <c r="O153" s="424"/>
      <c r="P153" s="438" t="s">
        <v>417</v>
      </c>
      <c r="Q153" s="435" t="n">
        <v>23</v>
      </c>
      <c r="R153" s="434" t="s">
        <v>481</v>
      </c>
      <c r="S153" s="424"/>
      <c r="T153" s="434" t="s">
        <v>482</v>
      </c>
      <c r="U153" s="434" t="s">
        <v>483</v>
      </c>
      <c r="V153" s="436" t="n">
        <f aca="false">AY158</f>
        <v>0</v>
      </c>
      <c r="W153" s="424"/>
      <c r="AC153" s="427"/>
      <c r="AP153" s="427"/>
      <c r="AQ153" s="427"/>
      <c r="AR153" s="427"/>
      <c r="AS153" s="427"/>
      <c r="AT153" s="427"/>
      <c r="AU153" s="427"/>
      <c r="AV153" s="427"/>
      <c r="AW153" s="427"/>
      <c r="AX153" s="427"/>
      <c r="AY153" s="427"/>
      <c r="BC153" s="428"/>
      <c r="BG153" s="427"/>
      <c r="BH153" s="437"/>
      <c r="BJ153" s="427"/>
      <c r="BK153" s="437"/>
      <c r="BL153" s="427"/>
      <c r="BM153" s="429"/>
      <c r="BN153" s="427"/>
      <c r="BO153" s="428"/>
    </row>
    <row r="154" customFormat="false" ht="13.5" hidden="false" customHeight="false" outlineLevel="0" collapsed="false">
      <c r="A154" s="424"/>
      <c r="B154" s="424"/>
      <c r="C154" s="424"/>
      <c r="D154" s="424"/>
      <c r="E154" s="424"/>
      <c r="F154" s="424"/>
      <c r="G154" s="424"/>
      <c r="H154" s="424"/>
      <c r="I154" s="424"/>
      <c r="J154" s="424"/>
      <c r="K154" s="424"/>
      <c r="L154" s="424"/>
      <c r="M154" s="424"/>
      <c r="N154" s="424"/>
      <c r="O154" s="424"/>
      <c r="P154" s="438" t="s">
        <v>417</v>
      </c>
      <c r="Q154" s="435" t="n">
        <v>24</v>
      </c>
      <c r="R154" s="434" t="s">
        <v>484</v>
      </c>
      <c r="S154" s="424"/>
      <c r="T154" s="434" t="s">
        <v>485</v>
      </c>
      <c r="U154" s="434" t="s">
        <v>486</v>
      </c>
      <c r="V154" s="436" t="n">
        <f aca="false">AY159</f>
        <v>0</v>
      </c>
      <c r="W154" s="424"/>
      <c r="AC154" s="427"/>
      <c r="AP154" s="427"/>
      <c r="AQ154" s="427"/>
      <c r="AR154" s="427"/>
      <c r="AS154" s="427"/>
      <c r="AT154" s="427"/>
      <c r="AU154" s="427"/>
      <c r="AV154" s="427"/>
      <c r="AW154" s="427"/>
      <c r="AX154" s="427"/>
      <c r="AY154" s="427"/>
      <c r="BC154" s="428"/>
      <c r="BG154" s="427"/>
      <c r="BH154" s="437"/>
      <c r="BJ154" s="427"/>
      <c r="BK154" s="431"/>
      <c r="BN154" s="427"/>
      <c r="BO154" s="428"/>
    </row>
    <row r="155" customFormat="false" ht="13.5" hidden="false" customHeight="false" outlineLevel="0" collapsed="false">
      <c r="A155" s="424"/>
      <c r="B155" s="424"/>
      <c r="C155" s="424"/>
      <c r="D155" s="424"/>
      <c r="E155" s="424"/>
      <c r="F155" s="424"/>
      <c r="G155" s="424"/>
      <c r="H155" s="424"/>
      <c r="I155" s="424"/>
      <c r="J155" s="424"/>
      <c r="K155" s="424"/>
      <c r="L155" s="424"/>
      <c r="M155" s="424"/>
      <c r="N155" s="424"/>
      <c r="O155" s="424"/>
      <c r="P155" s="438" t="s">
        <v>417</v>
      </c>
      <c r="Q155" s="435" t="n">
        <v>25</v>
      </c>
      <c r="R155" s="434" t="s">
        <v>487</v>
      </c>
      <c r="S155" s="424"/>
      <c r="T155" s="434" t="s">
        <v>488</v>
      </c>
      <c r="U155" s="434" t="s">
        <v>489</v>
      </c>
      <c r="V155" s="436" t="n">
        <f aca="false">AY160</f>
        <v>0</v>
      </c>
      <c r="W155" s="424"/>
      <c r="AC155" s="427"/>
      <c r="AP155" s="427"/>
      <c r="AQ155" s="427"/>
      <c r="AR155" s="427"/>
      <c r="AS155" s="427"/>
      <c r="AT155" s="427"/>
      <c r="AU155" s="427"/>
      <c r="AV155" s="427"/>
      <c r="AW155" s="427"/>
      <c r="AX155" s="427"/>
      <c r="AY155" s="427"/>
      <c r="BC155" s="428"/>
      <c r="BG155" s="427"/>
      <c r="BH155" s="437"/>
      <c r="BJ155" s="427"/>
      <c r="BK155" s="431"/>
      <c r="BN155" s="427"/>
      <c r="BO155" s="428"/>
    </row>
    <row r="156" customFormat="false" ht="13.5" hidden="false" customHeight="false" outlineLevel="0" collapsed="false">
      <c r="A156" s="424"/>
      <c r="B156" s="424"/>
      <c r="C156" s="424"/>
      <c r="D156" s="424"/>
      <c r="E156" s="424"/>
      <c r="F156" s="424"/>
      <c r="G156" s="424"/>
      <c r="H156" s="424"/>
      <c r="I156" s="424"/>
      <c r="J156" s="424"/>
      <c r="K156" s="424"/>
      <c r="L156" s="424"/>
      <c r="M156" s="424"/>
      <c r="N156" s="424"/>
      <c r="O156" s="424"/>
      <c r="P156" s="438" t="s">
        <v>417</v>
      </c>
      <c r="Q156" s="435" t="n">
        <v>26</v>
      </c>
      <c r="R156" s="434" t="s">
        <v>490</v>
      </c>
      <c r="S156" s="424"/>
      <c r="T156" s="434" t="s">
        <v>491</v>
      </c>
      <c r="U156" s="434" t="s">
        <v>492</v>
      </c>
      <c r="V156" s="436" t="n">
        <f aca="false">AY161</f>
        <v>0</v>
      </c>
      <c r="W156" s="424"/>
      <c r="AC156" s="427"/>
      <c r="AP156" s="427"/>
      <c r="AQ156" s="427"/>
      <c r="AR156" s="427"/>
      <c r="AS156" s="427"/>
      <c r="AT156" s="427"/>
      <c r="AU156" s="427"/>
      <c r="AV156" s="427"/>
      <c r="AW156" s="427"/>
      <c r="AX156" s="427"/>
      <c r="AY156" s="427"/>
      <c r="BC156" s="428"/>
      <c r="BG156" s="427"/>
      <c r="BH156" s="437"/>
      <c r="BJ156" s="427"/>
      <c r="BO156" s="428"/>
    </row>
    <row r="157" customFormat="false" ht="13.5" hidden="false" customHeight="false" outlineLevel="0" collapsed="false">
      <c r="A157" s="424"/>
      <c r="B157" s="424"/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  <c r="P157" s="424"/>
      <c r="Q157" s="435" t="n">
        <v>27</v>
      </c>
      <c r="R157" s="434" t="s">
        <v>493</v>
      </c>
      <c r="S157" s="424"/>
      <c r="T157" s="434" t="s">
        <v>494</v>
      </c>
      <c r="U157" s="434" t="s">
        <v>495</v>
      </c>
      <c r="V157" s="436" t="n">
        <f aca="false">AY162</f>
        <v>0</v>
      </c>
      <c r="W157" s="424"/>
      <c r="AC157" s="427"/>
      <c r="AP157" s="427"/>
      <c r="AQ157" s="427"/>
      <c r="AR157" s="427"/>
      <c r="AS157" s="427"/>
      <c r="AT157" s="427"/>
      <c r="AU157" s="427"/>
      <c r="AV157" s="427"/>
      <c r="AW157" s="427"/>
      <c r="AX157" s="427"/>
      <c r="AY157" s="427"/>
      <c r="BC157" s="428"/>
      <c r="BG157" s="427"/>
      <c r="BH157" s="437"/>
      <c r="BJ157" s="427"/>
      <c r="BO157" s="428"/>
    </row>
    <row r="158" customFormat="false" ht="13.5" hidden="false" customHeight="false" outlineLevel="0" collapsed="false">
      <c r="A158" s="424"/>
      <c r="B158" s="424"/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  <c r="P158" s="424"/>
      <c r="Q158" s="435" t="n">
        <v>28</v>
      </c>
      <c r="R158" s="434" t="s">
        <v>496</v>
      </c>
      <c r="S158" s="424"/>
      <c r="T158" s="434" t="s">
        <v>497</v>
      </c>
      <c r="U158" s="434" t="s">
        <v>498</v>
      </c>
      <c r="V158" s="436" t="n">
        <f aca="false">AY163</f>
        <v>0</v>
      </c>
      <c r="W158" s="424"/>
      <c r="AC158" s="427"/>
      <c r="AP158" s="427"/>
      <c r="AQ158" s="427"/>
      <c r="AR158" s="427"/>
      <c r="AS158" s="427"/>
      <c r="AT158" s="427"/>
      <c r="AU158" s="427"/>
      <c r="AV158" s="427"/>
      <c r="AW158" s="427"/>
      <c r="AX158" s="427"/>
      <c r="AY158" s="427"/>
      <c r="BC158" s="428"/>
      <c r="BG158" s="427"/>
      <c r="BH158" s="437"/>
      <c r="BJ158" s="427"/>
      <c r="BO158" s="428"/>
    </row>
    <row r="159" customFormat="false" ht="13.5" hidden="false" customHeight="false" outlineLevel="0" collapsed="false">
      <c r="A159" s="424"/>
      <c r="B159" s="424"/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  <c r="P159" s="424"/>
      <c r="Q159" s="435" t="n">
        <v>29</v>
      </c>
      <c r="R159" s="434" t="s">
        <v>499</v>
      </c>
      <c r="S159" s="424"/>
      <c r="T159" s="434" t="s">
        <v>500</v>
      </c>
      <c r="U159" s="434" t="s">
        <v>501</v>
      </c>
      <c r="V159" s="436" t="n">
        <f aca="false">AY164</f>
        <v>0</v>
      </c>
      <c r="W159" s="424"/>
      <c r="AC159" s="427"/>
      <c r="AP159" s="427"/>
      <c r="AQ159" s="427"/>
      <c r="AR159" s="427"/>
      <c r="AS159" s="427"/>
      <c r="AT159" s="427"/>
      <c r="AU159" s="427"/>
      <c r="AV159" s="427"/>
      <c r="AW159" s="427"/>
      <c r="AX159" s="427"/>
      <c r="AY159" s="427"/>
      <c r="BC159" s="428"/>
      <c r="BG159" s="427"/>
      <c r="BH159" s="437"/>
      <c r="BJ159" s="427"/>
      <c r="BO159" s="428"/>
    </row>
    <row r="160" customFormat="false" ht="13.5" hidden="false" customHeight="false" outlineLevel="0" collapsed="false">
      <c r="A160" s="424"/>
      <c r="B160" s="424"/>
      <c r="C160" s="424"/>
      <c r="D160" s="424"/>
      <c r="E160" s="424"/>
      <c r="F160" s="424"/>
      <c r="G160" s="424"/>
      <c r="H160" s="424"/>
      <c r="I160" s="424"/>
      <c r="J160" s="424"/>
      <c r="K160" s="424"/>
      <c r="L160" s="424"/>
      <c r="M160" s="424"/>
      <c r="N160" s="424"/>
      <c r="O160" s="424"/>
      <c r="P160" s="424"/>
      <c r="Q160" s="435" t="n">
        <v>30</v>
      </c>
      <c r="R160" s="434" t="s">
        <v>502</v>
      </c>
      <c r="S160" s="424"/>
      <c r="T160" s="434" t="s">
        <v>503</v>
      </c>
      <c r="U160" s="434" t="s">
        <v>504</v>
      </c>
      <c r="V160" s="436" t="n">
        <f aca="false">AY165</f>
        <v>0</v>
      </c>
      <c r="W160" s="424"/>
      <c r="AC160" s="427"/>
      <c r="AP160" s="427"/>
      <c r="AQ160" s="427"/>
      <c r="AR160" s="427"/>
      <c r="AS160" s="427"/>
      <c r="AT160" s="427"/>
      <c r="AU160" s="427"/>
      <c r="AV160" s="427"/>
      <c r="AW160" s="427"/>
      <c r="AX160" s="427"/>
      <c r="AY160" s="427"/>
      <c r="BC160" s="428"/>
      <c r="BG160" s="427"/>
      <c r="BH160" s="437"/>
      <c r="BJ160" s="427"/>
      <c r="BO160" s="428"/>
    </row>
    <row r="161" customFormat="false" ht="13.5" hidden="false" customHeight="false" outlineLevel="0" collapsed="false">
      <c r="A161" s="424"/>
      <c r="B161" s="424"/>
      <c r="C161" s="424"/>
      <c r="D161" s="424"/>
      <c r="E161" s="424"/>
      <c r="F161" s="424"/>
      <c r="G161" s="424"/>
      <c r="H161" s="424"/>
      <c r="I161" s="424"/>
      <c r="J161" s="424"/>
      <c r="K161" s="424"/>
      <c r="L161" s="424"/>
      <c r="M161" s="424"/>
      <c r="N161" s="424"/>
      <c r="O161" s="424"/>
      <c r="P161" s="424"/>
      <c r="Q161" s="435" t="n">
        <v>31</v>
      </c>
      <c r="R161" s="434" t="s">
        <v>505</v>
      </c>
      <c r="S161" s="424"/>
      <c r="T161" s="434" t="s">
        <v>506</v>
      </c>
      <c r="U161" s="434" t="s">
        <v>507</v>
      </c>
      <c r="V161" s="436" t="n">
        <f aca="false">AY166</f>
        <v>0</v>
      </c>
      <c r="AC161" s="427"/>
      <c r="AP161" s="427"/>
      <c r="AQ161" s="427"/>
      <c r="AR161" s="427"/>
      <c r="AS161" s="427"/>
      <c r="AT161" s="427"/>
      <c r="AU161" s="427"/>
      <c r="AV161" s="427"/>
      <c r="AW161" s="427"/>
      <c r="AX161" s="427"/>
      <c r="AY161" s="427"/>
      <c r="BC161" s="428"/>
      <c r="BG161" s="427"/>
      <c r="BH161" s="437"/>
      <c r="BJ161" s="427"/>
      <c r="BK161" s="427"/>
      <c r="BL161" s="427"/>
      <c r="BN161" s="427"/>
      <c r="BO161" s="428"/>
    </row>
    <row r="162" customFormat="false" ht="13.5" hidden="false" customHeight="false" outlineLevel="0" collapsed="false">
      <c r="A162" s="424"/>
      <c r="B162" s="424"/>
      <c r="C162" s="424"/>
      <c r="D162" s="424"/>
      <c r="E162" s="424"/>
      <c r="F162" s="424"/>
      <c r="G162" s="424"/>
      <c r="H162" s="424"/>
      <c r="I162" s="424"/>
      <c r="J162" s="424"/>
      <c r="K162" s="424"/>
      <c r="L162" s="424"/>
      <c r="M162" s="424"/>
      <c r="N162" s="424"/>
      <c r="O162" s="424"/>
      <c r="P162" s="424"/>
      <c r="Q162" s="435" t="n">
        <v>32</v>
      </c>
      <c r="R162" s="434" t="s">
        <v>508</v>
      </c>
      <c r="S162" s="424"/>
      <c r="T162" s="434" t="s">
        <v>509</v>
      </c>
      <c r="U162" s="434" t="s">
        <v>510</v>
      </c>
      <c r="V162" s="436" t="n">
        <f aca="false">AY167</f>
        <v>0</v>
      </c>
      <c r="AC162" s="427"/>
      <c r="AP162" s="427"/>
      <c r="AQ162" s="427"/>
      <c r="AR162" s="427"/>
      <c r="AS162" s="427"/>
      <c r="AT162" s="427"/>
      <c r="AU162" s="427"/>
      <c r="AV162" s="427"/>
      <c r="AW162" s="427"/>
      <c r="AX162" s="427"/>
      <c r="AY162" s="427"/>
      <c r="BC162" s="428"/>
      <c r="BG162" s="427"/>
      <c r="BH162" s="437"/>
      <c r="BJ162" s="427"/>
      <c r="BK162" s="427"/>
      <c r="BL162" s="427"/>
      <c r="BN162" s="427"/>
      <c r="BO162" s="428"/>
    </row>
    <row r="163" customFormat="false" ht="13.5" hidden="false" customHeight="false" outlineLevel="0" collapsed="false">
      <c r="A163" s="440"/>
      <c r="B163" s="435" t="e">
        <f aca="false">G148</f>
        <v>#VALUE!</v>
      </c>
      <c r="C163" s="424"/>
      <c r="D163" s="424"/>
      <c r="E163" s="424"/>
      <c r="F163" s="424"/>
      <c r="G163" s="424"/>
      <c r="H163" s="424"/>
      <c r="I163" s="424"/>
      <c r="J163" s="424"/>
      <c r="K163" s="424"/>
      <c r="L163" s="424"/>
      <c r="M163" s="424"/>
      <c r="N163" s="424"/>
      <c r="O163" s="424"/>
      <c r="P163" s="424"/>
      <c r="Q163" s="435" t="n">
        <v>33</v>
      </c>
      <c r="R163" s="434" t="s">
        <v>511</v>
      </c>
      <c r="S163" s="424"/>
      <c r="T163" s="434" t="s">
        <v>512</v>
      </c>
      <c r="U163" s="434" t="s">
        <v>513</v>
      </c>
      <c r="V163" s="436" t="n">
        <f aca="false">AY168</f>
        <v>0</v>
      </c>
      <c r="AC163" s="427"/>
      <c r="AP163" s="427"/>
      <c r="AQ163" s="427"/>
      <c r="AR163" s="427"/>
      <c r="AS163" s="427"/>
      <c r="AT163" s="427"/>
      <c r="AU163" s="427"/>
      <c r="AV163" s="427"/>
      <c r="AW163" s="427"/>
      <c r="AX163" s="427"/>
      <c r="AY163" s="427"/>
      <c r="BC163" s="428"/>
      <c r="BG163" s="427"/>
      <c r="BH163" s="437"/>
      <c r="BJ163" s="427"/>
      <c r="BK163" s="427"/>
      <c r="BL163" s="427"/>
      <c r="BN163" s="427"/>
      <c r="BO163" s="428"/>
    </row>
    <row r="164" customFormat="false" ht="13.5" hidden="false" customHeight="false" outlineLevel="0" collapsed="false">
      <c r="A164" s="440"/>
      <c r="B164" s="435" t="str">
        <f aca="false">H148</f>
        <v> Tiga ratus</v>
      </c>
      <c r="C164" s="424"/>
      <c r="D164" s="424"/>
      <c r="E164" s="424"/>
      <c r="F164" s="424"/>
      <c r="G164" s="424"/>
      <c r="H164" s="424"/>
      <c r="I164" s="424"/>
      <c r="J164" s="424"/>
      <c r="K164" s="424"/>
      <c r="L164" s="424"/>
      <c r="M164" s="424"/>
      <c r="N164" s="424"/>
      <c r="O164" s="424"/>
      <c r="P164" s="424"/>
      <c r="Q164" s="435" t="n">
        <v>34</v>
      </c>
      <c r="R164" s="434" t="s">
        <v>514</v>
      </c>
      <c r="S164" s="424"/>
      <c r="T164" s="434" t="s">
        <v>515</v>
      </c>
      <c r="U164" s="434" t="s">
        <v>516</v>
      </c>
      <c r="V164" s="436" t="n">
        <f aca="false">AY169</f>
        <v>0</v>
      </c>
      <c r="AC164" s="427"/>
      <c r="AP164" s="427"/>
      <c r="AQ164" s="427"/>
      <c r="AR164" s="427"/>
      <c r="AS164" s="427"/>
      <c r="AT164" s="427"/>
      <c r="AU164" s="427"/>
      <c r="AV164" s="427"/>
      <c r="AW164" s="427"/>
      <c r="AX164" s="427"/>
      <c r="AY164" s="427"/>
      <c r="BC164" s="428"/>
      <c r="BG164" s="427"/>
      <c r="BH164" s="437"/>
      <c r="BJ164" s="427"/>
      <c r="BK164" s="427"/>
      <c r="BL164" s="427"/>
      <c r="BN164" s="427"/>
      <c r="BO164" s="428"/>
    </row>
    <row r="165" customFormat="false" ht="13.5" hidden="false" customHeight="false" outlineLevel="0" collapsed="false">
      <c r="A165" s="440"/>
      <c r="B165" s="435" t="str">
        <f aca="false">I148</f>
        <v>  Lima puluh</v>
      </c>
      <c r="C165" s="424"/>
      <c r="D165" s="424"/>
      <c r="E165" s="424"/>
      <c r="F165" s="424"/>
      <c r="G165" s="424"/>
      <c r="H165" s="424"/>
      <c r="I165" s="424"/>
      <c r="J165" s="424"/>
      <c r="K165" s="424"/>
      <c r="L165" s="424"/>
      <c r="M165" s="424"/>
      <c r="N165" s="424"/>
      <c r="O165" s="424"/>
      <c r="P165" s="424"/>
      <c r="Q165" s="435" t="n">
        <v>35</v>
      </c>
      <c r="R165" s="434" t="s">
        <v>517</v>
      </c>
      <c r="S165" s="424"/>
      <c r="T165" s="434" t="s">
        <v>518</v>
      </c>
      <c r="U165" s="434" t="s">
        <v>519</v>
      </c>
      <c r="V165" s="436" t="n">
        <f aca="false">AY170</f>
        <v>0</v>
      </c>
      <c r="AC165" s="427"/>
      <c r="AP165" s="427"/>
      <c r="AQ165" s="427"/>
      <c r="AR165" s="427"/>
      <c r="AS165" s="427"/>
      <c r="AT165" s="427"/>
      <c r="AU165" s="427"/>
      <c r="AV165" s="427"/>
      <c r="AW165" s="427"/>
      <c r="AX165" s="427"/>
      <c r="AY165" s="427"/>
      <c r="BC165" s="428"/>
      <c r="BG165" s="427"/>
      <c r="BH165" s="437"/>
      <c r="BJ165" s="427"/>
      <c r="BK165" s="427"/>
      <c r="BL165" s="427"/>
      <c r="BN165" s="427"/>
      <c r="BO165" s="428"/>
    </row>
    <row r="166" customFormat="false" ht="13.5" hidden="false" customHeight="false" outlineLevel="0" collapsed="false">
      <c r="A166" s="440"/>
      <c r="B166" s="435" t="str">
        <f aca="false">J148</f>
        <v> ribu</v>
      </c>
      <c r="C166" s="424"/>
      <c r="D166" s="424"/>
      <c r="E166" s="424"/>
      <c r="F166" s="424"/>
      <c r="G166" s="424"/>
      <c r="H166" s="424"/>
      <c r="I166" s="424"/>
      <c r="J166" s="424"/>
      <c r="K166" s="424"/>
      <c r="L166" s="424"/>
      <c r="M166" s="424"/>
      <c r="N166" s="424"/>
      <c r="O166" s="424"/>
      <c r="P166" s="424"/>
      <c r="Q166" s="435" t="n">
        <v>36</v>
      </c>
      <c r="R166" s="434" t="s">
        <v>520</v>
      </c>
      <c r="S166" s="424"/>
      <c r="T166" s="434" t="s">
        <v>521</v>
      </c>
      <c r="U166" s="434" t="s">
        <v>522</v>
      </c>
      <c r="V166" s="436" t="n">
        <f aca="false">AY171</f>
        <v>0</v>
      </c>
      <c r="AC166" s="427"/>
      <c r="AP166" s="427"/>
      <c r="AQ166" s="427"/>
      <c r="AR166" s="427"/>
      <c r="AS166" s="427"/>
      <c r="AT166" s="427"/>
      <c r="AU166" s="427"/>
      <c r="AV166" s="427"/>
      <c r="AW166" s="427"/>
      <c r="AX166" s="427"/>
      <c r="AY166" s="427"/>
      <c r="BC166" s="428"/>
      <c r="BN166" s="427"/>
      <c r="BO166" s="428"/>
    </row>
    <row r="167" customFormat="false" ht="13.5" hidden="false" customHeight="false" outlineLevel="0" collapsed="false">
      <c r="A167" s="440"/>
      <c r="B167" s="440" t="str">
        <f aca="false">K148</f>
        <v/>
      </c>
      <c r="C167" s="42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35" t="n">
        <v>37</v>
      </c>
      <c r="R167" s="434" t="s">
        <v>523</v>
      </c>
      <c r="S167" s="424"/>
      <c r="T167" s="434" t="s">
        <v>524</v>
      </c>
      <c r="U167" s="434" t="s">
        <v>525</v>
      </c>
      <c r="V167" s="436" t="n">
        <f aca="false">AY172</f>
        <v>0</v>
      </c>
      <c r="AC167" s="427"/>
      <c r="AP167" s="427"/>
      <c r="AQ167" s="427"/>
      <c r="AR167" s="427"/>
      <c r="AS167" s="427"/>
      <c r="AT167" s="427"/>
      <c r="AU167" s="427"/>
      <c r="AV167" s="427"/>
      <c r="AW167" s="427"/>
      <c r="AX167" s="427"/>
      <c r="AY167" s="427"/>
      <c r="BC167" s="428"/>
      <c r="BN167" s="427"/>
      <c r="BO167" s="428"/>
    </row>
    <row r="168" customFormat="false" ht="13.5" hidden="false" customHeight="false" outlineLevel="0" collapsed="false">
      <c r="A168" s="440"/>
      <c r="B168" s="435" t="str">
        <f aca="false">L148</f>
        <v/>
      </c>
      <c r="C168" s="424"/>
      <c r="D168" s="424"/>
      <c r="E168" s="424"/>
      <c r="F168" s="424"/>
      <c r="G168" s="424"/>
      <c r="H168" s="424"/>
      <c r="I168" s="424"/>
      <c r="J168" s="424"/>
      <c r="K168" s="424"/>
      <c r="L168" s="424"/>
      <c r="M168" s="424"/>
      <c r="N168" s="424"/>
      <c r="O168" s="424"/>
      <c r="P168" s="424"/>
      <c r="Q168" s="435" t="n">
        <v>38</v>
      </c>
      <c r="R168" s="434" t="s">
        <v>526</v>
      </c>
      <c r="S168" s="424"/>
      <c r="T168" s="434" t="s">
        <v>527</v>
      </c>
      <c r="U168" s="434" t="s">
        <v>528</v>
      </c>
      <c r="V168" s="436" t="n">
        <f aca="false">AY173</f>
        <v>0</v>
      </c>
      <c r="AC168" s="427"/>
      <c r="AP168" s="427"/>
      <c r="AQ168" s="427"/>
      <c r="AR168" s="427"/>
      <c r="AS168" s="427"/>
      <c r="AT168" s="427"/>
      <c r="AU168" s="427"/>
      <c r="AV168" s="427"/>
      <c r="AW168" s="427"/>
      <c r="AX168" s="427"/>
      <c r="AY168" s="427"/>
      <c r="BC168" s="428"/>
      <c r="BG168" s="427"/>
      <c r="BH168" s="437"/>
      <c r="BJ168" s="427"/>
      <c r="BK168" s="427"/>
      <c r="BL168" s="427"/>
      <c r="BN168" s="427"/>
      <c r="BO168" s="428"/>
    </row>
    <row r="169" customFormat="false" ht="13.5" hidden="false" customHeight="false" outlineLevel="0" collapsed="false">
      <c r="A169" s="440"/>
      <c r="B169" s="435" t="str">
        <f aca="false">M148</f>
        <v> Rupiah </v>
      </c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  <c r="M169" s="424"/>
      <c r="N169" s="424"/>
      <c r="O169" s="424"/>
      <c r="P169" s="424"/>
      <c r="Q169" s="435" t="n">
        <v>39</v>
      </c>
      <c r="R169" s="434" t="s">
        <v>529</v>
      </c>
      <c r="S169" s="424"/>
      <c r="T169" s="434" t="s">
        <v>530</v>
      </c>
      <c r="U169" s="434" t="s">
        <v>531</v>
      </c>
      <c r="V169" s="436" t="n">
        <f aca="false">AY174</f>
        <v>0</v>
      </c>
      <c r="AC169" s="427"/>
      <c r="AP169" s="427"/>
      <c r="AQ169" s="427"/>
      <c r="AR169" s="427"/>
      <c r="AS169" s="427"/>
      <c r="AT169" s="427"/>
      <c r="AU169" s="427"/>
      <c r="AV169" s="427"/>
      <c r="AW169" s="427"/>
      <c r="AX169" s="427"/>
      <c r="AY169" s="427"/>
      <c r="BC169" s="428"/>
      <c r="BG169" s="427"/>
      <c r="BH169" s="437"/>
      <c r="BJ169" s="427"/>
      <c r="BK169" s="427"/>
      <c r="BL169" s="427"/>
      <c r="BN169" s="427"/>
      <c r="BO169" s="428"/>
    </row>
    <row r="170" customFormat="false" ht="13.5" hidden="false" customHeight="false" outlineLevel="0" collapsed="false">
      <c r="A170" s="436" t="e">
        <f aca="false">+#REF!</f>
        <v>#REF!</v>
      </c>
      <c r="B170" s="435" t="str">
        <f aca="false">O148</f>
        <v/>
      </c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  <c r="M170" s="424"/>
      <c r="N170" s="424"/>
      <c r="O170" s="424"/>
      <c r="P170" s="424"/>
      <c r="Q170" s="435" t="n">
        <v>40</v>
      </c>
      <c r="R170" s="434" t="s">
        <v>532</v>
      </c>
      <c r="S170" s="424"/>
      <c r="T170" s="434" t="s">
        <v>533</v>
      </c>
      <c r="U170" s="434" t="s">
        <v>534</v>
      </c>
      <c r="V170" s="436" t="n">
        <f aca="false">AY175</f>
        <v>0</v>
      </c>
      <c r="AC170" s="427"/>
      <c r="AP170" s="427"/>
      <c r="AQ170" s="427"/>
      <c r="AR170" s="427"/>
      <c r="AS170" s="427"/>
      <c r="AT170" s="427"/>
      <c r="AU170" s="427"/>
      <c r="AV170" s="427"/>
      <c r="AW170" s="427"/>
      <c r="AX170" s="427"/>
      <c r="AY170" s="427"/>
      <c r="BC170" s="428"/>
      <c r="BG170" s="427"/>
      <c r="BH170" s="437"/>
      <c r="BJ170" s="427"/>
      <c r="BK170" s="427"/>
      <c r="BL170" s="427"/>
      <c r="BN170" s="427"/>
      <c r="BO170" s="428"/>
    </row>
    <row r="171" customFormat="false" ht="13.5" hidden="false" customHeight="false" outlineLevel="0" collapsed="false">
      <c r="A171" s="440"/>
      <c r="B171" s="435" t="str">
        <f aca="false">IF(N146&gt;0,"-","====")</f>
        <v>====</v>
      </c>
      <c r="C171" s="424"/>
      <c r="D171" s="424"/>
      <c r="E171" s="424"/>
      <c r="F171" s="424"/>
      <c r="G171" s="424"/>
      <c r="H171" s="424"/>
      <c r="I171" s="424"/>
      <c r="J171" s="424"/>
      <c r="K171" s="424"/>
      <c r="L171" s="424"/>
      <c r="M171" s="424"/>
      <c r="N171" s="424"/>
      <c r="O171" s="424"/>
      <c r="P171" s="424"/>
      <c r="Q171" s="435" t="n">
        <v>41</v>
      </c>
      <c r="R171" s="434" t="s">
        <v>535</v>
      </c>
      <c r="S171" s="424"/>
      <c r="T171" s="434" t="s">
        <v>536</v>
      </c>
      <c r="U171" s="434" t="s">
        <v>537</v>
      </c>
      <c r="V171" s="436" t="n">
        <f aca="false">AY176</f>
        <v>0</v>
      </c>
      <c r="AC171" s="427"/>
      <c r="AP171" s="427"/>
      <c r="AQ171" s="427"/>
      <c r="AR171" s="427"/>
      <c r="AS171" s="427"/>
      <c r="AT171" s="427"/>
      <c r="AU171" s="427"/>
      <c r="AV171" s="427"/>
      <c r="AW171" s="427"/>
      <c r="AX171" s="427"/>
      <c r="AY171" s="427"/>
      <c r="BC171" s="428"/>
      <c r="BG171" s="427"/>
      <c r="BH171" s="437"/>
      <c r="BJ171" s="427"/>
      <c r="BK171" s="427"/>
      <c r="BL171" s="427"/>
      <c r="BN171" s="427"/>
      <c r="BO171" s="428"/>
    </row>
    <row r="172" customFormat="false" ht="13.5" hidden="false" customHeight="false" outlineLevel="0" collapsed="false">
      <c r="A172" s="444" t="e">
        <f aca="false">B148&amp;C148&amp;D148&amp;E148&amp;F148&amp;G148&amp;H148&amp;I148&amp;J148&amp;K148&amp;L148&amp;M148&amp;O148</f>
        <v>#N/A</v>
      </c>
      <c r="B172" s="424"/>
      <c r="C172" s="424"/>
      <c r="D172" s="424"/>
      <c r="E172" s="424"/>
      <c r="F172" s="424"/>
      <c r="G172" s="424"/>
      <c r="H172" s="424"/>
      <c r="I172" s="424"/>
      <c r="J172" s="424"/>
      <c r="K172" s="424"/>
      <c r="L172" s="424"/>
      <c r="M172" s="424"/>
      <c r="N172" s="424"/>
      <c r="O172" s="424"/>
      <c r="P172" s="424"/>
      <c r="Q172" s="435" t="n">
        <v>42</v>
      </c>
      <c r="R172" s="434" t="s">
        <v>538</v>
      </c>
      <c r="S172" s="424"/>
      <c r="T172" s="434" t="s">
        <v>539</v>
      </c>
      <c r="U172" s="434" t="s">
        <v>540</v>
      </c>
      <c r="V172" s="436" t="n">
        <f aca="false">AY177</f>
        <v>0</v>
      </c>
      <c r="AC172" s="427"/>
      <c r="AP172" s="427"/>
      <c r="AQ172" s="427"/>
      <c r="AR172" s="427"/>
      <c r="AS172" s="427"/>
      <c r="AT172" s="427"/>
      <c r="AU172" s="427"/>
      <c r="AV172" s="427"/>
      <c r="AW172" s="427"/>
      <c r="AX172" s="427"/>
      <c r="AY172" s="427"/>
      <c r="BC172" s="428"/>
      <c r="BG172" s="427"/>
      <c r="BH172" s="437"/>
      <c r="BJ172" s="427"/>
      <c r="BK172" s="427"/>
      <c r="BL172" s="427"/>
      <c r="BN172" s="427"/>
      <c r="BO172" s="428"/>
    </row>
    <row r="173" customFormat="false" ht="13.5" hidden="false" customHeight="false" outlineLevel="0" collapsed="false">
      <c r="A173" s="440" t="str">
        <f aca="false">I148&amp;J148&amp;K148&amp;L148&amp;M148&amp;O148</f>
        <v>  Lima puluh ribu Rupiah </v>
      </c>
      <c r="B173" s="424"/>
      <c r="C173" s="424"/>
      <c r="D173" s="424"/>
      <c r="E173" s="424"/>
      <c r="F173" s="424"/>
      <c r="G173" s="424"/>
      <c r="H173" s="424"/>
      <c r="I173" s="424"/>
      <c r="J173" s="424"/>
      <c r="K173" s="424"/>
      <c r="L173" s="424"/>
      <c r="M173" s="424"/>
      <c r="N173" s="424"/>
      <c r="O173" s="424"/>
      <c r="P173" s="424"/>
      <c r="Q173" s="435" t="n">
        <v>43</v>
      </c>
      <c r="R173" s="434" t="s">
        <v>541</v>
      </c>
      <c r="S173" s="424"/>
      <c r="T173" s="434" t="s">
        <v>542</v>
      </c>
      <c r="U173" s="434" t="s">
        <v>543</v>
      </c>
      <c r="V173" s="436" t="n">
        <f aca="false">AY178</f>
        <v>0</v>
      </c>
      <c r="AC173" s="427"/>
      <c r="AP173" s="427"/>
      <c r="AQ173" s="427"/>
      <c r="AR173" s="427"/>
      <c r="AS173" s="427"/>
      <c r="AT173" s="427"/>
      <c r="AU173" s="427"/>
      <c r="AV173" s="427"/>
      <c r="AW173" s="427"/>
      <c r="AX173" s="427"/>
      <c r="AY173" s="427"/>
      <c r="BC173" s="428"/>
      <c r="BG173" s="427"/>
      <c r="BH173" s="437"/>
      <c r="BJ173" s="427"/>
      <c r="BK173" s="427"/>
      <c r="BL173" s="427"/>
      <c r="BN173" s="427"/>
      <c r="BO173" s="428"/>
    </row>
    <row r="174" customFormat="false" ht="13.5" hidden="false" customHeight="false" outlineLevel="0" collapsed="false">
      <c r="A174" s="440"/>
      <c r="B174" s="424"/>
      <c r="C174" s="424"/>
      <c r="D174" s="424"/>
      <c r="E174" s="424"/>
      <c r="F174" s="424"/>
      <c r="G174" s="424"/>
      <c r="H174" s="424"/>
      <c r="I174" s="424"/>
      <c r="J174" s="424"/>
      <c r="K174" s="424"/>
      <c r="L174" s="424"/>
      <c r="M174" s="424"/>
      <c r="N174" s="424"/>
      <c r="O174" s="424"/>
      <c r="P174" s="424"/>
      <c r="Q174" s="435" t="n">
        <v>44</v>
      </c>
      <c r="R174" s="434" t="s">
        <v>544</v>
      </c>
      <c r="S174" s="424"/>
      <c r="T174" s="434" t="s">
        <v>545</v>
      </c>
      <c r="U174" s="434" t="s">
        <v>546</v>
      </c>
      <c r="V174" s="436" t="n">
        <f aca="false">AY179</f>
        <v>0</v>
      </c>
      <c r="AC174" s="427"/>
      <c r="AP174" s="427"/>
      <c r="AQ174" s="427"/>
      <c r="AR174" s="427"/>
      <c r="AS174" s="427"/>
      <c r="AT174" s="427"/>
      <c r="AU174" s="427"/>
      <c r="AV174" s="427"/>
      <c r="AW174" s="427"/>
      <c r="AX174" s="427"/>
      <c r="AY174" s="427"/>
      <c r="BC174" s="428"/>
      <c r="BG174" s="427"/>
      <c r="BH174" s="437"/>
      <c r="BJ174" s="427"/>
      <c r="BK174" s="427"/>
      <c r="BL174" s="427"/>
      <c r="BN174" s="427"/>
      <c r="BO174" s="428"/>
    </row>
    <row r="175" customFormat="false" ht="13.5" hidden="false" customHeight="false" outlineLevel="0" collapsed="false">
      <c r="A175" s="440"/>
      <c r="B175" s="424"/>
      <c r="C175" s="424"/>
      <c r="D175" s="424"/>
      <c r="E175" s="424"/>
      <c r="F175" s="424"/>
      <c r="G175" s="424"/>
      <c r="H175" s="424"/>
      <c r="I175" s="424"/>
      <c r="J175" s="424"/>
      <c r="K175" s="424"/>
      <c r="L175" s="424"/>
      <c r="M175" s="424"/>
      <c r="N175" s="424"/>
      <c r="O175" s="424"/>
      <c r="P175" s="424"/>
      <c r="Q175" s="435" t="n">
        <v>45</v>
      </c>
      <c r="R175" s="434" t="s">
        <v>547</v>
      </c>
      <c r="S175" s="424"/>
      <c r="T175" s="434" t="s">
        <v>548</v>
      </c>
      <c r="U175" s="434" t="s">
        <v>549</v>
      </c>
      <c r="V175" s="436" t="n">
        <f aca="false">AY180</f>
        <v>0</v>
      </c>
      <c r="AP175" s="427"/>
      <c r="AQ175" s="427"/>
      <c r="AR175" s="427"/>
      <c r="AS175" s="427"/>
      <c r="AT175" s="427"/>
      <c r="AU175" s="427"/>
      <c r="AV175" s="427"/>
      <c r="AW175" s="427"/>
      <c r="AX175" s="427"/>
      <c r="AY175" s="427"/>
      <c r="BC175" s="428"/>
      <c r="BG175" s="427"/>
      <c r="BH175" s="437"/>
      <c r="BJ175" s="427"/>
      <c r="BK175" s="427"/>
      <c r="BL175" s="427"/>
      <c r="BN175" s="427"/>
      <c r="BO175" s="428"/>
    </row>
    <row r="176" customFormat="false" ht="13.5" hidden="false" customHeight="false" outlineLevel="0" collapsed="false">
      <c r="A176" s="440"/>
      <c r="B176" s="424"/>
      <c r="C176" s="424"/>
      <c r="D176" s="424"/>
      <c r="E176" s="424"/>
      <c r="F176" s="424"/>
      <c r="G176" s="424"/>
      <c r="H176" s="424"/>
      <c r="I176" s="424"/>
      <c r="J176" s="424"/>
      <c r="K176" s="424"/>
      <c r="L176" s="424"/>
      <c r="M176" s="424"/>
      <c r="N176" s="424"/>
      <c r="O176" s="424"/>
      <c r="P176" s="424"/>
      <c r="Q176" s="435" t="n">
        <v>46</v>
      </c>
      <c r="R176" s="434" t="s">
        <v>550</v>
      </c>
      <c r="S176" s="424"/>
      <c r="T176" s="434" t="s">
        <v>551</v>
      </c>
      <c r="U176" s="434" t="s">
        <v>552</v>
      </c>
      <c r="V176" s="436" t="n">
        <f aca="false">AY181</f>
        <v>0</v>
      </c>
      <c r="AP176" s="427"/>
      <c r="AQ176" s="427"/>
      <c r="AR176" s="427"/>
      <c r="AS176" s="427"/>
      <c r="AT176" s="427"/>
      <c r="AU176" s="427"/>
      <c r="AV176" s="427"/>
      <c r="AW176" s="427"/>
      <c r="AX176" s="427"/>
      <c r="AY176" s="427"/>
      <c r="BC176" s="428"/>
      <c r="BG176" s="427"/>
      <c r="BH176" s="437"/>
      <c r="BJ176" s="427"/>
      <c r="BK176" s="427"/>
      <c r="BL176" s="427"/>
      <c r="BN176" s="427"/>
      <c r="BO176" s="428"/>
    </row>
    <row r="177" customFormat="false" ht="13.5" hidden="false" customHeight="false" outlineLevel="0" collapsed="false">
      <c r="A177" s="440"/>
      <c r="B177" s="424"/>
      <c r="C177" s="424"/>
      <c r="D177" s="424"/>
      <c r="E177" s="424"/>
      <c r="F177" s="424"/>
      <c r="G177" s="424"/>
      <c r="H177" s="424"/>
      <c r="I177" s="424"/>
      <c r="J177" s="424"/>
      <c r="K177" s="424"/>
      <c r="L177" s="424"/>
      <c r="M177" s="424"/>
      <c r="N177" s="424"/>
      <c r="O177" s="424"/>
      <c r="P177" s="424"/>
      <c r="Q177" s="435" t="n">
        <v>47</v>
      </c>
      <c r="R177" s="434" t="s">
        <v>553</v>
      </c>
      <c r="S177" s="424"/>
      <c r="T177" s="434" t="s">
        <v>554</v>
      </c>
      <c r="U177" s="434" t="s">
        <v>555</v>
      </c>
      <c r="V177" s="436" t="n">
        <f aca="false">AY182</f>
        <v>0</v>
      </c>
      <c r="AP177" s="427"/>
      <c r="AQ177" s="427"/>
      <c r="AR177" s="427"/>
      <c r="AS177" s="427"/>
      <c r="AT177" s="427"/>
      <c r="AU177" s="427"/>
      <c r="AV177" s="427"/>
      <c r="AW177" s="427"/>
      <c r="AX177" s="427"/>
      <c r="AY177" s="427"/>
      <c r="BC177" s="428"/>
      <c r="BG177" s="427"/>
      <c r="BH177" s="437"/>
      <c r="BJ177" s="427"/>
      <c r="BK177" s="427"/>
      <c r="BL177" s="427"/>
      <c r="BN177" s="427"/>
      <c r="BO177" s="428"/>
    </row>
    <row r="178" customFormat="false" ht="13.5" hidden="false" customHeight="false" outlineLevel="0" collapsed="false">
      <c r="A178" s="424"/>
      <c r="B178" s="424"/>
      <c r="C178" s="424"/>
      <c r="D178" s="424"/>
      <c r="E178" s="424"/>
      <c r="F178" s="424"/>
      <c r="G178" s="424"/>
      <c r="H178" s="424"/>
      <c r="I178" s="424"/>
      <c r="J178" s="424"/>
      <c r="K178" s="424"/>
      <c r="L178" s="424"/>
      <c r="M178" s="424"/>
      <c r="N178" s="424"/>
      <c r="O178" s="424"/>
      <c r="P178" s="424"/>
      <c r="Q178" s="435" t="n">
        <v>48</v>
      </c>
      <c r="R178" s="434" t="s">
        <v>556</v>
      </c>
      <c r="S178" s="424"/>
      <c r="T178" s="434" t="s">
        <v>557</v>
      </c>
      <c r="U178" s="434" t="s">
        <v>558</v>
      </c>
      <c r="V178" s="436" t="n">
        <f aca="false">AY183</f>
        <v>0</v>
      </c>
      <c r="AP178" s="427"/>
      <c r="AQ178" s="427"/>
      <c r="AR178" s="427"/>
      <c r="AS178" s="427"/>
      <c r="AT178" s="427"/>
      <c r="AU178" s="427"/>
      <c r="AV178" s="427"/>
      <c r="AW178" s="427"/>
      <c r="AX178" s="427"/>
      <c r="AY178" s="427"/>
      <c r="BC178" s="428"/>
      <c r="BG178" s="427"/>
      <c r="BH178" s="437"/>
      <c r="BJ178" s="427"/>
      <c r="BK178" s="427"/>
      <c r="BL178" s="427"/>
      <c r="BN178" s="427"/>
      <c r="BO178" s="428"/>
    </row>
    <row r="179" customFormat="false" ht="13.5" hidden="false" customHeight="false" outlineLevel="0" collapsed="false">
      <c r="A179" s="424"/>
      <c r="B179" s="424"/>
      <c r="C179" s="424"/>
      <c r="D179" s="424"/>
      <c r="E179" s="424"/>
      <c r="F179" s="424"/>
      <c r="G179" s="424"/>
      <c r="H179" s="424"/>
      <c r="I179" s="424"/>
      <c r="J179" s="424"/>
      <c r="K179" s="424"/>
      <c r="L179" s="424"/>
      <c r="M179" s="424"/>
      <c r="N179" s="424"/>
      <c r="O179" s="424"/>
      <c r="P179" s="424"/>
      <c r="Q179" s="435" t="n">
        <v>49</v>
      </c>
      <c r="R179" s="434" t="s">
        <v>559</v>
      </c>
      <c r="S179" s="424"/>
      <c r="T179" s="434" t="s">
        <v>560</v>
      </c>
      <c r="U179" s="434" t="s">
        <v>561</v>
      </c>
      <c r="V179" s="436" t="n">
        <f aca="false">AY184</f>
        <v>0</v>
      </c>
      <c r="AP179" s="427"/>
      <c r="AQ179" s="427"/>
      <c r="AR179" s="427"/>
      <c r="AS179" s="427"/>
      <c r="AT179" s="427"/>
      <c r="AU179" s="427"/>
      <c r="AV179" s="427"/>
      <c r="AW179" s="427"/>
      <c r="AX179" s="427"/>
      <c r="AY179" s="427"/>
      <c r="BC179" s="428"/>
      <c r="BG179" s="427"/>
      <c r="BH179" s="437"/>
      <c r="BJ179" s="427"/>
      <c r="BK179" s="427"/>
      <c r="BL179" s="427"/>
      <c r="BN179" s="427"/>
      <c r="BO179" s="428"/>
    </row>
    <row r="180" customFormat="false" ht="13.5" hidden="false" customHeight="false" outlineLevel="0" collapsed="false">
      <c r="A180" s="424"/>
      <c r="B180" s="424"/>
      <c r="C180" s="424"/>
      <c r="D180" s="424"/>
      <c r="E180" s="424"/>
      <c r="F180" s="424"/>
      <c r="G180" s="424"/>
      <c r="H180" s="424"/>
      <c r="I180" s="424"/>
      <c r="J180" s="424"/>
      <c r="K180" s="424"/>
      <c r="L180" s="424"/>
      <c r="M180" s="424"/>
      <c r="N180" s="424"/>
      <c r="O180" s="424"/>
      <c r="P180" s="424"/>
      <c r="Q180" s="435" t="n">
        <v>50</v>
      </c>
      <c r="R180" s="434" t="s">
        <v>562</v>
      </c>
      <c r="S180" s="424"/>
      <c r="T180" s="434" t="s">
        <v>563</v>
      </c>
      <c r="U180" s="434" t="s">
        <v>564</v>
      </c>
      <c r="V180" s="436" t="n">
        <f aca="false">AY185</f>
        <v>0</v>
      </c>
      <c r="AP180" s="427"/>
      <c r="AQ180" s="427"/>
      <c r="AR180" s="427"/>
      <c r="AS180" s="427"/>
      <c r="AT180" s="427"/>
      <c r="AU180" s="427"/>
      <c r="AV180" s="427"/>
      <c r="AW180" s="427"/>
      <c r="AX180" s="427"/>
      <c r="AY180" s="427"/>
      <c r="BC180" s="428"/>
      <c r="BG180" s="427"/>
      <c r="BH180" s="437"/>
      <c r="BJ180" s="427"/>
      <c r="BK180" s="427"/>
      <c r="BL180" s="427"/>
      <c r="BN180" s="427"/>
      <c r="BO180" s="428"/>
    </row>
    <row r="181" customFormat="false" ht="13.5" hidden="false" customHeight="false" outlineLevel="0" collapsed="false">
      <c r="A181" s="424"/>
      <c r="B181" s="424"/>
      <c r="C181" s="424"/>
      <c r="D181" s="424"/>
      <c r="E181" s="424"/>
      <c r="F181" s="424"/>
      <c r="G181" s="424"/>
      <c r="H181" s="424"/>
      <c r="I181" s="424"/>
      <c r="J181" s="424"/>
      <c r="K181" s="424"/>
      <c r="L181" s="424"/>
      <c r="M181" s="424"/>
      <c r="N181" s="424"/>
      <c r="O181" s="424"/>
      <c r="P181" s="424"/>
      <c r="Q181" s="435" t="n">
        <v>51</v>
      </c>
      <c r="R181" s="434" t="s">
        <v>565</v>
      </c>
      <c r="S181" s="424"/>
      <c r="T181" s="434" t="s">
        <v>566</v>
      </c>
      <c r="U181" s="434" t="s">
        <v>567</v>
      </c>
      <c r="V181" s="436" t="n">
        <f aca="false">AY186</f>
        <v>0</v>
      </c>
      <c r="AP181" s="427"/>
      <c r="AQ181" s="427"/>
      <c r="AR181" s="427"/>
      <c r="AS181" s="427"/>
      <c r="AT181" s="427"/>
      <c r="AU181" s="427"/>
      <c r="AV181" s="427"/>
      <c r="AW181" s="427"/>
      <c r="AX181" s="427"/>
      <c r="AY181" s="427"/>
      <c r="BC181" s="428"/>
      <c r="BG181" s="427"/>
      <c r="BH181" s="437"/>
      <c r="BJ181" s="427"/>
      <c r="BK181" s="427"/>
      <c r="BL181" s="427"/>
      <c r="BN181" s="427"/>
      <c r="BO181" s="428"/>
    </row>
    <row r="182" customFormat="false" ht="13.5" hidden="false" customHeight="false" outlineLevel="0" collapsed="false">
      <c r="A182" s="424"/>
      <c r="B182" s="424"/>
      <c r="C182" s="424"/>
      <c r="D182" s="424"/>
      <c r="E182" s="424"/>
      <c r="F182" s="424"/>
      <c r="G182" s="424"/>
      <c r="H182" s="424"/>
      <c r="I182" s="424"/>
      <c r="J182" s="424"/>
      <c r="K182" s="424"/>
      <c r="L182" s="424"/>
      <c r="M182" s="424"/>
      <c r="N182" s="424"/>
      <c r="O182" s="424"/>
      <c r="P182" s="424"/>
      <c r="Q182" s="435" t="n">
        <v>52</v>
      </c>
      <c r="R182" s="434" t="s">
        <v>568</v>
      </c>
      <c r="S182" s="424"/>
      <c r="T182" s="434" t="s">
        <v>569</v>
      </c>
      <c r="U182" s="434" t="s">
        <v>570</v>
      </c>
      <c r="V182" s="436" t="n">
        <f aca="false">AY187</f>
        <v>0</v>
      </c>
      <c r="AP182" s="427"/>
      <c r="AQ182" s="427"/>
      <c r="AR182" s="427"/>
      <c r="AS182" s="427"/>
      <c r="AT182" s="427"/>
      <c r="AU182" s="427"/>
      <c r="AV182" s="427"/>
      <c r="AW182" s="427"/>
      <c r="AX182" s="427"/>
      <c r="BC182" s="428"/>
      <c r="BH182" s="437"/>
      <c r="BN182" s="427"/>
      <c r="BO182" s="428"/>
    </row>
    <row r="183" customFormat="false" ht="13.5" hidden="false" customHeight="false" outlineLevel="0" collapsed="false">
      <c r="A183" s="424"/>
      <c r="B183" s="424"/>
      <c r="C183" s="424"/>
      <c r="D183" s="424"/>
      <c r="E183" s="424"/>
      <c r="F183" s="424"/>
      <c r="G183" s="424"/>
      <c r="H183" s="424"/>
      <c r="I183" s="424"/>
      <c r="J183" s="424"/>
      <c r="K183" s="424"/>
      <c r="L183" s="424"/>
      <c r="M183" s="424"/>
      <c r="N183" s="424"/>
      <c r="O183" s="424"/>
      <c r="P183" s="424"/>
      <c r="Q183" s="435" t="n">
        <v>53</v>
      </c>
      <c r="R183" s="434" t="s">
        <v>571</v>
      </c>
      <c r="S183" s="424"/>
      <c r="T183" s="434" t="s">
        <v>572</v>
      </c>
      <c r="U183" s="434" t="s">
        <v>573</v>
      </c>
      <c r="V183" s="436" t="n">
        <f aca="false">AY188</f>
        <v>0</v>
      </c>
      <c r="AP183" s="427"/>
      <c r="AQ183" s="427"/>
      <c r="AR183" s="427"/>
      <c r="AS183" s="427"/>
      <c r="AT183" s="427"/>
      <c r="AU183" s="427"/>
      <c r="AV183" s="427"/>
      <c r="AW183" s="427"/>
      <c r="AX183" s="427"/>
      <c r="BC183" s="428"/>
      <c r="BH183" s="437"/>
      <c r="BN183" s="427"/>
      <c r="BO183" s="428"/>
    </row>
    <row r="184" customFormat="false" ht="13.5" hidden="false" customHeight="false" outlineLevel="0" collapsed="false">
      <c r="A184" s="424"/>
      <c r="B184" s="424"/>
      <c r="C184" s="424"/>
      <c r="D184" s="424"/>
      <c r="E184" s="424"/>
      <c r="F184" s="424"/>
      <c r="G184" s="424"/>
      <c r="H184" s="424"/>
      <c r="I184" s="424"/>
      <c r="J184" s="424"/>
      <c r="K184" s="424"/>
      <c r="L184" s="424"/>
      <c r="M184" s="424"/>
      <c r="N184" s="424"/>
      <c r="O184" s="424"/>
      <c r="P184" s="424"/>
      <c r="Q184" s="435" t="n">
        <v>54</v>
      </c>
      <c r="R184" s="434" t="s">
        <v>574</v>
      </c>
      <c r="S184" s="424"/>
      <c r="T184" s="434" t="s">
        <v>575</v>
      </c>
      <c r="U184" s="434" t="s">
        <v>576</v>
      </c>
      <c r="V184" s="436" t="n">
        <f aca="false">AY189</f>
        <v>0</v>
      </c>
      <c r="AP184" s="427"/>
      <c r="AQ184" s="427"/>
      <c r="AR184" s="427"/>
      <c r="AS184" s="427"/>
      <c r="AT184" s="427"/>
      <c r="AU184" s="427"/>
      <c r="AV184" s="427"/>
      <c r="AW184" s="427"/>
      <c r="AX184" s="427"/>
      <c r="BC184" s="428"/>
      <c r="BH184" s="437"/>
      <c r="BN184" s="427"/>
      <c r="BO184" s="428"/>
    </row>
    <row r="185" customFormat="false" ht="13.5" hidden="false" customHeight="false" outlineLevel="0" collapsed="false">
      <c r="A185" s="424"/>
      <c r="B185" s="424"/>
      <c r="C185" s="424"/>
      <c r="D185" s="424"/>
      <c r="E185" s="424"/>
      <c r="F185" s="424"/>
      <c r="G185" s="424"/>
      <c r="H185" s="424"/>
      <c r="I185" s="424"/>
      <c r="J185" s="424"/>
      <c r="K185" s="424"/>
      <c r="L185" s="424"/>
      <c r="M185" s="424"/>
      <c r="N185" s="424"/>
      <c r="O185" s="424"/>
      <c r="P185" s="424"/>
      <c r="Q185" s="435" t="n">
        <v>55</v>
      </c>
      <c r="R185" s="434" t="s">
        <v>577</v>
      </c>
      <c r="S185" s="424"/>
      <c r="T185" s="434" t="s">
        <v>578</v>
      </c>
      <c r="U185" s="434" t="s">
        <v>579</v>
      </c>
      <c r="V185" s="436" t="n">
        <f aca="false">AY190</f>
        <v>0</v>
      </c>
      <c r="AP185" s="427"/>
      <c r="AQ185" s="427"/>
      <c r="AR185" s="427"/>
      <c r="AS185" s="427"/>
      <c r="AT185" s="427"/>
      <c r="AU185" s="427"/>
      <c r="AV185" s="427"/>
      <c r="AW185" s="427"/>
      <c r="AX185" s="427"/>
      <c r="BC185" s="428"/>
      <c r="BH185" s="437"/>
      <c r="BN185" s="427"/>
      <c r="BO185" s="428"/>
    </row>
    <row r="186" customFormat="false" ht="13.5" hidden="false" customHeight="false" outlineLevel="0" collapsed="false">
      <c r="A186" s="424"/>
      <c r="B186" s="424"/>
      <c r="C186" s="424"/>
      <c r="D186" s="424"/>
      <c r="E186" s="424"/>
      <c r="F186" s="424"/>
      <c r="G186" s="424"/>
      <c r="H186" s="424"/>
      <c r="I186" s="424"/>
      <c r="J186" s="424"/>
      <c r="K186" s="424"/>
      <c r="L186" s="424"/>
      <c r="M186" s="424"/>
      <c r="N186" s="424"/>
      <c r="O186" s="424"/>
      <c r="P186" s="424"/>
      <c r="Q186" s="435" t="n">
        <v>56</v>
      </c>
      <c r="R186" s="434" t="s">
        <v>580</v>
      </c>
      <c r="S186" s="424"/>
      <c r="T186" s="434" t="s">
        <v>581</v>
      </c>
      <c r="U186" s="434" t="s">
        <v>582</v>
      </c>
      <c r="V186" s="436" t="n">
        <f aca="false">AY191</f>
        <v>0</v>
      </c>
      <c r="AP186" s="427"/>
      <c r="AQ186" s="427"/>
      <c r="AR186" s="427"/>
      <c r="AS186" s="427"/>
      <c r="AT186" s="427"/>
      <c r="AU186" s="427"/>
      <c r="AV186" s="427"/>
      <c r="AW186" s="427"/>
      <c r="AX186" s="427"/>
      <c r="BC186" s="428"/>
      <c r="BH186" s="437"/>
      <c r="BN186" s="427"/>
      <c r="BO186" s="428"/>
    </row>
    <row r="187" customFormat="false" ht="13.5" hidden="false" customHeight="false" outlineLevel="0" collapsed="false">
      <c r="A187" s="424"/>
      <c r="B187" s="424"/>
      <c r="C187" s="424"/>
      <c r="D187" s="424"/>
      <c r="E187" s="424"/>
      <c r="F187" s="424"/>
      <c r="G187" s="424"/>
      <c r="H187" s="424"/>
      <c r="I187" s="424"/>
      <c r="J187" s="424"/>
      <c r="K187" s="424"/>
      <c r="L187" s="424"/>
      <c r="M187" s="424"/>
      <c r="N187" s="424"/>
      <c r="O187" s="424"/>
      <c r="P187" s="424"/>
      <c r="Q187" s="435" t="n">
        <v>57</v>
      </c>
      <c r="R187" s="434" t="s">
        <v>583</v>
      </c>
      <c r="S187" s="424"/>
      <c r="T187" s="434" t="s">
        <v>584</v>
      </c>
      <c r="U187" s="434" t="s">
        <v>585</v>
      </c>
      <c r="V187" s="436" t="n">
        <f aca="false">AY192</f>
        <v>0</v>
      </c>
      <c r="AP187" s="427"/>
      <c r="AQ187" s="427"/>
      <c r="AR187" s="427"/>
      <c r="AS187" s="427"/>
      <c r="AT187" s="427"/>
      <c r="AU187" s="427"/>
      <c r="AV187" s="427"/>
      <c r="AW187" s="427"/>
      <c r="AX187" s="427"/>
      <c r="BC187" s="428"/>
      <c r="BH187" s="437"/>
      <c r="BN187" s="427"/>
      <c r="BO187" s="428"/>
    </row>
    <row r="188" customFormat="false" ht="13.5" hidden="false" customHeight="false" outlineLevel="0" collapsed="false">
      <c r="A188" s="424"/>
      <c r="B188" s="424"/>
      <c r="C188" s="424"/>
      <c r="D188" s="424"/>
      <c r="E188" s="424"/>
      <c r="F188" s="424"/>
      <c r="G188" s="424"/>
      <c r="H188" s="424"/>
      <c r="I188" s="424"/>
      <c r="J188" s="424"/>
      <c r="K188" s="424"/>
      <c r="L188" s="424"/>
      <c r="M188" s="424"/>
      <c r="N188" s="424"/>
      <c r="O188" s="424"/>
      <c r="P188" s="424"/>
      <c r="Q188" s="435" t="n">
        <v>58</v>
      </c>
      <c r="R188" s="434" t="s">
        <v>586</v>
      </c>
      <c r="S188" s="424"/>
      <c r="T188" s="434" t="s">
        <v>587</v>
      </c>
      <c r="U188" s="434" t="s">
        <v>588</v>
      </c>
      <c r="V188" s="436" t="n">
        <f aca="false">AY193</f>
        <v>0</v>
      </c>
      <c r="AP188" s="427"/>
      <c r="AQ188" s="427"/>
      <c r="AR188" s="427"/>
      <c r="AS188" s="427"/>
      <c r="AT188" s="427"/>
      <c r="AU188" s="427"/>
      <c r="AV188" s="427"/>
      <c r="AW188" s="427"/>
      <c r="AX188" s="427"/>
      <c r="BC188" s="428"/>
      <c r="BH188" s="437"/>
      <c r="BN188" s="427"/>
      <c r="BO188" s="428"/>
    </row>
    <row r="189" customFormat="false" ht="13.5" hidden="false" customHeight="false" outlineLevel="0" collapsed="false">
      <c r="A189" s="424"/>
      <c r="B189" s="424"/>
      <c r="C189" s="424"/>
      <c r="D189" s="424"/>
      <c r="E189" s="424"/>
      <c r="F189" s="424"/>
      <c r="G189" s="424"/>
      <c r="H189" s="424"/>
      <c r="I189" s="424"/>
      <c r="J189" s="424"/>
      <c r="K189" s="424"/>
      <c r="L189" s="424"/>
      <c r="M189" s="424"/>
      <c r="N189" s="424"/>
      <c r="O189" s="424"/>
      <c r="P189" s="424"/>
      <c r="Q189" s="435" t="n">
        <v>59</v>
      </c>
      <c r="R189" s="434" t="s">
        <v>589</v>
      </c>
      <c r="S189" s="424"/>
      <c r="T189" s="434" t="s">
        <v>590</v>
      </c>
      <c r="U189" s="434" t="s">
        <v>591</v>
      </c>
      <c r="V189" s="436" t="n">
        <f aca="false">AY194</f>
        <v>0</v>
      </c>
      <c r="AP189" s="427"/>
      <c r="AQ189" s="427"/>
      <c r="AR189" s="427"/>
      <c r="AS189" s="427"/>
      <c r="AT189" s="427"/>
      <c r="AU189" s="427"/>
      <c r="AV189" s="427"/>
      <c r="AW189" s="427"/>
      <c r="AX189" s="427"/>
      <c r="BC189" s="428"/>
      <c r="BH189" s="437"/>
      <c r="BN189" s="427"/>
      <c r="BO189" s="428"/>
    </row>
    <row r="190" customFormat="false" ht="13.5" hidden="false" customHeight="false" outlineLevel="0" collapsed="false">
      <c r="A190" s="424"/>
      <c r="B190" s="424"/>
      <c r="C190" s="424"/>
      <c r="D190" s="424"/>
      <c r="E190" s="424"/>
      <c r="F190" s="424"/>
      <c r="G190" s="424"/>
      <c r="H190" s="424"/>
      <c r="I190" s="424"/>
      <c r="J190" s="424"/>
      <c r="K190" s="424"/>
      <c r="L190" s="424"/>
      <c r="M190" s="424"/>
      <c r="N190" s="424"/>
      <c r="O190" s="424"/>
      <c r="P190" s="424"/>
      <c r="Q190" s="435" t="n">
        <v>60</v>
      </c>
      <c r="R190" s="434" t="s">
        <v>592</v>
      </c>
      <c r="S190" s="424"/>
      <c r="T190" s="434" t="s">
        <v>593</v>
      </c>
      <c r="U190" s="434" t="s">
        <v>594</v>
      </c>
      <c r="V190" s="436" t="n">
        <f aca="false">AY195</f>
        <v>0</v>
      </c>
      <c r="AP190" s="427"/>
      <c r="AQ190" s="427"/>
      <c r="AR190" s="427"/>
      <c r="AS190" s="427"/>
      <c r="AT190" s="427"/>
      <c r="AU190" s="427"/>
      <c r="AV190" s="427"/>
      <c r="AW190" s="427"/>
      <c r="AX190" s="427"/>
      <c r="BC190" s="428"/>
      <c r="BH190" s="437"/>
      <c r="BN190" s="427"/>
      <c r="BO190" s="428"/>
    </row>
    <row r="191" customFormat="false" ht="13.5" hidden="false" customHeight="false" outlineLevel="0" collapsed="false">
      <c r="A191" s="424"/>
      <c r="B191" s="424"/>
      <c r="C191" s="424"/>
      <c r="D191" s="424"/>
      <c r="E191" s="424"/>
      <c r="F191" s="424"/>
      <c r="G191" s="424"/>
      <c r="H191" s="424"/>
      <c r="I191" s="424"/>
      <c r="J191" s="424"/>
      <c r="K191" s="424"/>
      <c r="L191" s="424"/>
      <c r="M191" s="424"/>
      <c r="N191" s="424"/>
      <c r="O191" s="424"/>
      <c r="P191" s="424"/>
      <c r="Q191" s="435" t="n">
        <v>61</v>
      </c>
      <c r="R191" s="434" t="s">
        <v>595</v>
      </c>
      <c r="S191" s="424"/>
      <c r="T191" s="434" t="s">
        <v>596</v>
      </c>
      <c r="U191" s="434" t="s">
        <v>597</v>
      </c>
      <c r="V191" s="436" t="n">
        <f aca="false">AY196</f>
        <v>0</v>
      </c>
      <c r="AP191" s="427"/>
      <c r="AQ191" s="427"/>
      <c r="AR191" s="427"/>
      <c r="AS191" s="427"/>
      <c r="AT191" s="427"/>
      <c r="AU191" s="427"/>
      <c r="AV191" s="427"/>
      <c r="AW191" s="427"/>
      <c r="AX191" s="427"/>
      <c r="BC191" s="428"/>
      <c r="BH191" s="437"/>
      <c r="BN191" s="427"/>
      <c r="BO191" s="428"/>
    </row>
    <row r="192" customFormat="false" ht="13.5" hidden="false" customHeight="false" outlineLevel="0" collapsed="false">
      <c r="A192" s="424"/>
      <c r="B192" s="424"/>
      <c r="C192" s="424"/>
      <c r="D192" s="424"/>
      <c r="E192" s="424"/>
      <c r="F192" s="424"/>
      <c r="G192" s="424"/>
      <c r="H192" s="424"/>
      <c r="I192" s="424"/>
      <c r="J192" s="424"/>
      <c r="K192" s="424"/>
      <c r="L192" s="424"/>
      <c r="M192" s="424"/>
      <c r="N192" s="424"/>
      <c r="O192" s="424"/>
      <c r="P192" s="424"/>
      <c r="Q192" s="435" t="n">
        <v>62</v>
      </c>
      <c r="R192" s="434" t="s">
        <v>598</v>
      </c>
      <c r="S192" s="424"/>
      <c r="T192" s="434" t="s">
        <v>599</v>
      </c>
      <c r="U192" s="434" t="s">
        <v>600</v>
      </c>
      <c r="V192" s="436" t="n">
        <f aca="false">AY197</f>
        <v>0</v>
      </c>
      <c r="AP192" s="427"/>
      <c r="AQ192" s="427"/>
      <c r="AR192" s="427"/>
      <c r="AS192" s="427"/>
      <c r="AT192" s="427"/>
      <c r="AU192" s="427"/>
      <c r="AV192" s="427"/>
      <c r="AW192" s="427"/>
      <c r="AX192" s="427"/>
      <c r="BC192" s="428"/>
      <c r="BH192" s="437"/>
      <c r="BN192" s="427"/>
      <c r="BO192" s="428"/>
    </row>
    <row r="193" customFormat="false" ht="13.5" hidden="false" customHeight="false" outlineLevel="0" collapsed="false">
      <c r="A193" s="424"/>
      <c r="B193" s="424"/>
      <c r="C193" s="424"/>
      <c r="D193" s="424"/>
      <c r="E193" s="424"/>
      <c r="F193" s="424"/>
      <c r="G193" s="424"/>
      <c r="H193" s="424"/>
      <c r="I193" s="424"/>
      <c r="J193" s="424"/>
      <c r="K193" s="424"/>
      <c r="L193" s="424"/>
      <c r="M193" s="424"/>
      <c r="N193" s="424"/>
      <c r="O193" s="424"/>
      <c r="P193" s="424"/>
      <c r="Q193" s="435" t="n">
        <v>63</v>
      </c>
      <c r="R193" s="434" t="s">
        <v>601</v>
      </c>
      <c r="S193" s="424"/>
      <c r="T193" s="434" t="s">
        <v>602</v>
      </c>
      <c r="U193" s="434" t="s">
        <v>603</v>
      </c>
      <c r="V193" s="436" t="n">
        <f aca="false">AY198</f>
        <v>0</v>
      </c>
      <c r="AP193" s="427"/>
      <c r="AQ193" s="427"/>
      <c r="AR193" s="427"/>
      <c r="AS193" s="427"/>
      <c r="AT193" s="427"/>
      <c r="AU193" s="427"/>
      <c r="AV193" s="427"/>
      <c r="AW193" s="427"/>
      <c r="AX193" s="427"/>
      <c r="BC193" s="428"/>
      <c r="BH193" s="437"/>
      <c r="BN193" s="427"/>
      <c r="BO193" s="428"/>
    </row>
    <row r="194" customFormat="false" ht="13.5" hidden="false" customHeight="false" outlineLevel="0" collapsed="false">
      <c r="A194" s="424"/>
      <c r="B194" s="424"/>
      <c r="C194" s="424"/>
      <c r="D194" s="424"/>
      <c r="E194" s="424"/>
      <c r="F194" s="424"/>
      <c r="G194" s="424"/>
      <c r="H194" s="424"/>
      <c r="I194" s="424"/>
      <c r="J194" s="424"/>
      <c r="K194" s="424"/>
      <c r="L194" s="424"/>
      <c r="M194" s="424"/>
      <c r="N194" s="424"/>
      <c r="O194" s="424"/>
      <c r="P194" s="424"/>
      <c r="Q194" s="435" t="n">
        <v>64</v>
      </c>
      <c r="R194" s="434" t="s">
        <v>604</v>
      </c>
      <c r="S194" s="424"/>
      <c r="T194" s="434" t="s">
        <v>605</v>
      </c>
      <c r="U194" s="434" t="s">
        <v>606</v>
      </c>
      <c r="V194" s="436" t="n">
        <f aca="false">AY199</f>
        <v>0</v>
      </c>
      <c r="AP194" s="427"/>
      <c r="AQ194" s="427"/>
      <c r="AR194" s="427"/>
      <c r="AS194" s="427"/>
      <c r="AT194" s="427"/>
      <c r="AU194" s="427"/>
      <c r="AV194" s="427"/>
      <c r="AW194" s="427"/>
      <c r="AX194" s="427"/>
      <c r="BC194" s="428"/>
      <c r="BH194" s="437"/>
      <c r="BN194" s="427"/>
      <c r="BO194" s="428"/>
    </row>
    <row r="195" customFormat="false" ht="13.5" hidden="false" customHeight="false" outlineLevel="0" collapsed="false">
      <c r="A195" s="424"/>
      <c r="B195" s="424"/>
      <c r="C195" s="424"/>
      <c r="D195" s="424"/>
      <c r="E195" s="424"/>
      <c r="F195" s="424"/>
      <c r="G195" s="424"/>
      <c r="H195" s="424"/>
      <c r="I195" s="424"/>
      <c r="J195" s="424"/>
      <c r="K195" s="424"/>
      <c r="L195" s="424"/>
      <c r="M195" s="424"/>
      <c r="N195" s="424"/>
      <c r="O195" s="424"/>
      <c r="P195" s="424"/>
      <c r="Q195" s="435" t="n">
        <v>65</v>
      </c>
      <c r="R195" s="434" t="s">
        <v>607</v>
      </c>
      <c r="S195" s="424"/>
      <c r="T195" s="434" t="s">
        <v>608</v>
      </c>
      <c r="U195" s="434" t="s">
        <v>609</v>
      </c>
      <c r="V195" s="436" t="n">
        <f aca="false">AY200</f>
        <v>0</v>
      </c>
      <c r="AP195" s="427"/>
      <c r="AQ195" s="427"/>
      <c r="AR195" s="427"/>
      <c r="AS195" s="427"/>
      <c r="AT195" s="427"/>
      <c r="AU195" s="427"/>
      <c r="AV195" s="427"/>
      <c r="AW195" s="427"/>
      <c r="AX195" s="427"/>
      <c r="BC195" s="428"/>
      <c r="BH195" s="437"/>
      <c r="BN195" s="427"/>
      <c r="BO195" s="428"/>
    </row>
    <row r="196" customFormat="false" ht="13.5" hidden="false" customHeight="false" outlineLevel="0" collapsed="false">
      <c r="A196" s="424"/>
      <c r="B196" s="424"/>
      <c r="C196" s="424"/>
      <c r="D196" s="424"/>
      <c r="E196" s="424"/>
      <c r="F196" s="424"/>
      <c r="G196" s="424"/>
      <c r="H196" s="424"/>
      <c r="I196" s="424"/>
      <c r="J196" s="424"/>
      <c r="K196" s="424"/>
      <c r="L196" s="424"/>
      <c r="M196" s="424"/>
      <c r="N196" s="424"/>
      <c r="O196" s="424"/>
      <c r="P196" s="424"/>
      <c r="Q196" s="435" t="n">
        <v>66</v>
      </c>
      <c r="R196" s="434" t="s">
        <v>610</v>
      </c>
      <c r="S196" s="424"/>
      <c r="T196" s="434" t="s">
        <v>611</v>
      </c>
      <c r="U196" s="434" t="s">
        <v>612</v>
      </c>
      <c r="V196" s="436" t="n">
        <f aca="false">AY201</f>
        <v>0</v>
      </c>
      <c r="AP196" s="427"/>
      <c r="AQ196" s="427"/>
      <c r="AR196" s="427"/>
      <c r="AS196" s="427"/>
      <c r="AT196" s="427"/>
      <c r="AU196" s="427"/>
      <c r="AV196" s="427"/>
      <c r="AW196" s="427"/>
      <c r="AX196" s="427"/>
      <c r="BC196" s="428"/>
      <c r="BH196" s="437"/>
      <c r="BN196" s="427"/>
      <c r="BO196" s="428"/>
    </row>
    <row r="197" customFormat="false" ht="13.5" hidden="false" customHeight="false" outlineLevel="0" collapsed="false">
      <c r="A197" s="424"/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  <c r="M197" s="424"/>
      <c r="N197" s="424"/>
      <c r="O197" s="424"/>
      <c r="P197" s="424"/>
      <c r="Q197" s="435" t="n">
        <v>67</v>
      </c>
      <c r="R197" s="434" t="s">
        <v>613</v>
      </c>
      <c r="S197" s="424"/>
      <c r="T197" s="434" t="s">
        <v>614</v>
      </c>
      <c r="U197" s="434" t="s">
        <v>615</v>
      </c>
      <c r="V197" s="436" t="n">
        <f aca="false">AY202</f>
        <v>0</v>
      </c>
      <c r="AP197" s="427"/>
      <c r="AQ197" s="427"/>
      <c r="AR197" s="427"/>
      <c r="AS197" s="427"/>
      <c r="AT197" s="427"/>
      <c r="AU197" s="427"/>
      <c r="AV197" s="427"/>
      <c r="AW197" s="427"/>
      <c r="AX197" s="427"/>
      <c r="BC197" s="428"/>
      <c r="BH197" s="437"/>
      <c r="BN197" s="427"/>
      <c r="BO197" s="428"/>
    </row>
    <row r="198" customFormat="false" ht="13.5" hidden="false" customHeight="false" outlineLevel="0" collapsed="false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24"/>
      <c r="Q198" s="435" t="n">
        <v>68</v>
      </c>
      <c r="R198" s="434" t="s">
        <v>616</v>
      </c>
      <c r="S198" s="424"/>
      <c r="T198" s="434" t="s">
        <v>617</v>
      </c>
      <c r="U198" s="434" t="s">
        <v>618</v>
      </c>
      <c r="V198" s="436" t="n">
        <f aca="false">AY203</f>
        <v>0</v>
      </c>
      <c r="AP198" s="427"/>
      <c r="AQ198" s="427"/>
      <c r="AR198" s="427"/>
      <c r="AS198" s="427"/>
      <c r="AT198" s="427"/>
      <c r="AU198" s="427"/>
      <c r="AV198" s="427"/>
      <c r="AW198" s="427"/>
      <c r="AX198" s="427"/>
      <c r="BC198" s="428"/>
      <c r="BH198" s="437"/>
      <c r="BN198" s="427"/>
      <c r="BO198" s="428"/>
    </row>
    <row r="199" customFormat="false" ht="13.5" hidden="false" customHeight="false" outlineLevel="0" collapsed="false">
      <c r="A199" s="424"/>
      <c r="B199" s="424"/>
      <c r="C199" s="424"/>
      <c r="D199" s="424"/>
      <c r="E199" s="424"/>
      <c r="F199" s="424"/>
      <c r="G199" s="424"/>
      <c r="H199" s="424"/>
      <c r="I199" s="424"/>
      <c r="J199" s="424"/>
      <c r="K199" s="424"/>
      <c r="L199" s="424"/>
      <c r="M199" s="424"/>
      <c r="N199" s="424"/>
      <c r="O199" s="424"/>
      <c r="P199" s="424"/>
      <c r="Q199" s="435" t="n">
        <v>69</v>
      </c>
      <c r="R199" s="434" t="s">
        <v>619</v>
      </c>
      <c r="S199" s="424"/>
      <c r="T199" s="434" t="s">
        <v>620</v>
      </c>
      <c r="U199" s="434" t="s">
        <v>621</v>
      </c>
      <c r="V199" s="436" t="n">
        <f aca="false">AY204</f>
        <v>0</v>
      </c>
      <c r="AP199" s="427"/>
      <c r="AQ199" s="427"/>
      <c r="AR199" s="427"/>
      <c r="AS199" s="427"/>
      <c r="AT199" s="427"/>
      <c r="AU199" s="427"/>
      <c r="AV199" s="427"/>
      <c r="AW199" s="427"/>
      <c r="AX199" s="427"/>
      <c r="BC199" s="428"/>
      <c r="BH199" s="437"/>
      <c r="BN199" s="427"/>
      <c r="BO199" s="428"/>
    </row>
    <row r="200" customFormat="false" ht="13.5" hidden="false" customHeight="false" outlineLevel="0" collapsed="false">
      <c r="A200" s="424"/>
      <c r="B200" s="424"/>
      <c r="C200" s="424"/>
      <c r="D200" s="424"/>
      <c r="E200" s="424"/>
      <c r="F200" s="424"/>
      <c r="G200" s="424"/>
      <c r="H200" s="424"/>
      <c r="I200" s="424"/>
      <c r="J200" s="424"/>
      <c r="K200" s="424"/>
      <c r="L200" s="424"/>
      <c r="M200" s="424"/>
      <c r="N200" s="424"/>
      <c r="O200" s="424"/>
      <c r="P200" s="424"/>
      <c r="Q200" s="435" t="n">
        <v>70</v>
      </c>
      <c r="R200" s="434" t="s">
        <v>622</v>
      </c>
      <c r="S200" s="424"/>
      <c r="T200" s="434" t="s">
        <v>623</v>
      </c>
      <c r="U200" s="434" t="s">
        <v>624</v>
      </c>
      <c r="V200" s="436" t="n">
        <f aca="false">AY205</f>
        <v>0</v>
      </c>
      <c r="AP200" s="427"/>
      <c r="AQ200" s="427"/>
      <c r="AR200" s="427"/>
      <c r="AS200" s="427"/>
      <c r="AT200" s="427"/>
      <c r="AU200" s="427"/>
      <c r="AV200" s="427"/>
      <c r="AW200" s="427"/>
      <c r="AX200" s="427"/>
      <c r="BC200" s="428"/>
      <c r="BH200" s="437"/>
      <c r="BN200" s="427"/>
      <c r="BO200" s="428"/>
    </row>
    <row r="201" customFormat="false" ht="13.5" hidden="false" customHeight="false" outlineLevel="0" collapsed="false">
      <c r="A201" s="424"/>
      <c r="B201" s="424"/>
      <c r="C201" s="424"/>
      <c r="D201" s="424"/>
      <c r="E201" s="424"/>
      <c r="F201" s="424"/>
      <c r="G201" s="424"/>
      <c r="H201" s="424"/>
      <c r="I201" s="424"/>
      <c r="J201" s="424"/>
      <c r="K201" s="424"/>
      <c r="L201" s="424"/>
      <c r="M201" s="424"/>
      <c r="N201" s="424"/>
      <c r="O201" s="424"/>
      <c r="P201" s="424"/>
      <c r="Q201" s="435" t="n">
        <v>71</v>
      </c>
      <c r="R201" s="434" t="s">
        <v>625</v>
      </c>
      <c r="S201" s="424"/>
      <c r="T201" s="434" t="s">
        <v>626</v>
      </c>
      <c r="U201" s="434" t="s">
        <v>627</v>
      </c>
      <c r="V201" s="436" t="n">
        <f aca="false">AY206</f>
        <v>0</v>
      </c>
      <c r="AP201" s="427"/>
      <c r="AQ201" s="427"/>
      <c r="AR201" s="427"/>
      <c r="AS201" s="427"/>
      <c r="AT201" s="427"/>
      <c r="AU201" s="427"/>
      <c r="AV201" s="427"/>
      <c r="AW201" s="427"/>
      <c r="AX201" s="427"/>
      <c r="BC201" s="428"/>
      <c r="BH201" s="437"/>
      <c r="BN201" s="427"/>
      <c r="BO201" s="428"/>
    </row>
    <row r="202" customFormat="false" ht="13.5" hidden="false" customHeight="false" outlineLevel="0" collapsed="false">
      <c r="A202" s="424"/>
      <c r="B202" s="424"/>
      <c r="C202" s="424"/>
      <c r="D202" s="424"/>
      <c r="E202" s="424"/>
      <c r="F202" s="424"/>
      <c r="G202" s="424"/>
      <c r="H202" s="424"/>
      <c r="I202" s="424"/>
      <c r="J202" s="424"/>
      <c r="K202" s="424"/>
      <c r="L202" s="424"/>
      <c r="M202" s="424"/>
      <c r="N202" s="424"/>
      <c r="O202" s="424"/>
      <c r="P202" s="424"/>
      <c r="Q202" s="435" t="n">
        <v>72</v>
      </c>
      <c r="R202" s="434" t="s">
        <v>628</v>
      </c>
      <c r="S202" s="424"/>
      <c r="T202" s="434" t="s">
        <v>629</v>
      </c>
      <c r="U202" s="434" t="s">
        <v>630</v>
      </c>
      <c r="V202" s="436" t="n">
        <f aca="false">AY207</f>
        <v>0</v>
      </c>
      <c r="AP202" s="427"/>
      <c r="AQ202" s="427"/>
      <c r="AR202" s="427"/>
      <c r="AS202" s="427"/>
      <c r="AT202" s="427"/>
      <c r="AU202" s="427"/>
      <c r="AV202" s="427"/>
      <c r="AW202" s="427"/>
      <c r="AX202" s="427"/>
      <c r="BC202" s="428"/>
      <c r="BH202" s="437"/>
      <c r="BN202" s="427"/>
      <c r="BO202" s="428"/>
    </row>
    <row r="203" customFormat="false" ht="13.5" hidden="false" customHeight="false" outlineLevel="0" collapsed="false">
      <c r="A203" s="424"/>
      <c r="B203" s="424"/>
      <c r="C203" s="424"/>
      <c r="D203" s="424"/>
      <c r="E203" s="424"/>
      <c r="F203" s="424"/>
      <c r="G203" s="424"/>
      <c r="H203" s="424"/>
      <c r="I203" s="424"/>
      <c r="J203" s="424"/>
      <c r="K203" s="424"/>
      <c r="L203" s="424"/>
      <c r="M203" s="424"/>
      <c r="N203" s="424"/>
      <c r="O203" s="424"/>
      <c r="P203" s="424"/>
      <c r="Q203" s="435" t="n">
        <v>73</v>
      </c>
      <c r="R203" s="434" t="s">
        <v>631</v>
      </c>
      <c r="S203" s="424"/>
      <c r="T203" s="434" t="s">
        <v>632</v>
      </c>
      <c r="U203" s="434" t="s">
        <v>633</v>
      </c>
      <c r="V203" s="436" t="n">
        <f aca="false">AY208</f>
        <v>0</v>
      </c>
      <c r="AP203" s="427"/>
      <c r="AQ203" s="427"/>
      <c r="AR203" s="427"/>
      <c r="AS203" s="427"/>
      <c r="AT203" s="427"/>
      <c r="AU203" s="427"/>
      <c r="AV203" s="427"/>
      <c r="AW203" s="427"/>
      <c r="AX203" s="427"/>
      <c r="BC203" s="428"/>
      <c r="BH203" s="437"/>
      <c r="BN203" s="427"/>
      <c r="BO203" s="428"/>
    </row>
    <row r="204" customFormat="false" ht="13.5" hidden="false" customHeight="false" outlineLevel="0" collapsed="false">
      <c r="A204" s="424"/>
      <c r="B204" s="424"/>
      <c r="C204" s="424"/>
      <c r="D204" s="424"/>
      <c r="E204" s="424"/>
      <c r="F204" s="424"/>
      <c r="G204" s="424"/>
      <c r="H204" s="424"/>
      <c r="I204" s="424"/>
      <c r="J204" s="424"/>
      <c r="K204" s="424"/>
      <c r="L204" s="424"/>
      <c r="M204" s="424"/>
      <c r="N204" s="424"/>
      <c r="O204" s="424"/>
      <c r="P204" s="424"/>
      <c r="Q204" s="435" t="n">
        <v>74</v>
      </c>
      <c r="R204" s="434" t="s">
        <v>634</v>
      </c>
      <c r="S204" s="424"/>
      <c r="T204" s="434" t="s">
        <v>635</v>
      </c>
      <c r="U204" s="434" t="s">
        <v>636</v>
      </c>
      <c r="V204" s="436" t="n">
        <f aca="false">AY209</f>
        <v>0</v>
      </c>
      <c r="AP204" s="427"/>
      <c r="AQ204" s="427"/>
      <c r="AR204" s="427"/>
      <c r="AS204" s="427"/>
      <c r="AT204" s="427"/>
      <c r="AU204" s="427"/>
      <c r="AV204" s="427"/>
      <c r="AW204" s="427"/>
      <c r="AX204" s="427"/>
      <c r="BC204" s="428"/>
      <c r="BH204" s="437"/>
      <c r="BN204" s="427"/>
      <c r="BO204" s="428"/>
    </row>
    <row r="205" customFormat="false" ht="13.5" hidden="false" customHeight="false" outlineLevel="0" collapsed="false">
      <c r="A205" s="424"/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24"/>
      <c r="Q205" s="435" t="n">
        <v>75</v>
      </c>
      <c r="R205" s="434" t="s">
        <v>637</v>
      </c>
      <c r="S205" s="424"/>
      <c r="T205" s="434" t="s">
        <v>638</v>
      </c>
      <c r="U205" s="434" t="s">
        <v>639</v>
      </c>
      <c r="V205" s="436" t="n">
        <f aca="false">AY210</f>
        <v>0</v>
      </c>
      <c r="AP205" s="427"/>
      <c r="AQ205" s="427"/>
      <c r="AR205" s="427"/>
      <c r="AS205" s="427"/>
      <c r="AT205" s="427"/>
      <c r="AU205" s="427"/>
      <c r="AV205" s="427"/>
      <c r="AW205" s="427"/>
      <c r="AX205" s="427"/>
      <c r="BC205" s="428"/>
      <c r="BH205" s="437"/>
      <c r="BN205" s="427"/>
      <c r="BO205" s="428"/>
    </row>
    <row r="206" customFormat="false" ht="13.5" hidden="false" customHeight="false" outlineLevel="0" collapsed="false">
      <c r="A206" s="424"/>
      <c r="B206" s="424"/>
      <c r="C206" s="424"/>
      <c r="D206" s="424"/>
      <c r="E206" s="424"/>
      <c r="F206" s="424"/>
      <c r="G206" s="424"/>
      <c r="H206" s="424"/>
      <c r="I206" s="424"/>
      <c r="J206" s="424"/>
      <c r="K206" s="424"/>
      <c r="L206" s="424"/>
      <c r="M206" s="424"/>
      <c r="N206" s="424"/>
      <c r="O206" s="424"/>
      <c r="P206" s="424"/>
      <c r="Q206" s="435" t="n">
        <v>76</v>
      </c>
      <c r="R206" s="434" t="s">
        <v>640</v>
      </c>
      <c r="S206" s="424"/>
      <c r="T206" s="434" t="s">
        <v>641</v>
      </c>
      <c r="U206" s="434" t="s">
        <v>642</v>
      </c>
      <c r="V206" s="436" t="n">
        <f aca="false">AY211</f>
        <v>0</v>
      </c>
      <c r="AP206" s="427"/>
      <c r="AQ206" s="427"/>
      <c r="AR206" s="427"/>
      <c r="AS206" s="427"/>
      <c r="AT206" s="427"/>
      <c r="AU206" s="427"/>
      <c r="AV206" s="427"/>
      <c r="AW206" s="427"/>
      <c r="AX206" s="427"/>
      <c r="BC206" s="428"/>
      <c r="BH206" s="437"/>
      <c r="BN206" s="427"/>
      <c r="BO206" s="428"/>
    </row>
    <row r="207" customFormat="false" ht="13.5" hidden="false" customHeight="false" outlineLevel="0" collapsed="false">
      <c r="A207" s="424"/>
      <c r="B207" s="424"/>
      <c r="C207" s="424"/>
      <c r="D207" s="424"/>
      <c r="E207" s="424"/>
      <c r="F207" s="424"/>
      <c r="G207" s="424"/>
      <c r="H207" s="424"/>
      <c r="I207" s="424"/>
      <c r="J207" s="424"/>
      <c r="K207" s="424"/>
      <c r="L207" s="424"/>
      <c r="M207" s="424"/>
      <c r="N207" s="424"/>
      <c r="O207" s="424"/>
      <c r="P207" s="424"/>
      <c r="Q207" s="435" t="n">
        <v>77</v>
      </c>
      <c r="R207" s="434" t="s">
        <v>643</v>
      </c>
      <c r="S207" s="424"/>
      <c r="T207" s="434" t="s">
        <v>644</v>
      </c>
      <c r="U207" s="434" t="s">
        <v>645</v>
      </c>
      <c r="V207" s="436" t="n">
        <f aca="false">AY212</f>
        <v>0</v>
      </c>
      <c r="BC207" s="428"/>
      <c r="BH207" s="437"/>
      <c r="BN207" s="427"/>
      <c r="BO207" s="428"/>
    </row>
    <row r="208" customFormat="false" ht="13.5" hidden="false" customHeight="false" outlineLevel="0" collapsed="false">
      <c r="A208" s="424"/>
      <c r="B208" s="424"/>
      <c r="C208" s="424"/>
      <c r="D208" s="424"/>
      <c r="E208" s="424"/>
      <c r="F208" s="424"/>
      <c r="G208" s="424"/>
      <c r="H208" s="424"/>
      <c r="I208" s="424"/>
      <c r="J208" s="424"/>
      <c r="K208" s="424"/>
      <c r="L208" s="424"/>
      <c r="M208" s="424"/>
      <c r="N208" s="424"/>
      <c r="O208" s="424"/>
      <c r="P208" s="424"/>
      <c r="Q208" s="435" t="n">
        <v>78</v>
      </c>
      <c r="R208" s="434" t="s">
        <v>646</v>
      </c>
      <c r="S208" s="424"/>
      <c r="T208" s="434" t="s">
        <v>647</v>
      </c>
      <c r="U208" s="434" t="s">
        <v>648</v>
      </c>
      <c r="V208" s="436" t="n">
        <f aca="false">AY213</f>
        <v>0</v>
      </c>
      <c r="BC208" s="428"/>
      <c r="BH208" s="437"/>
      <c r="BN208" s="427"/>
      <c r="BO208" s="428"/>
    </row>
    <row r="209" customFormat="false" ht="13.5" hidden="false" customHeight="false" outlineLevel="0" collapsed="false">
      <c r="A209" s="424"/>
      <c r="B209" s="424"/>
      <c r="C209" s="424"/>
      <c r="D209" s="424"/>
      <c r="E209" s="424"/>
      <c r="F209" s="424"/>
      <c r="G209" s="424"/>
      <c r="H209" s="424"/>
      <c r="I209" s="424"/>
      <c r="J209" s="424"/>
      <c r="K209" s="424"/>
      <c r="L209" s="424"/>
      <c r="M209" s="424"/>
      <c r="N209" s="424"/>
      <c r="O209" s="424"/>
      <c r="P209" s="424"/>
      <c r="Q209" s="435" t="n">
        <v>79</v>
      </c>
      <c r="R209" s="434" t="s">
        <v>649</v>
      </c>
      <c r="S209" s="424"/>
      <c r="T209" s="434" t="s">
        <v>650</v>
      </c>
      <c r="U209" s="434" t="s">
        <v>651</v>
      </c>
      <c r="V209" s="436" t="n">
        <f aca="false">AY214</f>
        <v>0</v>
      </c>
      <c r="BC209" s="428"/>
      <c r="BH209" s="437"/>
      <c r="BN209" s="427"/>
      <c r="BO209" s="428"/>
    </row>
    <row r="210" customFormat="false" ht="13.5" hidden="false" customHeight="false" outlineLevel="0" collapsed="false">
      <c r="A210" s="424"/>
      <c r="B210" s="424"/>
      <c r="C210" s="424"/>
      <c r="D210" s="424"/>
      <c r="E210" s="424"/>
      <c r="F210" s="424"/>
      <c r="G210" s="424"/>
      <c r="H210" s="424"/>
      <c r="I210" s="424"/>
      <c r="J210" s="424"/>
      <c r="K210" s="424"/>
      <c r="L210" s="424"/>
      <c r="M210" s="424"/>
      <c r="N210" s="424"/>
      <c r="O210" s="424"/>
      <c r="P210" s="424"/>
      <c r="Q210" s="435" t="n">
        <v>80</v>
      </c>
      <c r="R210" s="434" t="s">
        <v>652</v>
      </c>
      <c r="S210" s="424"/>
      <c r="T210" s="434" t="s">
        <v>653</v>
      </c>
      <c r="U210" s="434" t="s">
        <v>654</v>
      </c>
      <c r="V210" s="436" t="n">
        <f aca="false">AY215</f>
        <v>0</v>
      </c>
      <c r="BC210" s="428"/>
      <c r="BH210" s="437"/>
      <c r="BN210" s="427"/>
      <c r="BO210" s="428"/>
    </row>
    <row r="211" customFormat="false" ht="13.5" hidden="false" customHeight="false" outlineLevel="0" collapsed="false">
      <c r="A211" s="424"/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35" t="n">
        <v>81</v>
      </c>
      <c r="R211" s="434" t="s">
        <v>655</v>
      </c>
      <c r="S211" s="424"/>
      <c r="T211" s="434" t="s">
        <v>656</v>
      </c>
      <c r="U211" s="434" t="s">
        <v>657</v>
      </c>
      <c r="V211" s="436" t="n">
        <f aca="false">AY216</f>
        <v>0</v>
      </c>
      <c r="BC211" s="428"/>
      <c r="BH211" s="437"/>
      <c r="BN211" s="427"/>
      <c r="BO211" s="428"/>
    </row>
    <row r="212" customFormat="false" ht="13.5" hidden="false" customHeight="false" outlineLevel="0" collapsed="false">
      <c r="A212" s="424"/>
      <c r="B212" s="424"/>
      <c r="C212" s="424"/>
      <c r="D212" s="424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35" t="n">
        <v>82</v>
      </c>
      <c r="R212" s="434" t="s">
        <v>658</v>
      </c>
      <c r="S212" s="424"/>
      <c r="T212" s="434" t="s">
        <v>659</v>
      </c>
      <c r="U212" s="434" t="s">
        <v>660</v>
      </c>
      <c r="V212" s="436" t="n">
        <f aca="false">AY217</f>
        <v>0</v>
      </c>
      <c r="BC212" s="428"/>
      <c r="BH212" s="437"/>
      <c r="BN212" s="427"/>
      <c r="BO212" s="428"/>
    </row>
    <row r="213" customFormat="false" ht="13.5" hidden="false" customHeight="false" outlineLevel="0" collapsed="false">
      <c r="A213" s="424"/>
      <c r="B213" s="424"/>
      <c r="C213" s="424"/>
      <c r="D213" s="424"/>
      <c r="E213" s="424"/>
      <c r="F213" s="424"/>
      <c r="G213" s="424"/>
      <c r="H213" s="424"/>
      <c r="I213" s="424"/>
      <c r="J213" s="424"/>
      <c r="K213" s="424"/>
      <c r="L213" s="424"/>
      <c r="M213" s="424"/>
      <c r="N213" s="424"/>
      <c r="O213" s="424"/>
      <c r="P213" s="424"/>
      <c r="Q213" s="435" t="n">
        <v>83</v>
      </c>
      <c r="R213" s="434" t="s">
        <v>661</v>
      </c>
      <c r="S213" s="424"/>
      <c r="T213" s="434" t="s">
        <v>662</v>
      </c>
      <c r="U213" s="434" t="s">
        <v>663</v>
      </c>
      <c r="V213" s="436" t="n">
        <f aca="false">AY218</f>
        <v>0</v>
      </c>
      <c r="BC213" s="428"/>
      <c r="BH213" s="437"/>
      <c r="BN213" s="427"/>
      <c r="BO213" s="428"/>
    </row>
    <row r="214" customFormat="false" ht="13.5" hidden="false" customHeight="false" outlineLevel="0" collapsed="false">
      <c r="A214" s="424"/>
      <c r="B214" s="424"/>
      <c r="C214" s="424"/>
      <c r="D214" s="424"/>
      <c r="E214" s="424"/>
      <c r="F214" s="424"/>
      <c r="G214" s="424"/>
      <c r="H214" s="424"/>
      <c r="I214" s="424"/>
      <c r="J214" s="424"/>
      <c r="K214" s="424"/>
      <c r="L214" s="424"/>
      <c r="M214" s="424"/>
      <c r="N214" s="424"/>
      <c r="O214" s="424"/>
      <c r="P214" s="424"/>
      <c r="Q214" s="435" t="n">
        <v>84</v>
      </c>
      <c r="R214" s="434" t="s">
        <v>664</v>
      </c>
      <c r="S214" s="424"/>
      <c r="T214" s="434" t="s">
        <v>665</v>
      </c>
      <c r="U214" s="434" t="s">
        <v>666</v>
      </c>
      <c r="V214" s="436" t="n">
        <f aca="false">AY219</f>
        <v>0</v>
      </c>
      <c r="BC214" s="428"/>
      <c r="BH214" s="437"/>
      <c r="BN214" s="427"/>
      <c r="BO214" s="428"/>
    </row>
    <row r="215" customFormat="false" ht="13.5" hidden="false" customHeight="false" outlineLevel="0" collapsed="false">
      <c r="A215" s="424"/>
      <c r="B215" s="424"/>
      <c r="C215" s="424"/>
      <c r="D215" s="424"/>
      <c r="E215" s="424"/>
      <c r="F215" s="424"/>
      <c r="G215" s="424"/>
      <c r="H215" s="424"/>
      <c r="I215" s="424"/>
      <c r="J215" s="424"/>
      <c r="K215" s="424"/>
      <c r="L215" s="424"/>
      <c r="M215" s="424"/>
      <c r="N215" s="424"/>
      <c r="O215" s="424"/>
      <c r="P215" s="424"/>
      <c r="Q215" s="435" t="n">
        <v>85</v>
      </c>
      <c r="R215" s="434" t="s">
        <v>667</v>
      </c>
      <c r="S215" s="424"/>
      <c r="T215" s="434" t="s">
        <v>668</v>
      </c>
      <c r="U215" s="434" t="s">
        <v>669</v>
      </c>
      <c r="V215" s="436" t="n">
        <f aca="false">AY220</f>
        <v>0</v>
      </c>
      <c r="BC215" s="428"/>
      <c r="BH215" s="437"/>
      <c r="BN215" s="427"/>
      <c r="BO215" s="428"/>
    </row>
    <row r="216" customFormat="false" ht="13.5" hidden="false" customHeight="false" outlineLevel="0" collapsed="false">
      <c r="A216" s="424"/>
      <c r="B216" s="424"/>
      <c r="C216" s="424"/>
      <c r="D216" s="424"/>
      <c r="E216" s="424"/>
      <c r="F216" s="424"/>
      <c r="G216" s="424"/>
      <c r="H216" s="424"/>
      <c r="I216" s="424"/>
      <c r="J216" s="424"/>
      <c r="K216" s="424"/>
      <c r="L216" s="424"/>
      <c r="M216" s="424"/>
      <c r="N216" s="424"/>
      <c r="O216" s="424"/>
      <c r="P216" s="424"/>
      <c r="Q216" s="435" t="n">
        <v>86</v>
      </c>
      <c r="R216" s="434" t="s">
        <v>670</v>
      </c>
      <c r="S216" s="424"/>
      <c r="T216" s="434" t="s">
        <v>671</v>
      </c>
      <c r="U216" s="434" t="s">
        <v>672</v>
      </c>
      <c r="V216" s="436" t="n">
        <f aca="false">AY221</f>
        <v>0</v>
      </c>
      <c r="BC216" s="428"/>
      <c r="BH216" s="437"/>
      <c r="BN216" s="427"/>
      <c r="BO216" s="428"/>
    </row>
    <row r="217" customFormat="false" ht="13.5" hidden="false" customHeight="false" outlineLevel="0" collapsed="false">
      <c r="A217" s="424"/>
      <c r="B217" s="424"/>
      <c r="C217" s="424"/>
      <c r="D217" s="424"/>
      <c r="E217" s="424"/>
      <c r="F217" s="424"/>
      <c r="G217" s="424"/>
      <c r="H217" s="424"/>
      <c r="I217" s="424"/>
      <c r="J217" s="424"/>
      <c r="K217" s="424"/>
      <c r="L217" s="424"/>
      <c r="M217" s="424"/>
      <c r="N217" s="424"/>
      <c r="O217" s="424"/>
      <c r="P217" s="424"/>
      <c r="Q217" s="435" t="n">
        <v>87</v>
      </c>
      <c r="R217" s="434" t="s">
        <v>673</v>
      </c>
      <c r="S217" s="424"/>
      <c r="T217" s="434" t="s">
        <v>674</v>
      </c>
      <c r="U217" s="434" t="s">
        <v>675</v>
      </c>
      <c r="V217" s="436" t="n">
        <f aca="false">AY222</f>
        <v>0</v>
      </c>
      <c r="BC217" s="428"/>
      <c r="BH217" s="437"/>
      <c r="BN217" s="427"/>
      <c r="BO217" s="428"/>
    </row>
    <row r="218" customFormat="false" ht="13.5" hidden="false" customHeight="false" outlineLevel="0" collapsed="false">
      <c r="A218" s="424"/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24"/>
      <c r="Q218" s="435" t="n">
        <v>88</v>
      </c>
      <c r="R218" s="434" t="s">
        <v>676</v>
      </c>
      <c r="S218" s="424"/>
      <c r="T218" s="434" t="s">
        <v>677</v>
      </c>
      <c r="U218" s="434" t="s">
        <v>678</v>
      </c>
      <c r="V218" s="436" t="n">
        <f aca="false">AY223</f>
        <v>0</v>
      </c>
      <c r="BC218" s="428"/>
      <c r="BH218" s="437"/>
      <c r="BN218" s="427"/>
      <c r="BO218" s="428"/>
    </row>
    <row r="219" customFormat="false" ht="13.5" hidden="false" customHeight="false" outlineLevel="0" collapsed="false">
      <c r="A219" s="424"/>
      <c r="B219" s="424"/>
      <c r="C219" s="424"/>
      <c r="D219" s="424"/>
      <c r="E219" s="424"/>
      <c r="F219" s="424"/>
      <c r="G219" s="424"/>
      <c r="H219" s="424"/>
      <c r="I219" s="424"/>
      <c r="J219" s="424"/>
      <c r="K219" s="424"/>
      <c r="L219" s="424"/>
      <c r="M219" s="424"/>
      <c r="N219" s="424"/>
      <c r="O219" s="424"/>
      <c r="P219" s="424"/>
      <c r="Q219" s="435" t="n">
        <v>89</v>
      </c>
      <c r="R219" s="434" t="s">
        <v>679</v>
      </c>
      <c r="S219" s="424"/>
      <c r="T219" s="434" t="s">
        <v>680</v>
      </c>
      <c r="U219" s="434" t="s">
        <v>681</v>
      </c>
      <c r="V219" s="436" t="n">
        <f aca="false">AY224</f>
        <v>0</v>
      </c>
      <c r="BC219" s="428"/>
      <c r="BH219" s="437"/>
      <c r="BN219" s="427"/>
      <c r="BO219" s="428"/>
    </row>
    <row r="220" customFormat="false" ht="13.5" hidden="false" customHeight="false" outlineLevel="0" collapsed="false">
      <c r="A220" s="424"/>
      <c r="B220" s="424"/>
      <c r="C220" s="424"/>
      <c r="D220" s="424"/>
      <c r="E220" s="424"/>
      <c r="F220" s="424"/>
      <c r="G220" s="424"/>
      <c r="H220" s="424"/>
      <c r="I220" s="424"/>
      <c r="J220" s="424"/>
      <c r="K220" s="424"/>
      <c r="L220" s="424"/>
      <c r="M220" s="424"/>
      <c r="N220" s="424"/>
      <c r="O220" s="424"/>
      <c r="P220" s="424"/>
      <c r="Q220" s="435" t="n">
        <v>90</v>
      </c>
      <c r="R220" s="434" t="s">
        <v>682</v>
      </c>
      <c r="S220" s="424"/>
      <c r="T220" s="434" t="s">
        <v>683</v>
      </c>
      <c r="U220" s="434" t="s">
        <v>684</v>
      </c>
      <c r="V220" s="436" t="n">
        <f aca="false">AY225</f>
        <v>0</v>
      </c>
      <c r="BC220" s="428"/>
      <c r="BH220" s="437"/>
      <c r="BN220" s="427"/>
      <c r="BO220" s="428"/>
    </row>
    <row r="221" customFormat="false" ht="13.5" hidden="false" customHeight="false" outlineLevel="0" collapsed="false">
      <c r="A221" s="424"/>
      <c r="B221" s="424"/>
      <c r="C221" s="424"/>
      <c r="D221" s="424"/>
      <c r="E221" s="424"/>
      <c r="F221" s="424"/>
      <c r="G221" s="424"/>
      <c r="H221" s="424"/>
      <c r="I221" s="424"/>
      <c r="J221" s="424"/>
      <c r="K221" s="424"/>
      <c r="L221" s="424"/>
      <c r="M221" s="424"/>
      <c r="N221" s="424"/>
      <c r="O221" s="424"/>
      <c r="P221" s="424"/>
      <c r="Q221" s="435" t="n">
        <v>91</v>
      </c>
      <c r="R221" s="434" t="s">
        <v>685</v>
      </c>
      <c r="S221" s="424"/>
      <c r="T221" s="434" t="s">
        <v>686</v>
      </c>
      <c r="U221" s="434" t="s">
        <v>687</v>
      </c>
      <c r="V221" s="436" t="n">
        <f aca="false">AY226</f>
        <v>0</v>
      </c>
      <c r="BC221" s="428"/>
      <c r="BN221" s="427"/>
      <c r="BO221" s="428"/>
    </row>
    <row r="222" customFormat="false" ht="13.5" hidden="false" customHeight="false" outlineLevel="0" collapsed="false">
      <c r="A222" s="424"/>
      <c r="B222" s="424"/>
      <c r="C222" s="424"/>
      <c r="D222" s="424"/>
      <c r="E222" s="424"/>
      <c r="F222" s="424"/>
      <c r="G222" s="424"/>
      <c r="H222" s="424"/>
      <c r="I222" s="424"/>
      <c r="J222" s="424"/>
      <c r="K222" s="424"/>
      <c r="L222" s="424"/>
      <c r="M222" s="424"/>
      <c r="N222" s="424"/>
      <c r="O222" s="424"/>
      <c r="P222" s="424"/>
      <c r="Q222" s="435" t="n">
        <v>92</v>
      </c>
      <c r="R222" s="434" t="s">
        <v>688</v>
      </c>
      <c r="S222" s="424"/>
      <c r="T222" s="434" t="s">
        <v>689</v>
      </c>
      <c r="U222" s="434" t="s">
        <v>690</v>
      </c>
      <c r="V222" s="436" t="n">
        <f aca="false">AY227</f>
        <v>0</v>
      </c>
      <c r="BC222" s="428"/>
      <c r="BN222" s="427"/>
      <c r="BO222" s="428"/>
    </row>
    <row r="223" customFormat="false" ht="13.5" hidden="false" customHeight="false" outlineLevel="0" collapsed="false">
      <c r="A223" s="424"/>
      <c r="B223" s="424"/>
      <c r="C223" s="424"/>
      <c r="D223" s="424"/>
      <c r="E223" s="424"/>
      <c r="F223" s="424"/>
      <c r="G223" s="424"/>
      <c r="H223" s="424"/>
      <c r="I223" s="424"/>
      <c r="J223" s="424"/>
      <c r="K223" s="424"/>
      <c r="L223" s="424"/>
      <c r="M223" s="424"/>
      <c r="N223" s="424"/>
      <c r="O223" s="424"/>
      <c r="P223" s="424"/>
      <c r="Q223" s="435" t="n">
        <v>93</v>
      </c>
      <c r="R223" s="434" t="s">
        <v>691</v>
      </c>
      <c r="S223" s="424"/>
      <c r="T223" s="434" t="s">
        <v>692</v>
      </c>
      <c r="U223" s="434" t="s">
        <v>693</v>
      </c>
      <c r="V223" s="436" t="n">
        <f aca="false">AY228</f>
        <v>0</v>
      </c>
      <c r="BC223" s="428"/>
      <c r="BN223" s="427"/>
      <c r="BO223" s="428"/>
    </row>
    <row r="224" customFormat="false" ht="13.5" hidden="false" customHeight="false" outlineLevel="0" collapsed="false">
      <c r="A224" s="424"/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24"/>
      <c r="Q224" s="435" t="n">
        <v>94</v>
      </c>
      <c r="R224" s="434" t="s">
        <v>694</v>
      </c>
      <c r="S224" s="424"/>
      <c r="T224" s="434" t="s">
        <v>695</v>
      </c>
      <c r="U224" s="434" t="s">
        <v>696</v>
      </c>
      <c r="V224" s="436" t="n">
        <f aca="false">AY229</f>
        <v>0</v>
      </c>
      <c r="BC224" s="428"/>
      <c r="BN224" s="427"/>
      <c r="BO224" s="428"/>
    </row>
    <row r="225" customFormat="false" ht="13.5" hidden="false" customHeight="false" outlineLevel="0" collapsed="false">
      <c r="A225" s="424"/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  <c r="M225" s="424"/>
      <c r="N225" s="424"/>
      <c r="O225" s="424"/>
      <c r="P225" s="424"/>
      <c r="Q225" s="435" t="n">
        <v>95</v>
      </c>
      <c r="R225" s="434" t="s">
        <v>697</v>
      </c>
      <c r="S225" s="424"/>
      <c r="T225" s="434" t="s">
        <v>698</v>
      </c>
      <c r="U225" s="434" t="s">
        <v>699</v>
      </c>
      <c r="V225" s="436" t="n">
        <f aca="false">AY230</f>
        <v>0</v>
      </c>
      <c r="BC225" s="428"/>
      <c r="BN225" s="427"/>
      <c r="BO225" s="428"/>
    </row>
    <row r="226" customFormat="false" ht="13.5" hidden="false" customHeight="false" outlineLevel="0" collapsed="false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  <c r="M226" s="424"/>
      <c r="N226" s="424"/>
      <c r="O226" s="424"/>
      <c r="P226" s="424"/>
      <c r="Q226" s="435" t="n">
        <v>96</v>
      </c>
      <c r="R226" s="434" t="s">
        <v>700</v>
      </c>
      <c r="S226" s="424"/>
      <c r="T226" s="434" t="s">
        <v>701</v>
      </c>
      <c r="U226" s="434" t="s">
        <v>702</v>
      </c>
      <c r="V226" s="436" t="n">
        <f aca="false">AY231</f>
        <v>0</v>
      </c>
      <c r="BC226" s="428"/>
      <c r="BN226" s="427"/>
      <c r="BO226" s="428"/>
    </row>
    <row r="227" customFormat="false" ht="13.5" hidden="false" customHeight="false" outlineLevel="0" collapsed="false">
      <c r="A227" s="424"/>
      <c r="B227" s="424"/>
      <c r="C227" s="424"/>
      <c r="D227" s="424"/>
      <c r="E227" s="424"/>
      <c r="F227" s="424"/>
      <c r="G227" s="424"/>
      <c r="H227" s="424"/>
      <c r="I227" s="424"/>
      <c r="J227" s="424"/>
      <c r="K227" s="424"/>
      <c r="L227" s="424"/>
      <c r="M227" s="424"/>
      <c r="N227" s="424"/>
      <c r="O227" s="424"/>
      <c r="P227" s="424"/>
      <c r="Q227" s="435" t="n">
        <v>97</v>
      </c>
      <c r="R227" s="434" t="s">
        <v>703</v>
      </c>
      <c r="S227" s="424"/>
      <c r="T227" s="434" t="s">
        <v>704</v>
      </c>
      <c r="U227" s="434" t="s">
        <v>705</v>
      </c>
      <c r="V227" s="436" t="n">
        <f aca="false">AY232</f>
        <v>0</v>
      </c>
      <c r="BC227" s="428"/>
      <c r="BN227" s="427"/>
      <c r="BO227" s="428"/>
    </row>
    <row r="228" customFormat="false" ht="13.5" hidden="false" customHeight="false" outlineLevel="0" collapsed="false">
      <c r="A228" s="424"/>
      <c r="B228" s="424"/>
      <c r="C228" s="424"/>
      <c r="D228" s="424"/>
      <c r="E228" s="424"/>
      <c r="F228" s="424"/>
      <c r="G228" s="424"/>
      <c r="H228" s="424"/>
      <c r="I228" s="424"/>
      <c r="J228" s="424"/>
      <c r="K228" s="424"/>
      <c r="L228" s="424"/>
      <c r="M228" s="424"/>
      <c r="N228" s="424"/>
      <c r="O228" s="424"/>
      <c r="P228" s="424"/>
      <c r="Q228" s="435" t="n">
        <v>98</v>
      </c>
      <c r="R228" s="434" t="s">
        <v>706</v>
      </c>
      <c r="S228" s="424"/>
      <c r="T228" s="434" t="s">
        <v>707</v>
      </c>
      <c r="U228" s="434" t="s">
        <v>708</v>
      </c>
      <c r="V228" s="436" t="n">
        <f aca="false">AY233</f>
        <v>0</v>
      </c>
      <c r="BC228" s="428"/>
      <c r="BN228" s="427"/>
      <c r="BO228" s="428"/>
    </row>
    <row r="229" customFormat="false" ht="13.5" hidden="false" customHeight="false" outlineLevel="0" collapsed="false">
      <c r="A229" s="424"/>
      <c r="B229" s="424"/>
      <c r="C229" s="424"/>
      <c r="D229" s="424"/>
      <c r="E229" s="424"/>
      <c r="F229" s="424"/>
      <c r="G229" s="424"/>
      <c r="H229" s="424"/>
      <c r="I229" s="424"/>
      <c r="J229" s="424"/>
      <c r="K229" s="424"/>
      <c r="L229" s="424"/>
      <c r="M229" s="424"/>
      <c r="N229" s="424"/>
      <c r="O229" s="424"/>
      <c r="P229" s="424"/>
      <c r="Q229" s="435" t="n">
        <v>99</v>
      </c>
      <c r="R229" s="434" t="s">
        <v>709</v>
      </c>
      <c r="S229" s="424"/>
      <c r="T229" s="434" t="s">
        <v>710</v>
      </c>
      <c r="U229" s="434" t="s">
        <v>711</v>
      </c>
      <c r="V229" s="436" t="n">
        <f aca="false">AY234</f>
        <v>0</v>
      </c>
      <c r="BC229" s="428"/>
      <c r="BN229" s="427"/>
      <c r="BO229" s="428"/>
    </row>
    <row r="230" customFormat="false" ht="13.5" hidden="false" customHeight="false" outlineLevel="0" collapsed="false">
      <c r="A230" s="424"/>
      <c r="B230" s="424"/>
      <c r="C230" s="424"/>
      <c r="D230" s="424"/>
      <c r="E230" s="424"/>
      <c r="F230" s="424"/>
      <c r="G230" s="424"/>
      <c r="H230" s="424"/>
      <c r="I230" s="424"/>
      <c r="J230" s="424"/>
      <c r="K230" s="424"/>
      <c r="L230" s="424"/>
      <c r="M230" s="424"/>
      <c r="N230" s="424"/>
      <c r="O230" s="424"/>
      <c r="P230" s="424"/>
      <c r="Q230" s="424"/>
      <c r="R230" s="424"/>
      <c r="S230" s="424"/>
      <c r="T230" s="424"/>
      <c r="U230" s="424"/>
      <c r="V230" s="436" t="n">
        <f aca="false">AY235</f>
        <v>0</v>
      </c>
      <c r="BC230" s="428"/>
      <c r="BN230" s="427"/>
      <c r="BO230" s="428"/>
    </row>
    <row r="231" customFormat="false" ht="13.5" hidden="false" customHeight="false" outlineLevel="0" collapsed="false">
      <c r="A231" s="424"/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24"/>
      <c r="Q231" s="424"/>
      <c r="R231" s="424"/>
      <c r="S231" s="424"/>
      <c r="T231" s="424"/>
      <c r="U231" s="424"/>
      <c r="V231" s="436" t="n">
        <f aca="false">AY236</f>
        <v>0</v>
      </c>
      <c r="BC231" s="428"/>
      <c r="BN231" s="427"/>
      <c r="BO231" s="428"/>
    </row>
    <row r="232" customFormat="false" ht="13.5" hidden="false" customHeight="false" outlineLevel="0" collapsed="false">
      <c r="A232" s="424"/>
      <c r="B232" s="424"/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  <c r="P232" s="424"/>
      <c r="Q232" s="424"/>
      <c r="R232" s="424"/>
      <c r="S232" s="424"/>
      <c r="T232" s="424"/>
      <c r="U232" s="424"/>
      <c r="V232" s="436" t="n">
        <f aca="false">AY237</f>
        <v>0</v>
      </c>
      <c r="BN232" s="427"/>
      <c r="BO232" s="428"/>
    </row>
    <row r="233" customFormat="false" ht="13.5" hidden="false" customHeight="false" outlineLevel="0" collapsed="false">
      <c r="A233" s="424"/>
      <c r="B233" s="424"/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24"/>
      <c r="V233" s="436" t="n">
        <f aca="false">AY238</f>
        <v>0</v>
      </c>
      <c r="BN233" s="427"/>
      <c r="BO233" s="428"/>
    </row>
    <row r="234" customFormat="false" ht="13.5" hidden="false" customHeight="false" outlineLevel="0" collapsed="false">
      <c r="A234" s="424"/>
      <c r="B234" s="424"/>
      <c r="C234" s="424"/>
      <c r="D234" s="424"/>
      <c r="E234" s="424"/>
      <c r="F234" s="424"/>
      <c r="G234" s="424"/>
      <c r="H234" s="424"/>
      <c r="I234" s="424"/>
      <c r="J234" s="424"/>
      <c r="K234" s="424"/>
      <c r="L234" s="424"/>
      <c r="M234" s="424"/>
      <c r="N234" s="424"/>
      <c r="O234" s="424"/>
      <c r="P234" s="424"/>
      <c r="Q234" s="424"/>
      <c r="R234" s="424"/>
      <c r="S234" s="424"/>
      <c r="T234" s="424"/>
      <c r="U234" s="424"/>
      <c r="V234" s="436" t="n">
        <f aca="false">AY239</f>
        <v>0</v>
      </c>
      <c r="BN234" s="427"/>
      <c r="BO234" s="428"/>
    </row>
    <row r="235" customFormat="false" ht="13.5" hidden="false" customHeight="false" outlineLevel="0" collapsed="false">
      <c r="A235" s="424"/>
      <c r="B235" s="424"/>
      <c r="C235" s="424"/>
      <c r="D235" s="424"/>
      <c r="E235" s="424"/>
      <c r="F235" s="424"/>
      <c r="G235" s="424"/>
      <c r="H235" s="424"/>
      <c r="I235" s="424"/>
      <c r="J235" s="424"/>
      <c r="K235" s="424"/>
      <c r="L235" s="424"/>
      <c r="M235" s="424"/>
      <c r="N235" s="424"/>
      <c r="O235" s="424"/>
      <c r="P235" s="424"/>
      <c r="Q235" s="424"/>
      <c r="R235" s="424"/>
      <c r="S235" s="424"/>
      <c r="T235" s="424"/>
      <c r="U235" s="424"/>
      <c r="V235" s="436" t="n">
        <f aca="false">AY240</f>
        <v>0</v>
      </c>
      <c r="BN235" s="427"/>
      <c r="BO235" s="428"/>
    </row>
    <row r="236" customFormat="false" ht="13.5" hidden="false" customHeight="false" outlineLevel="0" collapsed="false">
      <c r="A236" s="424"/>
      <c r="B236" s="424"/>
      <c r="C236" s="424"/>
      <c r="D236" s="424"/>
      <c r="E236" s="424"/>
      <c r="F236" s="424"/>
      <c r="G236" s="424"/>
      <c r="H236" s="424"/>
      <c r="I236" s="424"/>
      <c r="J236" s="424"/>
      <c r="K236" s="424"/>
      <c r="L236" s="424"/>
      <c r="M236" s="424"/>
      <c r="N236" s="424"/>
      <c r="O236" s="424"/>
      <c r="P236" s="424"/>
      <c r="Q236" s="424"/>
      <c r="R236" s="424"/>
      <c r="S236" s="424"/>
      <c r="T236" s="424"/>
      <c r="U236" s="424"/>
      <c r="V236" s="436" t="n">
        <f aca="false">AY241</f>
        <v>0</v>
      </c>
      <c r="BN236" s="427"/>
      <c r="BO236" s="428"/>
    </row>
    <row r="237" customFormat="false" ht="13.5" hidden="false" customHeight="false" outlineLevel="0" collapsed="false">
      <c r="A237" s="424"/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36" t="n">
        <f aca="false">AY242</f>
        <v>0</v>
      </c>
      <c r="BN237" s="427"/>
      <c r="BO237" s="428"/>
    </row>
    <row r="238" customFormat="false" ht="13.5" hidden="false" customHeight="false" outlineLevel="0" collapsed="false">
      <c r="A238" s="424"/>
      <c r="B238" s="424"/>
      <c r="C238" s="424"/>
      <c r="D238" s="424"/>
      <c r="E238" s="424"/>
      <c r="F238" s="424"/>
      <c r="G238" s="424"/>
      <c r="H238" s="424"/>
      <c r="I238" s="424"/>
      <c r="J238" s="424"/>
      <c r="K238" s="424"/>
      <c r="L238" s="424"/>
      <c r="M238" s="424"/>
      <c r="N238" s="424"/>
      <c r="O238" s="424"/>
      <c r="P238" s="424"/>
      <c r="Q238" s="424"/>
      <c r="R238" s="424"/>
      <c r="S238" s="424"/>
      <c r="T238" s="424"/>
      <c r="U238" s="424"/>
      <c r="V238" s="436" t="n">
        <f aca="false">AY243</f>
        <v>0</v>
      </c>
      <c r="BN238" s="427"/>
      <c r="BO238" s="428"/>
    </row>
    <row r="239" customFormat="false" ht="13.5" hidden="false" customHeight="false" outlineLevel="0" collapsed="false">
      <c r="A239" s="424"/>
      <c r="B239" s="424"/>
      <c r="C239" s="424"/>
      <c r="D239" s="424"/>
      <c r="E239" s="424"/>
      <c r="F239" s="424"/>
      <c r="G239" s="424"/>
      <c r="H239" s="424"/>
      <c r="I239" s="424"/>
      <c r="J239" s="424"/>
      <c r="K239" s="424"/>
      <c r="L239" s="424"/>
      <c r="M239" s="424"/>
      <c r="N239" s="424"/>
      <c r="O239" s="424"/>
      <c r="P239" s="424"/>
      <c r="Q239" s="424"/>
      <c r="R239" s="424"/>
      <c r="S239" s="424"/>
      <c r="T239" s="424"/>
      <c r="U239" s="424"/>
      <c r="V239" s="436" t="n">
        <f aca="false">AY244</f>
        <v>0</v>
      </c>
      <c r="BN239" s="427"/>
      <c r="BO239" s="428"/>
    </row>
    <row r="240" customFormat="false" ht="13.5" hidden="false" customHeight="false" outlineLevel="0" collapsed="false">
      <c r="A240" s="424"/>
      <c r="B240" s="424"/>
      <c r="C240" s="424"/>
      <c r="D240" s="424"/>
      <c r="E240" s="424"/>
      <c r="F240" s="424"/>
      <c r="G240" s="424"/>
      <c r="H240" s="424"/>
      <c r="I240" s="424"/>
      <c r="J240" s="424"/>
      <c r="K240" s="424"/>
      <c r="L240" s="424"/>
      <c r="M240" s="424"/>
      <c r="N240" s="424"/>
      <c r="O240" s="424"/>
      <c r="P240" s="424"/>
      <c r="Q240" s="424"/>
      <c r="R240" s="424"/>
      <c r="S240" s="424"/>
      <c r="T240" s="424"/>
      <c r="U240" s="424"/>
      <c r="V240" s="436" t="n">
        <f aca="false">AY245</f>
        <v>0</v>
      </c>
      <c r="BN240" s="427"/>
      <c r="BO240" s="428"/>
    </row>
    <row r="241" customFormat="false" ht="13.5" hidden="false" customHeight="false" outlineLevel="0" collapsed="false">
      <c r="A241" s="424"/>
      <c r="B241" s="424"/>
      <c r="C241" s="424"/>
      <c r="D241" s="424"/>
      <c r="E241" s="424"/>
      <c r="F241" s="424"/>
      <c r="G241" s="424"/>
      <c r="H241" s="424"/>
      <c r="I241" s="424"/>
      <c r="J241" s="424"/>
      <c r="K241" s="424"/>
      <c r="L241" s="424"/>
      <c r="M241" s="424"/>
      <c r="N241" s="424"/>
      <c r="O241" s="424"/>
      <c r="P241" s="424"/>
      <c r="Q241" s="424"/>
      <c r="R241" s="424"/>
      <c r="S241" s="424"/>
      <c r="T241" s="424"/>
      <c r="U241" s="424"/>
      <c r="V241" s="436" t="n">
        <f aca="false">AY246</f>
        <v>0</v>
      </c>
      <c r="BN241" s="427"/>
      <c r="BO241" s="428"/>
    </row>
    <row r="242" customFormat="false" ht="13.5" hidden="false" customHeight="false" outlineLevel="0" collapsed="false">
      <c r="A242" s="424"/>
      <c r="B242" s="424"/>
      <c r="C242" s="424"/>
      <c r="D242" s="424"/>
      <c r="E242" s="424"/>
      <c r="F242" s="424"/>
      <c r="G242" s="424"/>
      <c r="H242" s="424"/>
      <c r="I242" s="424"/>
      <c r="J242" s="424"/>
      <c r="K242" s="424"/>
      <c r="L242" s="424"/>
      <c r="M242" s="424"/>
      <c r="N242" s="424"/>
      <c r="O242" s="424"/>
      <c r="P242" s="424"/>
      <c r="Q242" s="424"/>
      <c r="R242" s="424"/>
      <c r="S242" s="424"/>
      <c r="T242" s="424"/>
      <c r="U242" s="424"/>
      <c r="V242" s="436" t="n">
        <f aca="false">AY247</f>
        <v>0</v>
      </c>
      <c r="BN242" s="427"/>
      <c r="BO242" s="428"/>
    </row>
    <row r="243" customFormat="false" ht="13.5" hidden="false" customHeight="false" outlineLevel="0" collapsed="false">
      <c r="A243" s="424"/>
      <c r="B243" s="424"/>
      <c r="C243" s="424"/>
      <c r="D243" s="424"/>
      <c r="E243" s="424"/>
      <c r="F243" s="424"/>
      <c r="G243" s="424"/>
      <c r="H243" s="424"/>
      <c r="I243" s="424"/>
      <c r="J243" s="424"/>
      <c r="K243" s="424"/>
      <c r="L243" s="424"/>
      <c r="M243" s="424"/>
      <c r="N243" s="424"/>
      <c r="O243" s="424"/>
      <c r="P243" s="424"/>
      <c r="Q243" s="424"/>
      <c r="R243" s="424"/>
      <c r="S243" s="424"/>
      <c r="T243" s="424"/>
      <c r="U243" s="424"/>
      <c r="V243" s="436" t="n">
        <f aca="false">AY248</f>
        <v>0</v>
      </c>
      <c r="BN243" s="427"/>
      <c r="BO243" s="428"/>
    </row>
    <row r="244" customFormat="false" ht="13.5" hidden="false" customHeight="false" outlineLevel="0" collapsed="false">
      <c r="A244" s="424"/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24"/>
      <c r="Q244" s="424"/>
      <c r="R244" s="424"/>
      <c r="S244" s="424"/>
      <c r="T244" s="424"/>
      <c r="U244" s="424"/>
      <c r="V244" s="436" t="n">
        <f aca="false">AY249</f>
        <v>0</v>
      </c>
      <c r="BN244" s="427"/>
      <c r="BO244" s="428"/>
    </row>
    <row r="245" customFormat="false" ht="13.5" hidden="false" customHeight="false" outlineLevel="0" collapsed="false">
      <c r="A245" s="424"/>
      <c r="B245" s="424"/>
      <c r="C245" s="424"/>
      <c r="D245" s="424"/>
      <c r="E245" s="424"/>
      <c r="F245" s="424"/>
      <c r="G245" s="424"/>
      <c r="H245" s="424"/>
      <c r="I245" s="424"/>
      <c r="J245" s="424"/>
      <c r="K245" s="424"/>
      <c r="L245" s="424"/>
      <c r="M245" s="424"/>
      <c r="N245" s="424"/>
      <c r="O245" s="424"/>
      <c r="P245" s="424"/>
      <c r="Q245" s="424"/>
      <c r="R245" s="424"/>
      <c r="S245" s="424"/>
      <c r="T245" s="424"/>
      <c r="U245" s="424"/>
      <c r="V245" s="436" t="n">
        <f aca="false">AY250</f>
        <v>0</v>
      </c>
      <c r="BN245" s="427"/>
      <c r="BO245" s="428"/>
    </row>
    <row r="246" customFormat="false" ht="13.5" hidden="false" customHeight="false" outlineLevel="0" collapsed="false">
      <c r="A246" s="424"/>
      <c r="B246" s="424"/>
      <c r="C246" s="424"/>
      <c r="D246" s="424"/>
      <c r="E246" s="424"/>
      <c r="F246" s="424"/>
      <c r="G246" s="424"/>
      <c r="H246" s="424"/>
      <c r="I246" s="424"/>
      <c r="J246" s="424"/>
      <c r="K246" s="424"/>
      <c r="L246" s="424"/>
      <c r="M246" s="424"/>
      <c r="N246" s="424"/>
      <c r="O246" s="424"/>
      <c r="P246" s="424"/>
      <c r="Q246" s="424"/>
      <c r="R246" s="424"/>
      <c r="S246" s="424"/>
      <c r="T246" s="424"/>
      <c r="U246" s="424"/>
      <c r="V246" s="436" t="n">
        <f aca="false">AY251</f>
        <v>0</v>
      </c>
      <c r="BN246" s="427"/>
      <c r="BO246" s="428"/>
    </row>
    <row r="247" customFormat="false" ht="13.5" hidden="false" customHeight="false" outlineLevel="0" collapsed="false">
      <c r="A247" s="424"/>
      <c r="B247" s="424"/>
      <c r="C247" s="424"/>
      <c r="D247" s="424"/>
      <c r="E247" s="424"/>
      <c r="F247" s="424"/>
      <c r="G247" s="424"/>
      <c r="H247" s="424"/>
      <c r="I247" s="424"/>
      <c r="J247" s="424"/>
      <c r="K247" s="424"/>
      <c r="L247" s="424"/>
      <c r="M247" s="424"/>
      <c r="N247" s="424"/>
      <c r="O247" s="424"/>
      <c r="P247" s="424"/>
      <c r="Q247" s="424"/>
      <c r="R247" s="424"/>
      <c r="S247" s="424"/>
      <c r="T247" s="424"/>
      <c r="U247" s="424"/>
      <c r="V247" s="436" t="n">
        <f aca="false">AY252</f>
        <v>0</v>
      </c>
      <c r="BN247" s="427"/>
      <c r="BO247" s="428"/>
    </row>
    <row r="248" customFormat="false" ht="13.5" hidden="false" customHeight="false" outlineLevel="0" collapsed="false">
      <c r="A248" s="424"/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24"/>
      <c r="Q248" s="424"/>
      <c r="R248" s="424"/>
      <c r="S248" s="424"/>
      <c r="T248" s="424"/>
      <c r="U248" s="424"/>
      <c r="V248" s="436"/>
      <c r="BN248" s="427"/>
      <c r="BO248" s="428"/>
    </row>
    <row r="249" customFormat="false" ht="13.5" hidden="false" customHeight="false" outlineLevel="0" collapsed="false">
      <c r="BN249" s="427"/>
      <c r="BO249" s="428"/>
    </row>
    <row r="250" customFormat="false" ht="13.5" hidden="false" customHeight="false" outlineLevel="0" collapsed="false">
      <c r="A250" s="424"/>
      <c r="B250" s="424"/>
      <c r="C250" s="424"/>
      <c r="D250" s="424"/>
      <c r="E250" s="424"/>
      <c r="F250" s="424"/>
      <c r="G250" s="424"/>
      <c r="H250" s="424"/>
      <c r="I250" s="424"/>
      <c r="J250" s="424"/>
      <c r="K250" s="424"/>
      <c r="L250" s="424"/>
      <c r="M250" s="424"/>
      <c r="N250" s="424"/>
      <c r="O250" s="424"/>
      <c r="P250" s="424"/>
      <c r="Q250" s="424"/>
      <c r="R250" s="424"/>
      <c r="S250" s="424"/>
      <c r="T250" s="424"/>
      <c r="U250" s="424"/>
      <c r="V250" s="424"/>
      <c r="BN250" s="427"/>
      <c r="BO250" s="428"/>
    </row>
    <row r="251" customFormat="false" ht="13.5" hidden="false" customHeight="false" outlineLevel="0" collapsed="false">
      <c r="A251" s="424"/>
      <c r="B251" s="424"/>
      <c r="C251" s="424"/>
      <c r="D251" s="424"/>
      <c r="E251" s="424"/>
      <c r="F251" s="424"/>
      <c r="G251" s="424"/>
      <c r="H251" s="424"/>
      <c r="I251" s="424"/>
      <c r="J251" s="424"/>
      <c r="K251" s="424"/>
      <c r="L251" s="424"/>
      <c r="M251" s="424"/>
      <c r="N251" s="424"/>
      <c r="O251" s="424"/>
      <c r="P251" s="424"/>
      <c r="Q251" s="424"/>
      <c r="R251" s="424"/>
      <c r="S251" s="424"/>
      <c r="T251" s="424"/>
      <c r="U251" s="424"/>
      <c r="V251" s="424"/>
      <c r="BN251" s="427"/>
      <c r="BO251" s="428"/>
    </row>
    <row r="252" customFormat="false" ht="13.5" hidden="false" customHeight="false" outlineLevel="0" collapsed="false">
      <c r="A252" s="424"/>
      <c r="B252" s="424"/>
      <c r="C252" s="424"/>
      <c r="D252" s="424"/>
      <c r="E252" s="424"/>
      <c r="F252" s="424"/>
      <c r="G252" s="424"/>
      <c r="H252" s="424"/>
      <c r="I252" s="424"/>
      <c r="J252" s="424"/>
      <c r="K252" s="424"/>
      <c r="L252" s="424"/>
      <c r="M252" s="424"/>
      <c r="N252" s="424"/>
      <c r="O252" s="424"/>
      <c r="P252" s="424"/>
      <c r="Q252" s="424"/>
      <c r="R252" s="434" t="s">
        <v>400</v>
      </c>
      <c r="S252" s="424"/>
      <c r="T252" s="424"/>
      <c r="U252" s="424"/>
      <c r="V252" s="435" t="n">
        <f aca="false">SUM(V254:V286)</f>
        <v>0</v>
      </c>
      <c r="BN252" s="427"/>
      <c r="BO252" s="428"/>
    </row>
    <row r="253" customFormat="false" ht="13.5" hidden="false" customHeight="false" outlineLevel="0" collapsed="false">
      <c r="A253" s="424"/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  <c r="M253" s="424"/>
      <c r="N253" s="424"/>
      <c r="O253" s="424"/>
      <c r="P253" s="424"/>
      <c r="Q253" s="435" t="n">
        <v>0</v>
      </c>
      <c r="R253" s="424"/>
      <c r="S253" s="435" t="n">
        <v>0</v>
      </c>
      <c r="T253" s="424"/>
      <c r="U253" s="424"/>
      <c r="V253" s="436" t="n">
        <f aca="false">AY253</f>
        <v>0</v>
      </c>
      <c r="BN253" s="427"/>
      <c r="BO253" s="428"/>
    </row>
    <row r="254" customFormat="false" ht="13.5" hidden="false" customHeight="false" outlineLevel="0" collapsed="false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  <c r="M254" s="424"/>
      <c r="N254" s="424"/>
      <c r="O254" s="424"/>
      <c r="P254" s="424"/>
      <c r="Q254" s="435" t="n">
        <v>1</v>
      </c>
      <c r="R254" s="434" t="s">
        <v>401</v>
      </c>
      <c r="S254" s="434" t="s">
        <v>402</v>
      </c>
      <c r="T254" s="434" t="s">
        <v>403</v>
      </c>
      <c r="U254" s="434" t="s">
        <v>404</v>
      </c>
      <c r="V254" s="436" t="n">
        <f aca="false">AY254</f>
        <v>0</v>
      </c>
      <c r="BN254" s="427"/>
      <c r="BO254" s="428"/>
    </row>
    <row r="255" customFormat="false" ht="13.5" hidden="false" customHeight="false" outlineLevel="0" collapsed="false">
      <c r="A255" s="424"/>
      <c r="B255" s="424"/>
      <c r="C255" s="424"/>
      <c r="D255" s="424"/>
      <c r="E255" s="424"/>
      <c r="F255" s="424"/>
      <c r="G255" s="424"/>
      <c r="H255" s="424"/>
      <c r="I255" s="424"/>
      <c r="J255" s="424"/>
      <c r="K255" s="424"/>
      <c r="L255" s="424"/>
      <c r="M255" s="424"/>
      <c r="N255" s="424"/>
      <c r="O255" s="424"/>
      <c r="P255" s="424"/>
      <c r="Q255" s="435" t="n">
        <v>2</v>
      </c>
      <c r="R255" s="434" t="s">
        <v>405</v>
      </c>
      <c r="S255" s="434" t="s">
        <v>406</v>
      </c>
      <c r="T255" s="434" t="s">
        <v>407</v>
      </c>
      <c r="U255" s="434" t="s">
        <v>408</v>
      </c>
      <c r="V255" s="436" t="n">
        <f aca="false">AY255</f>
        <v>0</v>
      </c>
      <c r="BN255" s="427"/>
      <c r="BO255" s="428"/>
    </row>
    <row r="256" customFormat="false" ht="13.5" hidden="false" customHeight="false" outlineLevel="0" collapsed="false">
      <c r="A256" s="424"/>
      <c r="B256" s="424"/>
      <c r="C256" s="424"/>
      <c r="D256" s="424"/>
      <c r="E256" s="424"/>
      <c r="F256" s="424"/>
      <c r="G256" s="424"/>
      <c r="H256" s="424"/>
      <c r="I256" s="424"/>
      <c r="J256" s="424"/>
      <c r="K256" s="424"/>
      <c r="L256" s="424"/>
      <c r="M256" s="424"/>
      <c r="N256" s="424"/>
      <c r="O256" s="424"/>
      <c r="P256" s="424"/>
      <c r="Q256" s="435" t="n">
        <v>3</v>
      </c>
      <c r="R256" s="434" t="s">
        <v>409</v>
      </c>
      <c r="S256" s="434" t="s">
        <v>410</v>
      </c>
      <c r="T256" s="434" t="s">
        <v>411</v>
      </c>
      <c r="U256" s="434" t="s">
        <v>412</v>
      </c>
      <c r="V256" s="436" t="n">
        <f aca="false">AY256</f>
        <v>0</v>
      </c>
      <c r="BN256" s="427"/>
      <c r="BO256" s="428"/>
    </row>
    <row r="257" customFormat="false" ht="13.5" hidden="false" customHeight="false" outlineLevel="0" collapsed="false">
      <c r="A257" s="424"/>
      <c r="B257" s="424"/>
      <c r="C257" s="424"/>
      <c r="D257" s="424"/>
      <c r="E257" s="424"/>
      <c r="F257" s="424"/>
      <c r="G257" s="424"/>
      <c r="H257" s="424"/>
      <c r="I257" s="424"/>
      <c r="J257" s="424"/>
      <c r="K257" s="424"/>
      <c r="L257" s="424"/>
      <c r="M257" s="424"/>
      <c r="N257" s="424"/>
      <c r="O257" s="424"/>
      <c r="P257" s="424"/>
      <c r="Q257" s="435" t="n">
        <v>4</v>
      </c>
      <c r="R257" s="434" t="s">
        <v>413</v>
      </c>
      <c r="S257" s="434" t="s">
        <v>414</v>
      </c>
      <c r="T257" s="434" t="s">
        <v>415</v>
      </c>
      <c r="U257" s="434" t="s">
        <v>416</v>
      </c>
      <c r="V257" s="436" t="n">
        <f aca="false">AY257</f>
        <v>0</v>
      </c>
      <c r="BN257" s="427"/>
      <c r="BO257" s="428"/>
    </row>
    <row r="258" customFormat="false" ht="13.5" hidden="false" customHeight="false" outlineLevel="0" collapsed="false">
      <c r="A258" s="424"/>
      <c r="B258" s="424"/>
      <c r="C258" s="424"/>
      <c r="D258" s="424"/>
      <c r="E258" s="424"/>
      <c r="F258" s="424"/>
      <c r="G258" s="424"/>
      <c r="H258" s="424"/>
      <c r="I258" s="424"/>
      <c r="J258" s="424"/>
      <c r="K258" s="424"/>
      <c r="L258" s="424"/>
      <c r="M258" s="424"/>
      <c r="N258" s="424"/>
      <c r="O258" s="424"/>
      <c r="P258" s="438" t="s">
        <v>417</v>
      </c>
      <c r="Q258" s="435" t="n">
        <v>5</v>
      </c>
      <c r="R258" s="434" t="s">
        <v>418</v>
      </c>
      <c r="S258" s="434" t="s">
        <v>419</v>
      </c>
      <c r="T258" s="434" t="s">
        <v>420</v>
      </c>
      <c r="U258" s="434" t="s">
        <v>421</v>
      </c>
      <c r="V258" s="436" t="n">
        <f aca="false">AY258</f>
        <v>0</v>
      </c>
      <c r="BN258" s="427"/>
      <c r="BO258" s="428"/>
    </row>
    <row r="259" customFormat="false" ht="13.5" hidden="false" customHeight="false" outlineLevel="0" collapsed="false">
      <c r="A259" s="424"/>
      <c r="B259" s="424"/>
      <c r="C259" s="424"/>
      <c r="D259" s="424"/>
      <c r="E259" s="424"/>
      <c r="F259" s="424"/>
      <c r="G259" s="424"/>
      <c r="H259" s="424"/>
      <c r="I259" s="424"/>
      <c r="J259" s="424"/>
      <c r="K259" s="424"/>
      <c r="L259" s="424"/>
      <c r="M259" s="424"/>
      <c r="N259" s="424"/>
      <c r="O259" s="424"/>
      <c r="P259" s="438" t="s">
        <v>417</v>
      </c>
      <c r="Q259" s="435" t="n">
        <v>6</v>
      </c>
      <c r="R259" s="434" t="s">
        <v>422</v>
      </c>
      <c r="S259" s="434" t="s">
        <v>423</v>
      </c>
      <c r="T259" s="434" t="s">
        <v>424</v>
      </c>
      <c r="U259" s="434" t="s">
        <v>425</v>
      </c>
      <c r="V259" s="436" t="n">
        <f aca="false">AY259</f>
        <v>0</v>
      </c>
      <c r="BN259" s="427"/>
      <c r="BO259" s="428"/>
    </row>
    <row r="260" customFormat="false" ht="13.5" hidden="false" customHeight="false" outlineLevel="0" collapsed="false">
      <c r="A260" s="424"/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38" t="s">
        <v>417</v>
      </c>
      <c r="Q260" s="435" t="n">
        <v>7</v>
      </c>
      <c r="R260" s="434" t="s">
        <v>426</v>
      </c>
      <c r="S260" s="434" t="s">
        <v>427</v>
      </c>
      <c r="T260" s="434" t="s">
        <v>428</v>
      </c>
      <c r="U260" s="434" t="s">
        <v>429</v>
      </c>
      <c r="V260" s="436" t="n">
        <f aca="false">AY260</f>
        <v>0</v>
      </c>
      <c r="BN260" s="427"/>
      <c r="BO260" s="428"/>
    </row>
    <row r="261" customFormat="false" ht="13.5" hidden="false" customHeight="false" outlineLevel="0" collapsed="false">
      <c r="A261" s="424"/>
      <c r="B261" s="424"/>
      <c r="C261" s="424"/>
      <c r="D261" s="424"/>
      <c r="E261" s="424"/>
      <c r="F261" s="424"/>
      <c r="G261" s="424"/>
      <c r="H261" s="424"/>
      <c r="I261" s="424"/>
      <c r="J261" s="424"/>
      <c r="K261" s="424"/>
      <c r="L261" s="424"/>
      <c r="M261" s="424"/>
      <c r="N261" s="424"/>
      <c r="O261" s="424"/>
      <c r="P261" s="438" t="s">
        <v>417</v>
      </c>
      <c r="Q261" s="435" t="n">
        <v>8</v>
      </c>
      <c r="R261" s="434" t="s">
        <v>430</v>
      </c>
      <c r="S261" s="434" t="s">
        <v>431</v>
      </c>
      <c r="T261" s="434" t="s">
        <v>432</v>
      </c>
      <c r="U261" s="434" t="s">
        <v>433</v>
      </c>
      <c r="V261" s="436" t="n">
        <f aca="false">AY261</f>
        <v>0</v>
      </c>
      <c r="BN261" s="427"/>
      <c r="BO261" s="428"/>
    </row>
    <row r="262" customFormat="false" ht="13.5" hidden="false" customHeight="false" outlineLevel="0" collapsed="false">
      <c r="A262" s="424"/>
      <c r="B262" s="424"/>
      <c r="C262" s="424"/>
      <c r="D262" s="424"/>
      <c r="E262" s="424"/>
      <c r="F262" s="424"/>
      <c r="G262" s="424"/>
      <c r="H262" s="424"/>
      <c r="I262" s="424"/>
      <c r="J262" s="424"/>
      <c r="K262" s="424"/>
      <c r="L262" s="424"/>
      <c r="M262" s="424"/>
      <c r="N262" s="424"/>
      <c r="O262" s="424"/>
      <c r="P262" s="438" t="s">
        <v>417</v>
      </c>
      <c r="Q262" s="435" t="n">
        <v>9</v>
      </c>
      <c r="R262" s="434" t="s">
        <v>434</v>
      </c>
      <c r="S262" s="434" t="s">
        <v>435</v>
      </c>
      <c r="T262" s="434" t="s">
        <v>436</v>
      </c>
      <c r="U262" s="434" t="s">
        <v>437</v>
      </c>
      <c r="V262" s="436" t="n">
        <f aca="false">AY262</f>
        <v>0</v>
      </c>
      <c r="BN262" s="427"/>
      <c r="BO262" s="428"/>
    </row>
    <row r="263" customFormat="false" ht="13.5" hidden="false" customHeight="false" outlineLevel="0" collapsed="false">
      <c r="A263" s="424"/>
      <c r="B263" s="424"/>
      <c r="C263" s="424"/>
      <c r="D263" s="424"/>
      <c r="E263" s="424"/>
      <c r="F263" s="424"/>
      <c r="G263" s="424"/>
      <c r="H263" s="424"/>
      <c r="I263" s="424"/>
      <c r="J263" s="424"/>
      <c r="K263" s="424"/>
      <c r="L263" s="424"/>
      <c r="M263" s="424"/>
      <c r="N263" s="424"/>
      <c r="O263" s="424"/>
      <c r="P263" s="438" t="s">
        <v>417</v>
      </c>
      <c r="Q263" s="435" t="n">
        <v>10</v>
      </c>
      <c r="R263" s="434" t="s">
        <v>438</v>
      </c>
      <c r="S263" s="424"/>
      <c r="T263" s="434" t="s">
        <v>439</v>
      </c>
      <c r="U263" s="434" t="s">
        <v>440</v>
      </c>
      <c r="V263" s="436" t="n">
        <f aca="false">AY263</f>
        <v>0</v>
      </c>
      <c r="BN263" s="427"/>
      <c r="BO263" s="428"/>
    </row>
    <row r="264" customFormat="false" ht="13.5" hidden="false" customHeight="false" outlineLevel="0" collapsed="false">
      <c r="A264" s="424"/>
      <c r="B264" s="424"/>
      <c r="C264" s="424"/>
      <c r="D264" s="424"/>
      <c r="E264" s="424"/>
      <c r="F264" s="435" t="n">
        <f aca="false">TRUNC(+A266/1000000)</f>
        <v>0</v>
      </c>
      <c r="G264" s="424"/>
      <c r="H264" s="424"/>
      <c r="I264" s="424"/>
      <c r="J264" s="424"/>
      <c r="K264" s="424"/>
      <c r="L264" s="424"/>
      <c r="M264" s="424"/>
      <c r="N264" s="424"/>
      <c r="O264" s="424"/>
      <c r="P264" s="438" t="s">
        <v>417</v>
      </c>
      <c r="Q264" s="435" t="n">
        <v>11</v>
      </c>
      <c r="R264" s="434" t="s">
        <v>441</v>
      </c>
      <c r="S264" s="424"/>
      <c r="T264" s="434" t="s">
        <v>442</v>
      </c>
      <c r="U264" s="434" t="s">
        <v>443</v>
      </c>
      <c r="V264" s="436" t="n">
        <f aca="false">AY264</f>
        <v>0</v>
      </c>
      <c r="BN264" s="427"/>
      <c r="BO264" s="428"/>
    </row>
    <row r="265" customFormat="false" ht="13.5" hidden="false" customHeight="false" outlineLevel="0" collapsed="false">
      <c r="A265" s="424"/>
      <c r="B265" s="424"/>
      <c r="C265" s="424"/>
      <c r="D265" s="424"/>
      <c r="E265" s="424"/>
      <c r="F265" s="435" t="e">
        <f aca="false">(+B269*100000+C269*1000+E269*100)</f>
        <v>#VALUE!</v>
      </c>
      <c r="G265" s="424"/>
      <c r="H265" s="424"/>
      <c r="I265" s="424"/>
      <c r="J265" s="424"/>
      <c r="K265" s="424"/>
      <c r="L265" s="434" t="s">
        <v>444</v>
      </c>
      <c r="M265" s="424"/>
      <c r="N265" s="424"/>
      <c r="O265" s="424"/>
      <c r="P265" s="438" t="s">
        <v>417</v>
      </c>
      <c r="Q265" s="435" t="n">
        <v>12</v>
      </c>
      <c r="R265" s="434" t="s">
        <v>445</v>
      </c>
      <c r="S265" s="424"/>
      <c r="T265" s="434" t="s">
        <v>446</v>
      </c>
      <c r="U265" s="434" t="s">
        <v>447</v>
      </c>
      <c r="V265" s="436" t="n">
        <f aca="false">AY265</f>
        <v>0</v>
      </c>
      <c r="BN265" s="427"/>
      <c r="BO265" s="428"/>
    </row>
    <row r="266" customFormat="false" ht="13.5" hidden="false" customHeight="false" outlineLevel="0" collapsed="false">
      <c r="A266" s="436" t="n">
        <f aca="false">TRUNC(+A267)</f>
        <v>600000</v>
      </c>
      <c r="B266" s="424"/>
      <c r="C266" s="424"/>
      <c r="D266" s="424"/>
      <c r="E266" s="440" t="n">
        <f aca="false">TRUNC(+A266/100000000)</f>
        <v>0</v>
      </c>
      <c r="F266" s="424"/>
      <c r="G266" s="424"/>
      <c r="H266" s="424"/>
      <c r="I266" s="424"/>
      <c r="J266" s="424"/>
      <c r="K266" s="424"/>
      <c r="L266" s="424"/>
      <c r="M266" s="424"/>
      <c r="N266" s="424"/>
      <c r="O266" s="424"/>
      <c r="P266" s="438" t="s">
        <v>417</v>
      </c>
      <c r="Q266" s="435" t="n">
        <v>13</v>
      </c>
      <c r="R266" s="434" t="s">
        <v>448</v>
      </c>
      <c r="S266" s="424"/>
      <c r="T266" s="434" t="s">
        <v>449</v>
      </c>
      <c r="U266" s="434" t="s">
        <v>450</v>
      </c>
      <c r="V266" s="436" t="n">
        <f aca="false">AY266</f>
        <v>0</v>
      </c>
      <c r="BN266" s="427"/>
      <c r="BO266" s="428"/>
    </row>
    <row r="267" customFormat="false" ht="13.5" hidden="false" customHeight="false" outlineLevel="0" collapsed="false">
      <c r="A267" s="441" t="n">
        <f aca="false">'[2]Advis ADM, Pencairan &amp; Jiwa'!E56</f>
        <v>600000</v>
      </c>
      <c r="B267" s="434" t="s">
        <v>451</v>
      </c>
      <c r="C267" s="434" t="s">
        <v>452</v>
      </c>
      <c r="D267" s="424"/>
      <c r="E267" s="434" t="s">
        <v>452</v>
      </c>
      <c r="F267" s="424"/>
      <c r="G267" s="424"/>
      <c r="H267" s="424"/>
      <c r="I267" s="440" t="n">
        <f aca="false">TRUNC((+A266-(+F264*1000000))/1000)</f>
        <v>600</v>
      </c>
      <c r="J267" s="424"/>
      <c r="K267" s="440" t="n">
        <f aca="false">(TRUNC((+A266-(+F264*1000000))/1))-I267*1000</f>
        <v>0</v>
      </c>
      <c r="L267" s="424"/>
      <c r="M267" s="424"/>
      <c r="N267" s="424"/>
      <c r="O267" s="424"/>
      <c r="P267" s="438" t="s">
        <v>417</v>
      </c>
      <c r="Q267" s="435" t="n">
        <v>14</v>
      </c>
      <c r="R267" s="434" t="s">
        <v>453</v>
      </c>
      <c r="S267" s="424"/>
      <c r="T267" s="434" t="s">
        <v>454</v>
      </c>
      <c r="U267" s="434" t="s">
        <v>455</v>
      </c>
      <c r="V267" s="436" t="n">
        <f aca="false">AY267</f>
        <v>0</v>
      </c>
      <c r="BN267" s="427"/>
      <c r="BO267" s="428"/>
    </row>
    <row r="268" customFormat="false" ht="13.5" hidden="false" customHeight="false" outlineLevel="0" collapsed="false">
      <c r="A268" s="424"/>
      <c r="B268" s="442" t="s">
        <v>712</v>
      </c>
      <c r="C268" s="442" t="s">
        <v>712</v>
      </c>
      <c r="D268" s="424"/>
      <c r="E268" s="442" t="s">
        <v>712</v>
      </c>
      <c r="F268" s="424"/>
      <c r="G268" s="424"/>
      <c r="H268" s="424"/>
      <c r="I268" s="424"/>
      <c r="J268" s="424"/>
      <c r="K268" s="424"/>
      <c r="L268" s="424"/>
      <c r="M268" s="424"/>
      <c r="N268" s="440" t="n">
        <f aca="false">ROUND(((+A267-A266)*100),1)</f>
        <v>0</v>
      </c>
      <c r="O268" s="424"/>
      <c r="P268" s="438" t="s">
        <v>417</v>
      </c>
      <c r="Q268" s="435" t="n">
        <v>15</v>
      </c>
      <c r="R268" s="434" t="s">
        <v>457</v>
      </c>
      <c r="S268" s="424"/>
      <c r="T268" s="434" t="s">
        <v>458</v>
      </c>
      <c r="U268" s="434" t="s">
        <v>459</v>
      </c>
      <c r="V268" s="436" t="n">
        <f aca="false">AY268</f>
        <v>0</v>
      </c>
      <c r="BN268" s="427"/>
      <c r="BO268" s="428"/>
    </row>
    <row r="269" customFormat="false" ht="13.5" hidden="false" customHeight="false" outlineLevel="0" collapsed="false">
      <c r="A269" s="424"/>
      <c r="B269" s="440" t="n">
        <f aca="false">TRUNC(+A267/100000000000)</f>
        <v>0</v>
      </c>
      <c r="C269" s="440" t="n">
        <f aca="false">(TRUNC(+A266/1000000000))-B269*100</f>
        <v>0</v>
      </c>
      <c r="D269" s="424"/>
      <c r="E269" s="435" t="str">
        <f aca="false">IF(E266&gt;0,TRUNC(+E266-B269*1000-C269*10),"")</f>
        <v/>
      </c>
      <c r="F269" s="435" t="e">
        <f aca="false">F264-F265</f>
        <v>#VALUE!</v>
      </c>
      <c r="G269" s="435" t="e">
        <f aca="false">G271</f>
        <v>#VALUE!</v>
      </c>
      <c r="H269" s="440" t="n">
        <f aca="false">TRUNC((+A266-(+F264*1000000))/100000)</f>
        <v>6</v>
      </c>
      <c r="I269" s="440" t="n">
        <f aca="false">I267-H269*100</f>
        <v>0</v>
      </c>
      <c r="J269" s="424"/>
      <c r="K269" s="440" t="n">
        <f aca="false">TRUNC(+K267/100)</f>
        <v>0</v>
      </c>
      <c r="L269" s="440" t="n">
        <f aca="false">K267-K269*100</f>
        <v>0</v>
      </c>
      <c r="M269" s="440" t="str">
        <f aca="false">IF(N269&gt;0," &amp; Sen ","")</f>
        <v/>
      </c>
      <c r="N269" s="435" t="n">
        <f aca="false">N268</f>
        <v>0</v>
      </c>
      <c r="O269" s="424"/>
      <c r="P269" s="438" t="s">
        <v>417</v>
      </c>
      <c r="Q269" s="435" t="n">
        <v>16</v>
      </c>
      <c r="R269" s="434" t="s">
        <v>460</v>
      </c>
      <c r="S269" s="424"/>
      <c r="T269" s="434" t="s">
        <v>461</v>
      </c>
      <c r="U269" s="434" t="s">
        <v>462</v>
      </c>
      <c r="V269" s="436" t="n">
        <f aca="false">AY269</f>
        <v>0</v>
      </c>
      <c r="BN269" s="427"/>
      <c r="BO269" s="428"/>
    </row>
    <row r="270" customFormat="false" ht="13.5" hidden="false" customHeight="false" outlineLevel="0" collapsed="false">
      <c r="A270" s="424"/>
      <c r="B270" s="424"/>
      <c r="C270" s="424"/>
      <c r="D270" s="424"/>
      <c r="E270" s="424"/>
      <c r="F270" s="424"/>
      <c r="G270" s="424"/>
      <c r="H270" s="424"/>
      <c r="I270" s="424"/>
      <c r="J270" s="424"/>
      <c r="K270" s="424"/>
      <c r="L270" s="424"/>
      <c r="M270" s="424"/>
      <c r="N270" s="424"/>
      <c r="O270" s="424"/>
      <c r="P270" s="438" t="s">
        <v>417</v>
      </c>
      <c r="Q270" s="435" t="n">
        <v>17</v>
      </c>
      <c r="R270" s="434" t="s">
        <v>463</v>
      </c>
      <c r="S270" s="424"/>
      <c r="T270" s="434" t="s">
        <v>464</v>
      </c>
      <c r="U270" s="434" t="s">
        <v>465</v>
      </c>
      <c r="V270" s="436" t="n">
        <f aca="false">AY270</f>
        <v>0</v>
      </c>
      <c r="BN270" s="427"/>
      <c r="BO270" s="428"/>
    </row>
    <row r="271" customFormat="false" ht="13.5" hidden="false" customHeight="false" outlineLevel="0" collapsed="false">
      <c r="A271" s="440" t="n">
        <f aca="false">B269*100000000000</f>
        <v>0</v>
      </c>
      <c r="B271" s="440" t="str">
        <f aca="false">IF(B269&gt;0,VLOOKUP(B269,$Q$7:$T$15,3),"")</f>
        <v/>
      </c>
      <c r="C271" s="440" t="str">
        <f aca="false">IF(C269&gt;0,VLOOKUP(C269,Q254:R352,2),"")</f>
        <v/>
      </c>
      <c r="D271" s="440" t="str">
        <f aca="false">IF(B266+C269&gt;0," Milyar ","")</f>
        <v/>
      </c>
      <c r="E271" s="440" t="e">
        <f aca="false">IF(E269&gt;0,VLOOKUP(E269,$Q$7:$T$15,3),"")</f>
        <v>#N/A</v>
      </c>
      <c r="F271" s="440" t="e">
        <f aca="false">IF(F269&gt;0,VLOOKUP(F269,Q254:R352,2),"")</f>
        <v>#VALUE!</v>
      </c>
      <c r="G271" s="435" t="e">
        <f aca="false">IF(F269+E269&gt;0," Juta","")</f>
        <v>#VALUE!</v>
      </c>
      <c r="H271" s="440" t="str">
        <f aca="false">IF(H269&gt;0,VLOOKUP(H269,$Q$7:$T$15,3),"")</f>
        <v> Enam ratus</v>
      </c>
      <c r="I271" s="440" t="str">
        <f aca="false">IF(I269=1," Se",IF(I269=0,"",VLOOKUP(I269,Q254:R352,2)))</f>
        <v/>
      </c>
      <c r="J271" s="435" t="str">
        <f aca="false">IF(I269+H269&gt;0," ribu","")</f>
        <v> ribu</v>
      </c>
      <c r="K271" s="440" t="str">
        <f aca="false">IF(K269&gt;0,VLOOKUP(K269,Q254:S262,3),"")</f>
        <v/>
      </c>
      <c r="L271" s="440" t="str">
        <f aca="false">IF(L269&gt;0,VLOOKUP(L269,Q254:R352,2),"")</f>
        <v/>
      </c>
      <c r="M271" s="440" t="str">
        <f aca="false">IF(N269&gt;0,VLOOKUP(N268,Q253:U352,5)," Rupiah ")</f>
        <v> Rupiah </v>
      </c>
      <c r="N271" s="424"/>
      <c r="O271" s="435" t="str">
        <f aca="false">IF(N269&gt;0," ====","")</f>
        <v/>
      </c>
      <c r="P271" s="435" t="str">
        <f aca="false">IF(N269&gt;0,"-","====")</f>
        <v>====</v>
      </c>
      <c r="Q271" s="435" t="n">
        <v>18</v>
      </c>
      <c r="R271" s="434" t="s">
        <v>466</v>
      </c>
      <c r="S271" s="424"/>
      <c r="T271" s="434" t="s">
        <v>467</v>
      </c>
      <c r="U271" s="434" t="s">
        <v>468</v>
      </c>
      <c r="V271" s="436" t="n">
        <f aca="false">AY271</f>
        <v>0</v>
      </c>
      <c r="BN271" s="427"/>
      <c r="BO271" s="428"/>
    </row>
    <row r="272" customFormat="false" ht="13.5" hidden="false" customHeight="false" outlineLevel="0" collapsed="false">
      <c r="A272" s="440"/>
      <c r="B272" s="435" t="str">
        <f aca="false">B271</f>
        <v/>
      </c>
      <c r="C272" s="424"/>
      <c r="D272" s="424"/>
      <c r="E272" s="424"/>
      <c r="F272" s="424"/>
      <c r="G272" s="424"/>
      <c r="H272" s="424"/>
      <c r="I272" s="424"/>
      <c r="J272" s="424"/>
      <c r="K272" s="424"/>
      <c r="L272" s="424"/>
      <c r="M272" s="424"/>
      <c r="N272" s="424"/>
      <c r="O272" s="424"/>
      <c r="P272" s="438" t="s">
        <v>417</v>
      </c>
      <c r="Q272" s="435" t="n">
        <v>19</v>
      </c>
      <c r="R272" s="434" t="s">
        <v>469</v>
      </c>
      <c r="S272" s="424"/>
      <c r="T272" s="434" t="s">
        <v>470</v>
      </c>
      <c r="U272" s="434" t="s">
        <v>471</v>
      </c>
      <c r="V272" s="436" t="n">
        <f aca="false">AY277</f>
        <v>0</v>
      </c>
      <c r="BN272" s="427"/>
      <c r="BO272" s="428"/>
    </row>
    <row r="273" customFormat="false" ht="13.5" hidden="false" customHeight="false" outlineLevel="0" collapsed="false">
      <c r="A273" s="440"/>
      <c r="B273" s="435" t="str">
        <f aca="false">C271</f>
        <v/>
      </c>
      <c r="C273" s="424"/>
      <c r="D273" s="424"/>
      <c r="E273" s="424"/>
      <c r="F273" s="424"/>
      <c r="G273" s="424"/>
      <c r="H273" s="424"/>
      <c r="I273" s="424"/>
      <c r="J273" s="424"/>
      <c r="K273" s="424"/>
      <c r="L273" s="424"/>
      <c r="M273" s="424"/>
      <c r="N273" s="424"/>
      <c r="O273" s="424"/>
      <c r="P273" s="438" t="s">
        <v>417</v>
      </c>
      <c r="Q273" s="435" t="n">
        <v>20</v>
      </c>
      <c r="R273" s="434" t="s">
        <v>472</v>
      </c>
      <c r="S273" s="424"/>
      <c r="T273" s="434" t="s">
        <v>473</v>
      </c>
      <c r="U273" s="434" t="s">
        <v>474</v>
      </c>
      <c r="V273" s="436" t="n">
        <f aca="false">AY278</f>
        <v>0</v>
      </c>
      <c r="BN273" s="427"/>
    </row>
    <row r="274" customFormat="false" ht="13.5" hidden="false" customHeight="false" outlineLevel="0" collapsed="false">
      <c r="A274" s="440"/>
      <c r="B274" s="435" t="str">
        <f aca="false">D271</f>
        <v/>
      </c>
      <c r="C274" s="424"/>
      <c r="D274" s="424"/>
      <c r="E274" s="424"/>
      <c r="F274" s="424"/>
      <c r="G274" s="424"/>
      <c r="H274" s="424"/>
      <c r="I274" s="424"/>
      <c r="J274" s="424"/>
      <c r="K274" s="424"/>
      <c r="L274" s="424"/>
      <c r="M274" s="424"/>
      <c r="N274" s="424"/>
      <c r="O274" s="424"/>
      <c r="P274" s="438" t="s">
        <v>417</v>
      </c>
      <c r="Q274" s="435" t="n">
        <v>21</v>
      </c>
      <c r="R274" s="434" t="s">
        <v>475</v>
      </c>
      <c r="S274" s="424"/>
      <c r="T274" s="434" t="s">
        <v>476</v>
      </c>
      <c r="U274" s="434" t="s">
        <v>477</v>
      </c>
      <c r="V274" s="436" t="n">
        <f aca="false">AY279</f>
        <v>0</v>
      </c>
      <c r="BN274" s="427"/>
    </row>
    <row r="275" customFormat="false" ht="13.5" hidden="false" customHeight="false" outlineLevel="0" collapsed="false">
      <c r="A275" s="440"/>
      <c r="B275" s="435" t="e">
        <f aca="false">E271</f>
        <v>#N/A</v>
      </c>
      <c r="C275" s="424"/>
      <c r="D275" s="424"/>
      <c r="E275" s="424"/>
      <c r="F275" s="424"/>
      <c r="G275" s="424"/>
      <c r="H275" s="424"/>
      <c r="I275" s="424"/>
      <c r="J275" s="424"/>
      <c r="K275" s="424"/>
      <c r="L275" s="424"/>
      <c r="M275" s="424"/>
      <c r="N275" s="424"/>
      <c r="O275" s="424"/>
      <c r="P275" s="424"/>
      <c r="Q275" s="435" t="n">
        <v>22</v>
      </c>
      <c r="R275" s="434" t="s">
        <v>478</v>
      </c>
      <c r="S275" s="424"/>
      <c r="T275" s="434" t="s">
        <v>479</v>
      </c>
      <c r="U275" s="434" t="s">
        <v>480</v>
      </c>
      <c r="V275" s="436" t="n">
        <f aca="false">AY280</f>
        <v>0</v>
      </c>
      <c r="BN275" s="427"/>
    </row>
    <row r="276" customFormat="false" ht="13.5" hidden="false" customHeight="false" outlineLevel="0" collapsed="false">
      <c r="A276" s="440"/>
      <c r="B276" s="435" t="e">
        <f aca="false">F271</f>
        <v>#VALUE!</v>
      </c>
      <c r="C276" s="424"/>
      <c r="D276" s="424"/>
      <c r="E276" s="424"/>
      <c r="F276" s="424"/>
      <c r="G276" s="424"/>
      <c r="H276" s="424"/>
      <c r="I276" s="424"/>
      <c r="J276" s="424"/>
      <c r="K276" s="424"/>
      <c r="L276" s="424"/>
      <c r="M276" s="424"/>
      <c r="N276" s="424"/>
      <c r="O276" s="424"/>
      <c r="P276" s="438" t="s">
        <v>417</v>
      </c>
      <c r="Q276" s="435" t="n">
        <v>23</v>
      </c>
      <c r="R276" s="434" t="s">
        <v>481</v>
      </c>
      <c r="S276" s="424"/>
      <c r="T276" s="434" t="s">
        <v>482</v>
      </c>
      <c r="U276" s="434" t="s">
        <v>483</v>
      </c>
      <c r="V276" s="436" t="n">
        <f aca="false">AY281</f>
        <v>0</v>
      </c>
      <c r="BN276" s="427"/>
    </row>
    <row r="277" customFormat="false" ht="13.5" hidden="false" customHeight="false" outlineLevel="0" collapsed="false">
      <c r="A277" s="424"/>
      <c r="B277" s="424"/>
      <c r="C277" s="424"/>
      <c r="D277" s="424"/>
      <c r="E277" s="424"/>
      <c r="F277" s="424"/>
      <c r="G277" s="424"/>
      <c r="H277" s="424"/>
      <c r="I277" s="424"/>
      <c r="J277" s="424"/>
      <c r="K277" s="424"/>
      <c r="L277" s="424"/>
      <c r="M277" s="424"/>
      <c r="N277" s="424"/>
      <c r="O277" s="424"/>
      <c r="P277" s="438" t="s">
        <v>417</v>
      </c>
      <c r="Q277" s="435" t="n">
        <v>24</v>
      </c>
      <c r="R277" s="434" t="s">
        <v>484</v>
      </c>
      <c r="S277" s="424"/>
      <c r="T277" s="434" t="s">
        <v>485</v>
      </c>
      <c r="U277" s="434" t="s">
        <v>486</v>
      </c>
      <c r="V277" s="436" t="n">
        <f aca="false">AY282</f>
        <v>0</v>
      </c>
      <c r="BN277" s="427"/>
    </row>
    <row r="278" customFormat="false" ht="13.5" hidden="false" customHeight="false" outlineLevel="0" collapsed="false">
      <c r="A278" s="424"/>
      <c r="B278" s="424"/>
      <c r="C278" s="424"/>
      <c r="D278" s="424"/>
      <c r="E278" s="424"/>
      <c r="F278" s="424"/>
      <c r="G278" s="424"/>
      <c r="H278" s="424"/>
      <c r="I278" s="424"/>
      <c r="J278" s="424"/>
      <c r="K278" s="424"/>
      <c r="L278" s="424"/>
      <c r="M278" s="424"/>
      <c r="N278" s="424"/>
      <c r="O278" s="424"/>
      <c r="P278" s="438" t="s">
        <v>417</v>
      </c>
      <c r="Q278" s="435" t="n">
        <v>25</v>
      </c>
      <c r="R278" s="434" t="s">
        <v>487</v>
      </c>
      <c r="S278" s="424"/>
      <c r="T278" s="434" t="s">
        <v>488</v>
      </c>
      <c r="U278" s="434" t="s">
        <v>489</v>
      </c>
      <c r="V278" s="436" t="n">
        <f aca="false">AY283</f>
        <v>0</v>
      </c>
      <c r="BN278" s="427"/>
    </row>
    <row r="279" customFormat="false" ht="13.5" hidden="false" customHeight="false" outlineLevel="0" collapsed="false">
      <c r="A279" s="424"/>
      <c r="B279" s="424"/>
      <c r="C279" s="424"/>
      <c r="D279" s="424"/>
      <c r="E279" s="424"/>
      <c r="F279" s="424"/>
      <c r="G279" s="424"/>
      <c r="H279" s="424"/>
      <c r="I279" s="424"/>
      <c r="J279" s="424"/>
      <c r="K279" s="424"/>
      <c r="L279" s="424"/>
      <c r="M279" s="424"/>
      <c r="N279" s="424"/>
      <c r="O279" s="424"/>
      <c r="P279" s="438" t="s">
        <v>417</v>
      </c>
      <c r="Q279" s="435" t="n">
        <v>26</v>
      </c>
      <c r="R279" s="434" t="s">
        <v>490</v>
      </c>
      <c r="S279" s="424"/>
      <c r="T279" s="434" t="s">
        <v>491</v>
      </c>
      <c r="U279" s="434" t="s">
        <v>492</v>
      </c>
      <c r="V279" s="436" t="n">
        <f aca="false">AY284</f>
        <v>0</v>
      </c>
      <c r="BN279" s="427"/>
    </row>
    <row r="280" customFormat="false" ht="13.5" hidden="false" customHeight="false" outlineLevel="0" collapsed="false">
      <c r="A280" s="424"/>
      <c r="B280" s="424"/>
      <c r="C280" s="424"/>
      <c r="D280" s="424"/>
      <c r="E280" s="424"/>
      <c r="F280" s="424"/>
      <c r="G280" s="424"/>
      <c r="H280" s="424"/>
      <c r="I280" s="424"/>
      <c r="J280" s="424"/>
      <c r="K280" s="424"/>
      <c r="L280" s="424"/>
      <c r="M280" s="424"/>
      <c r="N280" s="424"/>
      <c r="O280" s="424"/>
      <c r="P280" s="424"/>
      <c r="Q280" s="435" t="n">
        <v>27</v>
      </c>
      <c r="R280" s="434" t="s">
        <v>493</v>
      </c>
      <c r="S280" s="424"/>
      <c r="T280" s="434" t="s">
        <v>494</v>
      </c>
      <c r="U280" s="434" t="s">
        <v>495</v>
      </c>
      <c r="V280" s="436" t="n">
        <f aca="false">AY285</f>
        <v>0</v>
      </c>
      <c r="BN280" s="427"/>
    </row>
    <row r="281" customFormat="false" ht="13.5" hidden="false" customHeight="false" outlineLevel="0" collapsed="false">
      <c r="A281" s="424"/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  <c r="M281" s="424"/>
      <c r="N281" s="424"/>
      <c r="O281" s="424"/>
      <c r="P281" s="424"/>
      <c r="Q281" s="435" t="n">
        <v>28</v>
      </c>
      <c r="R281" s="434" t="s">
        <v>496</v>
      </c>
      <c r="S281" s="424"/>
      <c r="T281" s="434" t="s">
        <v>497</v>
      </c>
      <c r="U281" s="434" t="s">
        <v>498</v>
      </c>
      <c r="V281" s="436" t="n">
        <f aca="false">AY286</f>
        <v>0</v>
      </c>
      <c r="BN281" s="427"/>
    </row>
    <row r="282" customFormat="false" ht="13.5" hidden="false" customHeight="false" outlineLevel="0" collapsed="false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  <c r="M282" s="424"/>
      <c r="N282" s="424"/>
      <c r="O282" s="424"/>
      <c r="P282" s="424"/>
      <c r="Q282" s="435" t="n">
        <v>29</v>
      </c>
      <c r="R282" s="434" t="s">
        <v>499</v>
      </c>
      <c r="S282" s="424"/>
      <c r="T282" s="434" t="s">
        <v>500</v>
      </c>
      <c r="U282" s="434" t="s">
        <v>501</v>
      </c>
      <c r="V282" s="436" t="n">
        <f aca="false">AY287</f>
        <v>0</v>
      </c>
      <c r="BN282" s="427"/>
    </row>
    <row r="283" customFormat="false" ht="13.5" hidden="false" customHeight="false" outlineLevel="0" collapsed="false">
      <c r="A283" s="424"/>
      <c r="B283" s="424"/>
      <c r="C283" s="424"/>
      <c r="D283" s="424"/>
      <c r="E283" s="424"/>
      <c r="F283" s="424"/>
      <c r="G283" s="424"/>
      <c r="H283" s="424"/>
      <c r="I283" s="424"/>
      <c r="J283" s="424"/>
      <c r="K283" s="424"/>
      <c r="L283" s="424"/>
      <c r="M283" s="424"/>
      <c r="N283" s="424"/>
      <c r="O283" s="424"/>
      <c r="P283" s="424"/>
      <c r="Q283" s="435" t="n">
        <v>30</v>
      </c>
      <c r="R283" s="434" t="s">
        <v>502</v>
      </c>
      <c r="S283" s="424"/>
      <c r="T283" s="434" t="s">
        <v>503</v>
      </c>
      <c r="U283" s="434" t="s">
        <v>504</v>
      </c>
      <c r="V283" s="436" t="n">
        <f aca="false">AY288</f>
        <v>0</v>
      </c>
      <c r="BN283" s="427"/>
    </row>
    <row r="284" customFormat="false" ht="13.5" hidden="false" customHeight="false" outlineLevel="0" collapsed="false">
      <c r="A284" s="424"/>
      <c r="B284" s="424"/>
      <c r="C284" s="424"/>
      <c r="D284" s="424"/>
      <c r="E284" s="424"/>
      <c r="F284" s="424"/>
      <c r="G284" s="424"/>
      <c r="H284" s="424"/>
      <c r="I284" s="424"/>
      <c r="J284" s="424"/>
      <c r="K284" s="424"/>
      <c r="L284" s="424"/>
      <c r="M284" s="424"/>
      <c r="N284" s="424"/>
      <c r="O284" s="424"/>
      <c r="P284" s="424"/>
      <c r="Q284" s="435" t="n">
        <v>31</v>
      </c>
      <c r="R284" s="434" t="s">
        <v>505</v>
      </c>
      <c r="S284" s="424"/>
      <c r="T284" s="434" t="s">
        <v>506</v>
      </c>
      <c r="U284" s="434" t="s">
        <v>507</v>
      </c>
      <c r="V284" s="436" t="n">
        <f aca="false">AY289</f>
        <v>0</v>
      </c>
      <c r="BN284" s="427"/>
    </row>
    <row r="285" customFormat="false" ht="13.5" hidden="false" customHeight="false" outlineLevel="0" collapsed="false">
      <c r="A285" s="424"/>
      <c r="B285" s="424"/>
      <c r="C285" s="424"/>
      <c r="D285" s="424"/>
      <c r="E285" s="424"/>
      <c r="F285" s="424"/>
      <c r="G285" s="424"/>
      <c r="H285" s="424"/>
      <c r="I285" s="424"/>
      <c r="J285" s="424"/>
      <c r="K285" s="424"/>
      <c r="L285" s="424"/>
      <c r="M285" s="424"/>
      <c r="N285" s="424"/>
      <c r="O285" s="424"/>
      <c r="P285" s="424"/>
      <c r="Q285" s="435" t="n">
        <v>32</v>
      </c>
      <c r="R285" s="434" t="s">
        <v>508</v>
      </c>
      <c r="S285" s="424"/>
      <c r="T285" s="434" t="s">
        <v>509</v>
      </c>
      <c r="U285" s="434" t="s">
        <v>510</v>
      </c>
      <c r="V285" s="436" t="n">
        <f aca="false">AY290</f>
        <v>0</v>
      </c>
      <c r="BN285" s="427"/>
    </row>
    <row r="286" customFormat="false" ht="13.5" hidden="false" customHeight="false" outlineLevel="0" collapsed="false">
      <c r="A286" s="440"/>
      <c r="B286" s="435" t="e">
        <f aca="false">G271</f>
        <v>#VALUE!</v>
      </c>
      <c r="C286" s="424"/>
      <c r="D286" s="424"/>
      <c r="E286" s="424"/>
      <c r="F286" s="424"/>
      <c r="G286" s="424"/>
      <c r="H286" s="424"/>
      <c r="I286" s="424"/>
      <c r="J286" s="424"/>
      <c r="K286" s="424"/>
      <c r="L286" s="424"/>
      <c r="M286" s="424"/>
      <c r="N286" s="424"/>
      <c r="O286" s="424"/>
      <c r="P286" s="424"/>
      <c r="Q286" s="435" t="n">
        <v>33</v>
      </c>
      <c r="R286" s="434" t="s">
        <v>511</v>
      </c>
      <c r="S286" s="424"/>
      <c r="T286" s="434" t="s">
        <v>512</v>
      </c>
      <c r="U286" s="434" t="s">
        <v>513</v>
      </c>
      <c r="V286" s="436" t="n">
        <f aca="false">AY291</f>
        <v>0</v>
      </c>
      <c r="BN286" s="427"/>
    </row>
    <row r="287" customFormat="false" ht="13.5" hidden="false" customHeight="false" outlineLevel="0" collapsed="false">
      <c r="A287" s="440"/>
      <c r="B287" s="435" t="str">
        <f aca="false">H271</f>
        <v> Enam ratus</v>
      </c>
      <c r="C287" s="424"/>
      <c r="D287" s="424"/>
      <c r="E287" s="424"/>
      <c r="F287" s="424"/>
      <c r="G287" s="424"/>
      <c r="H287" s="424"/>
      <c r="I287" s="424"/>
      <c r="J287" s="424"/>
      <c r="K287" s="424"/>
      <c r="L287" s="424"/>
      <c r="M287" s="424"/>
      <c r="N287" s="424"/>
      <c r="O287" s="424"/>
      <c r="P287" s="424"/>
      <c r="Q287" s="435" t="n">
        <v>34</v>
      </c>
      <c r="R287" s="434" t="s">
        <v>514</v>
      </c>
      <c r="S287" s="424"/>
      <c r="T287" s="434" t="s">
        <v>515</v>
      </c>
      <c r="U287" s="434" t="s">
        <v>516</v>
      </c>
      <c r="V287" s="436" t="n">
        <f aca="false">AY292</f>
        <v>0</v>
      </c>
      <c r="BN287" s="427"/>
    </row>
    <row r="288" customFormat="false" ht="13.5" hidden="false" customHeight="false" outlineLevel="0" collapsed="false">
      <c r="A288" s="440"/>
      <c r="B288" s="435" t="str">
        <f aca="false">I271</f>
        <v/>
      </c>
      <c r="C288" s="424"/>
      <c r="D288" s="424"/>
      <c r="E288" s="424"/>
      <c r="F288" s="424"/>
      <c r="G288" s="424"/>
      <c r="H288" s="424"/>
      <c r="I288" s="424"/>
      <c r="J288" s="424"/>
      <c r="K288" s="424"/>
      <c r="L288" s="424"/>
      <c r="M288" s="424"/>
      <c r="N288" s="424"/>
      <c r="O288" s="424"/>
      <c r="P288" s="424"/>
      <c r="Q288" s="435" t="n">
        <v>35</v>
      </c>
      <c r="R288" s="434" t="s">
        <v>517</v>
      </c>
      <c r="S288" s="424"/>
      <c r="T288" s="434" t="s">
        <v>518</v>
      </c>
      <c r="U288" s="434" t="s">
        <v>519</v>
      </c>
      <c r="V288" s="436" t="n">
        <f aca="false">AY293</f>
        <v>0</v>
      </c>
      <c r="BN288" s="427"/>
    </row>
    <row r="289" customFormat="false" ht="13.5" hidden="false" customHeight="false" outlineLevel="0" collapsed="false">
      <c r="A289" s="440"/>
      <c r="B289" s="435" t="str">
        <f aca="false">J271</f>
        <v> ribu</v>
      </c>
      <c r="C289" s="424"/>
      <c r="D289" s="424"/>
      <c r="E289" s="424"/>
      <c r="F289" s="424"/>
      <c r="G289" s="424"/>
      <c r="H289" s="424"/>
      <c r="I289" s="424"/>
      <c r="J289" s="424"/>
      <c r="K289" s="424"/>
      <c r="L289" s="424"/>
      <c r="M289" s="424"/>
      <c r="N289" s="424"/>
      <c r="O289" s="424"/>
      <c r="P289" s="424"/>
      <c r="Q289" s="435" t="n">
        <v>36</v>
      </c>
      <c r="R289" s="434" t="s">
        <v>520</v>
      </c>
      <c r="S289" s="424"/>
      <c r="T289" s="434" t="s">
        <v>521</v>
      </c>
      <c r="U289" s="434" t="s">
        <v>522</v>
      </c>
      <c r="V289" s="436" t="n">
        <f aca="false">AY294</f>
        <v>0</v>
      </c>
      <c r="BN289" s="427"/>
    </row>
    <row r="290" customFormat="false" ht="13.5" hidden="false" customHeight="false" outlineLevel="0" collapsed="false">
      <c r="A290" s="440"/>
      <c r="B290" s="440" t="str">
        <f aca="false">K271</f>
        <v/>
      </c>
      <c r="C290" s="424"/>
      <c r="D290" s="424"/>
      <c r="E290" s="424"/>
      <c r="F290" s="424"/>
      <c r="G290" s="424"/>
      <c r="H290" s="424"/>
      <c r="I290" s="424"/>
      <c r="J290" s="424"/>
      <c r="K290" s="424"/>
      <c r="L290" s="424"/>
      <c r="M290" s="424"/>
      <c r="N290" s="424"/>
      <c r="O290" s="424"/>
      <c r="P290" s="424"/>
      <c r="Q290" s="435" t="n">
        <v>37</v>
      </c>
      <c r="R290" s="434" t="s">
        <v>523</v>
      </c>
      <c r="S290" s="424"/>
      <c r="T290" s="434" t="s">
        <v>524</v>
      </c>
      <c r="U290" s="434" t="s">
        <v>525</v>
      </c>
      <c r="V290" s="436" t="n">
        <f aca="false">AY295</f>
        <v>0</v>
      </c>
      <c r="BN290" s="427"/>
    </row>
    <row r="291" customFormat="false" ht="13.5" hidden="false" customHeight="false" outlineLevel="0" collapsed="false">
      <c r="A291" s="440"/>
      <c r="B291" s="435" t="str">
        <f aca="false">L271</f>
        <v/>
      </c>
      <c r="C291" s="424"/>
      <c r="D291" s="424"/>
      <c r="E291" s="424"/>
      <c r="F291" s="424"/>
      <c r="G291" s="424"/>
      <c r="H291" s="424"/>
      <c r="I291" s="424"/>
      <c r="J291" s="424"/>
      <c r="K291" s="424"/>
      <c r="L291" s="424"/>
      <c r="M291" s="424"/>
      <c r="N291" s="424"/>
      <c r="O291" s="424"/>
      <c r="P291" s="424"/>
      <c r="Q291" s="435" t="n">
        <v>38</v>
      </c>
      <c r="R291" s="434" t="s">
        <v>526</v>
      </c>
      <c r="S291" s="424"/>
      <c r="T291" s="434" t="s">
        <v>527</v>
      </c>
      <c r="U291" s="434" t="s">
        <v>528</v>
      </c>
      <c r="V291" s="436" t="n">
        <f aca="false">AY296</f>
        <v>0</v>
      </c>
      <c r="BN291" s="427"/>
    </row>
    <row r="292" customFormat="false" ht="13.5" hidden="false" customHeight="false" outlineLevel="0" collapsed="false">
      <c r="A292" s="440"/>
      <c r="B292" s="435" t="str">
        <f aca="false">M271</f>
        <v> Rupiah </v>
      </c>
      <c r="C292" s="424"/>
      <c r="D292" s="424"/>
      <c r="E292" s="424"/>
      <c r="F292" s="424"/>
      <c r="G292" s="424"/>
      <c r="H292" s="424"/>
      <c r="I292" s="424"/>
      <c r="J292" s="424"/>
      <c r="K292" s="424"/>
      <c r="L292" s="424"/>
      <c r="M292" s="424"/>
      <c r="N292" s="424"/>
      <c r="O292" s="424"/>
      <c r="P292" s="424"/>
      <c r="Q292" s="435" t="n">
        <v>39</v>
      </c>
      <c r="R292" s="434" t="s">
        <v>529</v>
      </c>
      <c r="S292" s="424"/>
      <c r="T292" s="434" t="s">
        <v>530</v>
      </c>
      <c r="U292" s="434" t="s">
        <v>531</v>
      </c>
      <c r="V292" s="436" t="n">
        <f aca="false">AY297</f>
        <v>0</v>
      </c>
      <c r="BN292" s="427"/>
    </row>
    <row r="293" customFormat="false" ht="13.5" hidden="false" customHeight="false" outlineLevel="0" collapsed="false">
      <c r="A293" s="436" t="e">
        <f aca="false">+#REF!</f>
        <v>#REF!</v>
      </c>
      <c r="B293" s="435" t="str">
        <f aca="false">O271</f>
        <v/>
      </c>
      <c r="C293" s="424"/>
      <c r="D293" s="424"/>
      <c r="E293" s="424"/>
      <c r="F293" s="424"/>
      <c r="G293" s="424"/>
      <c r="H293" s="424"/>
      <c r="I293" s="424"/>
      <c r="J293" s="424"/>
      <c r="K293" s="424"/>
      <c r="L293" s="424"/>
      <c r="M293" s="424"/>
      <c r="N293" s="424"/>
      <c r="O293" s="424"/>
      <c r="P293" s="424"/>
      <c r="Q293" s="435" t="n">
        <v>40</v>
      </c>
      <c r="R293" s="434" t="s">
        <v>532</v>
      </c>
      <c r="S293" s="424"/>
      <c r="T293" s="434" t="s">
        <v>533</v>
      </c>
      <c r="U293" s="434" t="s">
        <v>534</v>
      </c>
      <c r="V293" s="436" t="n">
        <f aca="false">AY298</f>
        <v>0</v>
      </c>
      <c r="BN293" s="427"/>
    </row>
    <row r="294" customFormat="false" ht="13.5" hidden="false" customHeight="false" outlineLevel="0" collapsed="false">
      <c r="A294" s="440"/>
      <c r="B294" s="435" t="str">
        <f aca="false">IF(N269&gt;0,"-","====")</f>
        <v>====</v>
      </c>
      <c r="C294" s="424"/>
      <c r="D294" s="424"/>
      <c r="E294" s="424"/>
      <c r="F294" s="424"/>
      <c r="G294" s="424"/>
      <c r="H294" s="424"/>
      <c r="I294" s="424"/>
      <c r="J294" s="424"/>
      <c r="K294" s="424"/>
      <c r="L294" s="424"/>
      <c r="M294" s="424"/>
      <c r="N294" s="424"/>
      <c r="O294" s="424"/>
      <c r="P294" s="424"/>
      <c r="Q294" s="435" t="n">
        <v>41</v>
      </c>
      <c r="R294" s="434" t="s">
        <v>535</v>
      </c>
      <c r="S294" s="424"/>
      <c r="T294" s="434" t="s">
        <v>536</v>
      </c>
      <c r="U294" s="434" t="s">
        <v>537</v>
      </c>
      <c r="V294" s="436" t="n">
        <f aca="false">AY299</f>
        <v>0</v>
      </c>
      <c r="BN294" s="427"/>
    </row>
    <row r="295" customFormat="false" ht="13.5" hidden="false" customHeight="false" outlineLevel="0" collapsed="false">
      <c r="A295" s="444" t="e">
        <f aca="false">B271&amp;C271&amp;D271&amp;E271&amp;F271&amp;G271&amp;H271&amp;I271&amp;J271&amp;K271&amp;L271&amp;M271&amp;O271</f>
        <v>#N/A</v>
      </c>
      <c r="B295" s="424"/>
      <c r="C295" s="424"/>
      <c r="D295" s="424"/>
      <c r="E295" s="424"/>
      <c r="F295" s="424"/>
      <c r="G295" s="424"/>
      <c r="H295" s="424"/>
      <c r="I295" s="424"/>
      <c r="J295" s="424"/>
      <c r="K295" s="424"/>
      <c r="L295" s="424"/>
      <c r="M295" s="424"/>
      <c r="N295" s="424"/>
      <c r="O295" s="424"/>
      <c r="P295" s="424"/>
      <c r="Q295" s="435" t="n">
        <v>42</v>
      </c>
      <c r="R295" s="434" t="s">
        <v>538</v>
      </c>
      <c r="S295" s="424"/>
      <c r="T295" s="434" t="s">
        <v>539</v>
      </c>
      <c r="U295" s="434" t="s">
        <v>540</v>
      </c>
      <c r="V295" s="436" t="n">
        <f aca="false">AY300</f>
        <v>0</v>
      </c>
      <c r="BN295" s="427"/>
    </row>
    <row r="296" customFormat="false" ht="13.5" hidden="false" customHeight="false" outlineLevel="0" collapsed="false">
      <c r="A296" s="440" t="str">
        <f aca="false">I271&amp;J271&amp;K271&amp;L271&amp;M271&amp;O271</f>
        <v> ribu Rupiah </v>
      </c>
      <c r="B296" s="424"/>
      <c r="C296" s="424"/>
      <c r="D296" s="424"/>
      <c r="E296" s="424"/>
      <c r="F296" s="424"/>
      <c r="G296" s="424"/>
      <c r="H296" s="424"/>
      <c r="I296" s="424"/>
      <c r="J296" s="424"/>
      <c r="K296" s="424"/>
      <c r="L296" s="424"/>
      <c r="M296" s="424"/>
      <c r="N296" s="424"/>
      <c r="O296" s="424"/>
      <c r="P296" s="424"/>
      <c r="Q296" s="435" t="n">
        <v>43</v>
      </c>
      <c r="R296" s="434" t="s">
        <v>541</v>
      </c>
      <c r="S296" s="424"/>
      <c r="T296" s="434" t="s">
        <v>542</v>
      </c>
      <c r="U296" s="434" t="s">
        <v>543</v>
      </c>
      <c r="V296" s="436" t="n">
        <f aca="false">AY301</f>
        <v>0</v>
      </c>
      <c r="BN296" s="427"/>
    </row>
    <row r="297" customFormat="false" ht="13.5" hidden="false" customHeight="false" outlineLevel="0" collapsed="false">
      <c r="A297" s="440"/>
      <c r="B297" s="424"/>
      <c r="C297" s="424"/>
      <c r="D297" s="424"/>
      <c r="E297" s="424"/>
      <c r="F297" s="424"/>
      <c r="G297" s="424"/>
      <c r="H297" s="424"/>
      <c r="I297" s="424"/>
      <c r="J297" s="424"/>
      <c r="K297" s="424"/>
      <c r="L297" s="424"/>
      <c r="M297" s="424"/>
      <c r="N297" s="424"/>
      <c r="O297" s="424"/>
      <c r="P297" s="424"/>
      <c r="Q297" s="435" t="n">
        <v>44</v>
      </c>
      <c r="R297" s="434" t="s">
        <v>544</v>
      </c>
      <c r="S297" s="424"/>
      <c r="T297" s="434" t="s">
        <v>545</v>
      </c>
      <c r="U297" s="434" t="s">
        <v>546</v>
      </c>
      <c r="V297" s="436" t="n">
        <f aca="false">AY302</f>
        <v>0</v>
      </c>
      <c r="BN297" s="427"/>
    </row>
    <row r="298" customFormat="false" ht="13.5" hidden="false" customHeight="false" outlineLevel="0" collapsed="false">
      <c r="A298" s="440"/>
      <c r="B298" s="424"/>
      <c r="C298" s="424"/>
      <c r="D298" s="424"/>
      <c r="E298" s="424"/>
      <c r="F298" s="424"/>
      <c r="G298" s="424"/>
      <c r="H298" s="424"/>
      <c r="I298" s="424"/>
      <c r="J298" s="424"/>
      <c r="K298" s="424"/>
      <c r="L298" s="424"/>
      <c r="M298" s="424"/>
      <c r="N298" s="424"/>
      <c r="O298" s="424"/>
      <c r="P298" s="424"/>
      <c r="Q298" s="435" t="n">
        <v>45</v>
      </c>
      <c r="R298" s="434" t="s">
        <v>547</v>
      </c>
      <c r="S298" s="424"/>
      <c r="T298" s="434" t="s">
        <v>548</v>
      </c>
      <c r="U298" s="434" t="s">
        <v>549</v>
      </c>
      <c r="V298" s="436" t="n">
        <f aca="false">AY303</f>
        <v>0</v>
      </c>
      <c r="BN298" s="427"/>
    </row>
    <row r="299" customFormat="false" ht="13.5" hidden="false" customHeight="false" outlineLevel="0" collapsed="false">
      <c r="A299" s="440"/>
      <c r="B299" s="424"/>
      <c r="C299" s="424"/>
      <c r="D299" s="424"/>
      <c r="E299" s="424"/>
      <c r="F299" s="424"/>
      <c r="G299" s="424"/>
      <c r="H299" s="424"/>
      <c r="I299" s="424"/>
      <c r="J299" s="424"/>
      <c r="K299" s="424"/>
      <c r="L299" s="424"/>
      <c r="M299" s="424"/>
      <c r="N299" s="424"/>
      <c r="O299" s="424"/>
      <c r="P299" s="424"/>
      <c r="Q299" s="435" t="n">
        <v>46</v>
      </c>
      <c r="R299" s="434" t="s">
        <v>550</v>
      </c>
      <c r="S299" s="424"/>
      <c r="T299" s="434" t="s">
        <v>551</v>
      </c>
      <c r="U299" s="434" t="s">
        <v>552</v>
      </c>
      <c r="V299" s="436" t="n">
        <f aca="false">AY304</f>
        <v>0</v>
      </c>
      <c r="BN299" s="427"/>
    </row>
    <row r="300" customFormat="false" ht="13.5" hidden="false" customHeight="false" outlineLevel="0" collapsed="false">
      <c r="A300" s="440"/>
      <c r="B300" s="424"/>
      <c r="C300" s="424"/>
      <c r="D300" s="424"/>
      <c r="E300" s="424"/>
      <c r="F300" s="424"/>
      <c r="G300" s="424"/>
      <c r="H300" s="424"/>
      <c r="I300" s="424"/>
      <c r="J300" s="424"/>
      <c r="K300" s="424"/>
      <c r="L300" s="424"/>
      <c r="M300" s="424"/>
      <c r="N300" s="424"/>
      <c r="O300" s="424"/>
      <c r="P300" s="424"/>
      <c r="Q300" s="435" t="n">
        <v>47</v>
      </c>
      <c r="R300" s="434" t="s">
        <v>553</v>
      </c>
      <c r="S300" s="424"/>
      <c r="T300" s="434" t="s">
        <v>554</v>
      </c>
      <c r="U300" s="434" t="s">
        <v>555</v>
      </c>
      <c r="V300" s="436" t="n">
        <f aca="false">AY305</f>
        <v>0</v>
      </c>
      <c r="BN300" s="427"/>
    </row>
    <row r="301" customFormat="false" ht="13.5" hidden="false" customHeight="false" outlineLevel="0" collapsed="false">
      <c r="A301" s="424"/>
      <c r="B301" s="424"/>
      <c r="C301" s="424"/>
      <c r="D301" s="424"/>
      <c r="E301" s="424"/>
      <c r="F301" s="424"/>
      <c r="G301" s="424"/>
      <c r="H301" s="424"/>
      <c r="I301" s="424"/>
      <c r="J301" s="424"/>
      <c r="K301" s="424"/>
      <c r="L301" s="424"/>
      <c r="M301" s="424"/>
      <c r="N301" s="424"/>
      <c r="O301" s="424"/>
      <c r="P301" s="424"/>
      <c r="Q301" s="435" t="n">
        <v>48</v>
      </c>
      <c r="R301" s="434" t="s">
        <v>556</v>
      </c>
      <c r="S301" s="424"/>
      <c r="T301" s="434" t="s">
        <v>557</v>
      </c>
      <c r="U301" s="434" t="s">
        <v>558</v>
      </c>
      <c r="V301" s="436" t="n">
        <f aca="false">AY306</f>
        <v>0</v>
      </c>
      <c r="BN301" s="427"/>
    </row>
    <row r="302" customFormat="false" ht="13.5" hidden="false" customHeight="false" outlineLevel="0" collapsed="false">
      <c r="A302" s="424"/>
      <c r="B302" s="424"/>
      <c r="C302" s="424"/>
      <c r="D302" s="424"/>
      <c r="E302" s="424"/>
      <c r="F302" s="424"/>
      <c r="G302" s="424"/>
      <c r="H302" s="424"/>
      <c r="I302" s="424"/>
      <c r="J302" s="424"/>
      <c r="K302" s="424"/>
      <c r="L302" s="424"/>
      <c r="M302" s="424"/>
      <c r="N302" s="424"/>
      <c r="O302" s="424"/>
      <c r="P302" s="424"/>
      <c r="Q302" s="435" t="n">
        <v>49</v>
      </c>
      <c r="R302" s="434" t="s">
        <v>559</v>
      </c>
      <c r="S302" s="424"/>
      <c r="T302" s="434" t="s">
        <v>560</v>
      </c>
      <c r="U302" s="434" t="s">
        <v>561</v>
      </c>
      <c r="V302" s="436" t="n">
        <f aca="false">AY307</f>
        <v>0</v>
      </c>
      <c r="BN302" s="427"/>
    </row>
    <row r="303" customFormat="false" ht="13.5" hidden="false" customHeight="false" outlineLevel="0" collapsed="false">
      <c r="A303" s="424"/>
      <c r="B303" s="424"/>
      <c r="C303" s="424"/>
      <c r="D303" s="424"/>
      <c r="E303" s="424"/>
      <c r="F303" s="424"/>
      <c r="G303" s="424"/>
      <c r="H303" s="424"/>
      <c r="I303" s="424"/>
      <c r="J303" s="424"/>
      <c r="K303" s="424"/>
      <c r="L303" s="424"/>
      <c r="M303" s="424"/>
      <c r="N303" s="424"/>
      <c r="O303" s="424"/>
      <c r="P303" s="424"/>
      <c r="Q303" s="435" t="n">
        <v>50</v>
      </c>
      <c r="R303" s="434" t="s">
        <v>562</v>
      </c>
      <c r="S303" s="424"/>
      <c r="T303" s="434" t="s">
        <v>563</v>
      </c>
      <c r="U303" s="434" t="s">
        <v>564</v>
      </c>
      <c r="V303" s="436" t="n">
        <f aca="false">AY308</f>
        <v>0</v>
      </c>
      <c r="BN303" s="427"/>
    </row>
    <row r="304" customFormat="false" ht="13.5" hidden="false" customHeight="false" outlineLevel="0" collapsed="false">
      <c r="A304" s="424"/>
      <c r="B304" s="424"/>
      <c r="C304" s="424"/>
      <c r="D304" s="424"/>
      <c r="E304" s="424"/>
      <c r="F304" s="424"/>
      <c r="G304" s="424"/>
      <c r="H304" s="424"/>
      <c r="I304" s="424"/>
      <c r="J304" s="424"/>
      <c r="K304" s="424"/>
      <c r="L304" s="424"/>
      <c r="M304" s="424"/>
      <c r="N304" s="424"/>
      <c r="O304" s="424"/>
      <c r="P304" s="424"/>
      <c r="Q304" s="435" t="n">
        <v>51</v>
      </c>
      <c r="R304" s="434" t="s">
        <v>565</v>
      </c>
      <c r="S304" s="424"/>
      <c r="T304" s="434" t="s">
        <v>566</v>
      </c>
      <c r="U304" s="434" t="s">
        <v>567</v>
      </c>
      <c r="V304" s="436" t="n">
        <f aca="false">AY309</f>
        <v>0</v>
      </c>
      <c r="BN304" s="427"/>
    </row>
    <row r="305" customFormat="false" ht="13.5" hidden="false" customHeight="false" outlineLevel="0" collapsed="false">
      <c r="A305" s="424"/>
      <c r="B305" s="424"/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P305" s="424"/>
      <c r="Q305" s="435" t="n">
        <v>52</v>
      </c>
      <c r="R305" s="434" t="s">
        <v>568</v>
      </c>
      <c r="S305" s="424"/>
      <c r="T305" s="434" t="s">
        <v>569</v>
      </c>
      <c r="U305" s="434" t="s">
        <v>570</v>
      </c>
      <c r="V305" s="436" t="n">
        <f aca="false">AY310</f>
        <v>0</v>
      </c>
      <c r="BN305" s="427"/>
    </row>
    <row r="306" customFormat="false" ht="13.5" hidden="false" customHeight="false" outlineLevel="0" collapsed="false">
      <c r="A306" s="424"/>
      <c r="B306" s="424"/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P306" s="424"/>
      <c r="Q306" s="435" t="n">
        <v>53</v>
      </c>
      <c r="R306" s="434" t="s">
        <v>571</v>
      </c>
      <c r="S306" s="424"/>
      <c r="T306" s="434" t="s">
        <v>572</v>
      </c>
      <c r="U306" s="434" t="s">
        <v>573</v>
      </c>
      <c r="V306" s="436" t="n">
        <f aca="false">AY311</f>
        <v>0</v>
      </c>
      <c r="BN306" s="427"/>
    </row>
    <row r="307" customFormat="false" ht="13.5" hidden="false" customHeight="false" outlineLevel="0" collapsed="false">
      <c r="A307" s="424"/>
      <c r="B307" s="424"/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P307" s="424"/>
      <c r="Q307" s="435" t="n">
        <v>54</v>
      </c>
      <c r="R307" s="434" t="s">
        <v>574</v>
      </c>
      <c r="S307" s="424"/>
      <c r="T307" s="434" t="s">
        <v>575</v>
      </c>
      <c r="U307" s="434" t="s">
        <v>576</v>
      </c>
      <c r="V307" s="436" t="n">
        <f aca="false">AY312</f>
        <v>0</v>
      </c>
      <c r="BN307" s="427"/>
    </row>
    <row r="308" customFormat="false" ht="13.5" hidden="false" customHeight="false" outlineLevel="0" collapsed="false">
      <c r="A308" s="424"/>
      <c r="B308" s="424"/>
      <c r="C308" s="424"/>
      <c r="D308" s="424"/>
      <c r="E308" s="424"/>
      <c r="F308" s="424"/>
      <c r="G308" s="424"/>
      <c r="H308" s="424"/>
      <c r="I308" s="424"/>
      <c r="J308" s="424"/>
      <c r="K308" s="424"/>
      <c r="L308" s="424"/>
      <c r="M308" s="424"/>
      <c r="N308" s="424"/>
      <c r="O308" s="424"/>
      <c r="P308" s="424"/>
      <c r="Q308" s="435" t="n">
        <v>55</v>
      </c>
      <c r="R308" s="434" t="s">
        <v>577</v>
      </c>
      <c r="S308" s="424"/>
      <c r="T308" s="434" t="s">
        <v>578</v>
      </c>
      <c r="U308" s="434" t="s">
        <v>579</v>
      </c>
      <c r="V308" s="436" t="n">
        <f aca="false">AY313</f>
        <v>0</v>
      </c>
      <c r="BN308" s="427"/>
    </row>
    <row r="309" customFormat="false" ht="13.5" hidden="false" customHeight="false" outlineLevel="0" collapsed="false">
      <c r="A309" s="424"/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  <c r="M309" s="424"/>
      <c r="N309" s="424"/>
      <c r="O309" s="424"/>
      <c r="P309" s="424"/>
      <c r="Q309" s="435" t="n">
        <v>56</v>
      </c>
      <c r="R309" s="434" t="s">
        <v>580</v>
      </c>
      <c r="S309" s="424"/>
      <c r="T309" s="434" t="s">
        <v>581</v>
      </c>
      <c r="U309" s="434" t="s">
        <v>582</v>
      </c>
      <c r="V309" s="436" t="n">
        <f aca="false">AY314</f>
        <v>0</v>
      </c>
      <c r="BN309" s="427"/>
    </row>
    <row r="310" customFormat="false" ht="13.5" hidden="false" customHeight="false" outlineLevel="0" collapsed="false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  <c r="M310" s="424"/>
      <c r="N310" s="424"/>
      <c r="O310" s="424"/>
      <c r="P310" s="424"/>
      <c r="Q310" s="435" t="n">
        <v>57</v>
      </c>
      <c r="R310" s="434" t="s">
        <v>583</v>
      </c>
      <c r="S310" s="424"/>
      <c r="T310" s="434" t="s">
        <v>584</v>
      </c>
      <c r="U310" s="434" t="s">
        <v>585</v>
      </c>
      <c r="V310" s="436" t="n">
        <f aca="false">AY315</f>
        <v>0</v>
      </c>
      <c r="BN310" s="427"/>
    </row>
    <row r="311" customFormat="false" ht="13.5" hidden="false" customHeight="false" outlineLevel="0" collapsed="false">
      <c r="A311" s="424"/>
      <c r="B311" s="424"/>
      <c r="C311" s="424"/>
      <c r="D311" s="424"/>
      <c r="E311" s="424"/>
      <c r="F311" s="424"/>
      <c r="G311" s="424"/>
      <c r="H311" s="424"/>
      <c r="I311" s="424"/>
      <c r="J311" s="424"/>
      <c r="K311" s="424"/>
      <c r="L311" s="424"/>
      <c r="M311" s="424"/>
      <c r="N311" s="424"/>
      <c r="O311" s="424"/>
      <c r="P311" s="424"/>
      <c r="Q311" s="435" t="n">
        <v>58</v>
      </c>
      <c r="R311" s="434" t="s">
        <v>586</v>
      </c>
      <c r="S311" s="424"/>
      <c r="T311" s="434" t="s">
        <v>587</v>
      </c>
      <c r="U311" s="434" t="s">
        <v>588</v>
      </c>
      <c r="V311" s="436" t="n">
        <f aca="false">AY316</f>
        <v>0</v>
      </c>
      <c r="BN311" s="427"/>
    </row>
    <row r="312" customFormat="false" ht="13.5" hidden="false" customHeight="false" outlineLevel="0" collapsed="false">
      <c r="A312" s="424"/>
      <c r="B312" s="424"/>
      <c r="C312" s="424"/>
      <c r="D312" s="424"/>
      <c r="E312" s="424"/>
      <c r="F312" s="424"/>
      <c r="G312" s="424"/>
      <c r="H312" s="424"/>
      <c r="I312" s="424"/>
      <c r="J312" s="424"/>
      <c r="K312" s="424"/>
      <c r="L312" s="424"/>
      <c r="M312" s="424"/>
      <c r="N312" s="424"/>
      <c r="O312" s="424"/>
      <c r="P312" s="424"/>
      <c r="Q312" s="435" t="n">
        <v>59</v>
      </c>
      <c r="R312" s="434" t="s">
        <v>589</v>
      </c>
      <c r="S312" s="424"/>
      <c r="T312" s="434" t="s">
        <v>590</v>
      </c>
      <c r="U312" s="434" t="s">
        <v>591</v>
      </c>
      <c r="V312" s="436" t="n">
        <f aca="false">AY317</f>
        <v>0</v>
      </c>
      <c r="BN312" s="427"/>
    </row>
    <row r="313" customFormat="false" ht="13.5" hidden="false" customHeight="false" outlineLevel="0" collapsed="false">
      <c r="A313" s="424"/>
      <c r="B313" s="424"/>
      <c r="C313" s="424"/>
      <c r="D313" s="424"/>
      <c r="E313" s="424"/>
      <c r="F313" s="424"/>
      <c r="G313" s="424"/>
      <c r="H313" s="424"/>
      <c r="I313" s="424"/>
      <c r="J313" s="424"/>
      <c r="K313" s="424"/>
      <c r="L313" s="424"/>
      <c r="M313" s="424"/>
      <c r="N313" s="424"/>
      <c r="O313" s="424"/>
      <c r="P313" s="424"/>
      <c r="Q313" s="435" t="n">
        <v>60</v>
      </c>
      <c r="R313" s="434" t="s">
        <v>592</v>
      </c>
      <c r="S313" s="424"/>
      <c r="T313" s="434" t="s">
        <v>593</v>
      </c>
      <c r="U313" s="434" t="s">
        <v>594</v>
      </c>
      <c r="V313" s="436" t="n">
        <f aca="false">AY318</f>
        <v>0</v>
      </c>
      <c r="BN313" s="427"/>
    </row>
    <row r="314" customFormat="false" ht="13.5" hidden="false" customHeight="false" outlineLevel="0" collapsed="false">
      <c r="A314" s="424"/>
      <c r="B314" s="424"/>
      <c r="C314" s="424"/>
      <c r="D314" s="424"/>
      <c r="E314" s="424"/>
      <c r="F314" s="424"/>
      <c r="G314" s="424"/>
      <c r="H314" s="424"/>
      <c r="I314" s="424"/>
      <c r="J314" s="424"/>
      <c r="K314" s="424"/>
      <c r="L314" s="424"/>
      <c r="M314" s="424"/>
      <c r="N314" s="424"/>
      <c r="O314" s="424"/>
      <c r="P314" s="424"/>
      <c r="Q314" s="435" t="n">
        <v>61</v>
      </c>
      <c r="R314" s="434" t="s">
        <v>595</v>
      </c>
      <c r="S314" s="424"/>
      <c r="T314" s="434" t="s">
        <v>596</v>
      </c>
      <c r="U314" s="434" t="s">
        <v>597</v>
      </c>
      <c r="V314" s="436" t="n">
        <f aca="false">AY319</f>
        <v>0</v>
      </c>
      <c r="BN314" s="427"/>
    </row>
    <row r="315" customFormat="false" ht="13.5" hidden="false" customHeight="false" outlineLevel="0" collapsed="false">
      <c r="A315" s="424"/>
      <c r="B315" s="424"/>
      <c r="C315" s="424"/>
      <c r="D315" s="424"/>
      <c r="E315" s="424"/>
      <c r="F315" s="424"/>
      <c r="G315" s="424"/>
      <c r="H315" s="424"/>
      <c r="I315" s="424"/>
      <c r="J315" s="424"/>
      <c r="K315" s="424"/>
      <c r="L315" s="424"/>
      <c r="M315" s="424"/>
      <c r="N315" s="424"/>
      <c r="O315" s="424"/>
      <c r="P315" s="424"/>
      <c r="Q315" s="435" t="n">
        <v>62</v>
      </c>
      <c r="R315" s="434" t="s">
        <v>598</v>
      </c>
      <c r="S315" s="424"/>
      <c r="T315" s="434" t="s">
        <v>599</v>
      </c>
      <c r="U315" s="434" t="s">
        <v>600</v>
      </c>
      <c r="V315" s="436" t="n">
        <f aca="false">AY320</f>
        <v>0</v>
      </c>
      <c r="BN315" s="427"/>
    </row>
    <row r="316" customFormat="false" ht="13.5" hidden="false" customHeight="false" outlineLevel="0" collapsed="false">
      <c r="A316" s="424"/>
      <c r="B316" s="424"/>
      <c r="C316" s="424"/>
      <c r="D316" s="424"/>
      <c r="E316" s="424"/>
      <c r="F316" s="424"/>
      <c r="G316" s="424"/>
      <c r="H316" s="424"/>
      <c r="I316" s="424"/>
      <c r="J316" s="424"/>
      <c r="K316" s="424"/>
      <c r="L316" s="424"/>
      <c r="M316" s="424"/>
      <c r="N316" s="424"/>
      <c r="O316" s="424"/>
      <c r="P316" s="424"/>
      <c r="Q316" s="435" t="n">
        <v>63</v>
      </c>
      <c r="R316" s="434" t="s">
        <v>601</v>
      </c>
      <c r="S316" s="424"/>
      <c r="T316" s="434" t="s">
        <v>602</v>
      </c>
      <c r="U316" s="434" t="s">
        <v>603</v>
      </c>
      <c r="V316" s="436" t="n">
        <f aca="false">AY321</f>
        <v>0</v>
      </c>
      <c r="BN316" s="427"/>
    </row>
    <row r="317" customFormat="false" ht="13.5" hidden="false" customHeight="false" outlineLevel="0" collapsed="false">
      <c r="A317" s="424"/>
      <c r="B317" s="424"/>
      <c r="C317" s="424"/>
      <c r="D317" s="424"/>
      <c r="E317" s="424"/>
      <c r="F317" s="424"/>
      <c r="G317" s="424"/>
      <c r="H317" s="424"/>
      <c r="I317" s="424"/>
      <c r="J317" s="424"/>
      <c r="K317" s="424"/>
      <c r="L317" s="424"/>
      <c r="M317" s="424"/>
      <c r="N317" s="424"/>
      <c r="O317" s="424"/>
      <c r="P317" s="424"/>
      <c r="Q317" s="435" t="n">
        <v>64</v>
      </c>
      <c r="R317" s="434" t="s">
        <v>604</v>
      </c>
      <c r="S317" s="424"/>
      <c r="T317" s="434" t="s">
        <v>605</v>
      </c>
      <c r="U317" s="434" t="s">
        <v>606</v>
      </c>
      <c r="V317" s="436" t="n">
        <f aca="false">AY322</f>
        <v>0</v>
      </c>
      <c r="BN317" s="427"/>
    </row>
    <row r="318" customFormat="false" ht="13.5" hidden="false" customHeight="false" outlineLevel="0" collapsed="false">
      <c r="A318" s="424"/>
      <c r="B318" s="424"/>
      <c r="C318" s="424"/>
      <c r="D318" s="424"/>
      <c r="E318" s="424"/>
      <c r="F318" s="424"/>
      <c r="G318" s="424"/>
      <c r="H318" s="424"/>
      <c r="I318" s="424"/>
      <c r="J318" s="424"/>
      <c r="K318" s="424"/>
      <c r="L318" s="424"/>
      <c r="M318" s="424"/>
      <c r="N318" s="424"/>
      <c r="O318" s="424"/>
      <c r="P318" s="424"/>
      <c r="Q318" s="435" t="n">
        <v>65</v>
      </c>
      <c r="R318" s="434" t="s">
        <v>607</v>
      </c>
      <c r="S318" s="424"/>
      <c r="T318" s="434" t="s">
        <v>608</v>
      </c>
      <c r="U318" s="434" t="s">
        <v>609</v>
      </c>
      <c r="V318" s="436" t="n">
        <f aca="false">AY323</f>
        <v>0</v>
      </c>
      <c r="BN318" s="427"/>
    </row>
    <row r="319" customFormat="false" ht="13.5" hidden="false" customHeight="false" outlineLevel="0" collapsed="false">
      <c r="A319" s="424"/>
      <c r="B319" s="424"/>
      <c r="C319" s="424"/>
      <c r="D319" s="424"/>
      <c r="E319" s="424"/>
      <c r="F319" s="424"/>
      <c r="G319" s="424"/>
      <c r="H319" s="424"/>
      <c r="I319" s="424"/>
      <c r="J319" s="424"/>
      <c r="K319" s="424"/>
      <c r="L319" s="424"/>
      <c r="M319" s="424"/>
      <c r="N319" s="424"/>
      <c r="O319" s="424"/>
      <c r="P319" s="424"/>
      <c r="Q319" s="435" t="n">
        <v>66</v>
      </c>
      <c r="R319" s="434" t="s">
        <v>610</v>
      </c>
      <c r="S319" s="424"/>
      <c r="T319" s="434" t="s">
        <v>611</v>
      </c>
      <c r="U319" s="434" t="s">
        <v>612</v>
      </c>
      <c r="V319" s="436" t="n">
        <f aca="false">AY324</f>
        <v>0</v>
      </c>
      <c r="BN319" s="427"/>
    </row>
    <row r="320" customFormat="false" ht="13.5" hidden="false" customHeight="false" outlineLevel="0" collapsed="false">
      <c r="A320" s="424"/>
      <c r="B320" s="424"/>
      <c r="C320" s="424"/>
      <c r="D320" s="424"/>
      <c r="E320" s="424"/>
      <c r="F320" s="424"/>
      <c r="G320" s="424"/>
      <c r="H320" s="424"/>
      <c r="I320" s="424"/>
      <c r="J320" s="424"/>
      <c r="K320" s="424"/>
      <c r="L320" s="424"/>
      <c r="M320" s="424"/>
      <c r="N320" s="424"/>
      <c r="O320" s="424"/>
      <c r="P320" s="424"/>
      <c r="Q320" s="435" t="n">
        <v>67</v>
      </c>
      <c r="R320" s="434" t="s">
        <v>613</v>
      </c>
      <c r="S320" s="424"/>
      <c r="T320" s="434" t="s">
        <v>614</v>
      </c>
      <c r="U320" s="434" t="s">
        <v>615</v>
      </c>
      <c r="V320" s="436" t="n">
        <f aca="false">AY325</f>
        <v>0</v>
      </c>
      <c r="BN320" s="427"/>
    </row>
    <row r="321" customFormat="false" ht="13.5" hidden="false" customHeight="false" outlineLevel="0" collapsed="false">
      <c r="A321" s="424"/>
      <c r="B321" s="424"/>
      <c r="C321" s="424"/>
      <c r="D321" s="424"/>
      <c r="E321" s="424"/>
      <c r="F321" s="424"/>
      <c r="G321" s="424"/>
      <c r="H321" s="424"/>
      <c r="I321" s="424"/>
      <c r="J321" s="424"/>
      <c r="K321" s="424"/>
      <c r="L321" s="424"/>
      <c r="M321" s="424"/>
      <c r="N321" s="424"/>
      <c r="O321" s="424"/>
      <c r="P321" s="424"/>
      <c r="Q321" s="435" t="n">
        <v>68</v>
      </c>
      <c r="R321" s="434" t="s">
        <v>616</v>
      </c>
      <c r="S321" s="424"/>
      <c r="T321" s="434" t="s">
        <v>617</v>
      </c>
      <c r="U321" s="434" t="s">
        <v>618</v>
      </c>
      <c r="V321" s="436" t="n">
        <f aca="false">AY326</f>
        <v>0</v>
      </c>
      <c r="BN321" s="427"/>
    </row>
    <row r="322" customFormat="false" ht="13.5" hidden="false" customHeight="false" outlineLevel="0" collapsed="false">
      <c r="A322" s="424"/>
      <c r="B322" s="424"/>
      <c r="C322" s="424"/>
      <c r="D322" s="424"/>
      <c r="E322" s="424"/>
      <c r="F322" s="424"/>
      <c r="G322" s="424"/>
      <c r="H322" s="424"/>
      <c r="I322" s="424"/>
      <c r="J322" s="424"/>
      <c r="K322" s="424"/>
      <c r="L322" s="424"/>
      <c r="M322" s="424"/>
      <c r="N322" s="424"/>
      <c r="O322" s="424"/>
      <c r="P322" s="424"/>
      <c r="Q322" s="435" t="n">
        <v>69</v>
      </c>
      <c r="R322" s="434" t="s">
        <v>619</v>
      </c>
      <c r="S322" s="424"/>
      <c r="T322" s="434" t="s">
        <v>620</v>
      </c>
      <c r="U322" s="434" t="s">
        <v>621</v>
      </c>
      <c r="V322" s="436" t="n">
        <f aca="false">AY327</f>
        <v>0</v>
      </c>
      <c r="BN322" s="427"/>
    </row>
    <row r="323" customFormat="false" ht="13.5" hidden="false" customHeight="false" outlineLevel="0" collapsed="false">
      <c r="A323" s="424"/>
      <c r="B323" s="424"/>
      <c r="C323" s="424"/>
      <c r="D323" s="424"/>
      <c r="E323" s="424"/>
      <c r="F323" s="424"/>
      <c r="G323" s="424"/>
      <c r="H323" s="424"/>
      <c r="I323" s="424"/>
      <c r="J323" s="424"/>
      <c r="K323" s="424"/>
      <c r="L323" s="424"/>
      <c r="M323" s="424"/>
      <c r="N323" s="424"/>
      <c r="O323" s="424"/>
      <c r="P323" s="424"/>
      <c r="Q323" s="435" t="n">
        <v>70</v>
      </c>
      <c r="R323" s="434" t="s">
        <v>622</v>
      </c>
      <c r="S323" s="424"/>
      <c r="T323" s="434" t="s">
        <v>623</v>
      </c>
      <c r="U323" s="434" t="s">
        <v>624</v>
      </c>
      <c r="V323" s="436" t="n">
        <f aca="false">AY328</f>
        <v>0</v>
      </c>
      <c r="BN323" s="427"/>
    </row>
    <row r="324" customFormat="false" ht="13.5" hidden="false" customHeight="false" outlineLevel="0" collapsed="false">
      <c r="A324" s="424"/>
      <c r="B324" s="424"/>
      <c r="C324" s="424"/>
      <c r="D324" s="424"/>
      <c r="E324" s="424"/>
      <c r="F324" s="424"/>
      <c r="G324" s="424"/>
      <c r="H324" s="424"/>
      <c r="I324" s="424"/>
      <c r="J324" s="424"/>
      <c r="K324" s="424"/>
      <c r="L324" s="424"/>
      <c r="M324" s="424"/>
      <c r="N324" s="424"/>
      <c r="O324" s="424"/>
      <c r="P324" s="424"/>
      <c r="Q324" s="435" t="n">
        <v>71</v>
      </c>
      <c r="R324" s="434" t="s">
        <v>625</v>
      </c>
      <c r="S324" s="424"/>
      <c r="T324" s="434" t="s">
        <v>626</v>
      </c>
      <c r="U324" s="434" t="s">
        <v>627</v>
      </c>
      <c r="V324" s="436" t="n">
        <f aca="false">AY329</f>
        <v>0</v>
      </c>
      <c r="BN324" s="427"/>
    </row>
    <row r="325" customFormat="false" ht="13.5" hidden="false" customHeight="false" outlineLevel="0" collapsed="false">
      <c r="A325" s="424"/>
      <c r="B325" s="424"/>
      <c r="C325" s="424"/>
      <c r="D325" s="424"/>
      <c r="E325" s="424"/>
      <c r="F325" s="424"/>
      <c r="G325" s="424"/>
      <c r="H325" s="424"/>
      <c r="I325" s="424"/>
      <c r="J325" s="424"/>
      <c r="K325" s="424"/>
      <c r="L325" s="424"/>
      <c r="M325" s="424"/>
      <c r="N325" s="424"/>
      <c r="O325" s="424"/>
      <c r="P325" s="424"/>
      <c r="Q325" s="435" t="n">
        <v>72</v>
      </c>
      <c r="R325" s="434" t="s">
        <v>628</v>
      </c>
      <c r="S325" s="424"/>
      <c r="T325" s="434" t="s">
        <v>629</v>
      </c>
      <c r="U325" s="434" t="s">
        <v>630</v>
      </c>
      <c r="V325" s="436" t="n">
        <f aca="false">AY330</f>
        <v>0</v>
      </c>
      <c r="BN325" s="427"/>
    </row>
    <row r="326" customFormat="false" ht="13.5" hidden="false" customHeight="false" outlineLevel="0" collapsed="false">
      <c r="A326" s="424"/>
      <c r="B326" s="424"/>
      <c r="C326" s="424"/>
      <c r="D326" s="424"/>
      <c r="E326" s="424"/>
      <c r="F326" s="424"/>
      <c r="G326" s="424"/>
      <c r="H326" s="424"/>
      <c r="I326" s="424"/>
      <c r="J326" s="424"/>
      <c r="K326" s="424"/>
      <c r="L326" s="424"/>
      <c r="M326" s="424"/>
      <c r="N326" s="424"/>
      <c r="O326" s="424"/>
      <c r="P326" s="424"/>
      <c r="Q326" s="435" t="n">
        <v>73</v>
      </c>
      <c r="R326" s="434" t="s">
        <v>631</v>
      </c>
      <c r="S326" s="424"/>
      <c r="T326" s="434" t="s">
        <v>632</v>
      </c>
      <c r="U326" s="434" t="s">
        <v>633</v>
      </c>
      <c r="V326" s="436" t="n">
        <f aca="false">AY331</f>
        <v>0</v>
      </c>
      <c r="BN326" s="427"/>
    </row>
    <row r="327" customFormat="false" ht="13.5" hidden="false" customHeight="false" outlineLevel="0" collapsed="false">
      <c r="A327" s="424"/>
      <c r="B327" s="424"/>
      <c r="C327" s="424"/>
      <c r="D327" s="424"/>
      <c r="E327" s="424"/>
      <c r="F327" s="424"/>
      <c r="G327" s="424"/>
      <c r="H327" s="424"/>
      <c r="I327" s="424"/>
      <c r="J327" s="424"/>
      <c r="K327" s="424"/>
      <c r="L327" s="424"/>
      <c r="M327" s="424"/>
      <c r="N327" s="424"/>
      <c r="O327" s="424"/>
      <c r="P327" s="424"/>
      <c r="Q327" s="435" t="n">
        <v>74</v>
      </c>
      <c r="R327" s="434" t="s">
        <v>634</v>
      </c>
      <c r="S327" s="424"/>
      <c r="T327" s="434" t="s">
        <v>635</v>
      </c>
      <c r="U327" s="434" t="s">
        <v>636</v>
      </c>
      <c r="V327" s="436" t="n">
        <f aca="false">AY332</f>
        <v>0</v>
      </c>
      <c r="BN327" s="427"/>
    </row>
    <row r="328" customFormat="false" ht="13.5" hidden="false" customHeight="false" outlineLevel="0" collapsed="false">
      <c r="A328" s="424"/>
      <c r="B328" s="424"/>
      <c r="C328" s="424"/>
      <c r="D328" s="424"/>
      <c r="E328" s="424"/>
      <c r="F328" s="424"/>
      <c r="G328" s="424"/>
      <c r="H328" s="424"/>
      <c r="I328" s="424"/>
      <c r="J328" s="424"/>
      <c r="K328" s="424"/>
      <c r="L328" s="424"/>
      <c r="M328" s="424"/>
      <c r="N328" s="424"/>
      <c r="O328" s="424"/>
      <c r="P328" s="424"/>
      <c r="Q328" s="435" t="n">
        <v>75</v>
      </c>
      <c r="R328" s="434" t="s">
        <v>637</v>
      </c>
      <c r="S328" s="424"/>
      <c r="T328" s="434" t="s">
        <v>638</v>
      </c>
      <c r="U328" s="434" t="s">
        <v>639</v>
      </c>
      <c r="V328" s="436" t="n">
        <f aca="false">AY333</f>
        <v>0</v>
      </c>
      <c r="BN328" s="427"/>
    </row>
    <row r="329" customFormat="false" ht="13.5" hidden="false" customHeight="false" outlineLevel="0" collapsed="false">
      <c r="A329" s="424"/>
      <c r="B329" s="424"/>
      <c r="C329" s="424"/>
      <c r="D329" s="424"/>
      <c r="E329" s="424"/>
      <c r="F329" s="424"/>
      <c r="G329" s="424"/>
      <c r="H329" s="424"/>
      <c r="I329" s="424"/>
      <c r="J329" s="424"/>
      <c r="K329" s="424"/>
      <c r="L329" s="424"/>
      <c r="M329" s="424"/>
      <c r="N329" s="424"/>
      <c r="O329" s="424"/>
      <c r="P329" s="424"/>
      <c r="Q329" s="435" t="n">
        <v>76</v>
      </c>
      <c r="R329" s="434" t="s">
        <v>640</v>
      </c>
      <c r="S329" s="424"/>
      <c r="T329" s="434" t="s">
        <v>641</v>
      </c>
      <c r="U329" s="434" t="s">
        <v>642</v>
      </c>
      <c r="V329" s="436" t="n">
        <f aca="false">AY334</f>
        <v>0</v>
      </c>
      <c r="BN329" s="427"/>
    </row>
    <row r="330" customFormat="false" ht="13.5" hidden="false" customHeight="false" outlineLevel="0" collapsed="false">
      <c r="A330" s="424"/>
      <c r="B330" s="424"/>
      <c r="C330" s="424"/>
      <c r="D330" s="424"/>
      <c r="E330" s="424"/>
      <c r="F330" s="424"/>
      <c r="G330" s="424"/>
      <c r="H330" s="424"/>
      <c r="I330" s="424"/>
      <c r="J330" s="424"/>
      <c r="K330" s="424"/>
      <c r="L330" s="424"/>
      <c r="M330" s="424"/>
      <c r="N330" s="424"/>
      <c r="O330" s="424"/>
      <c r="P330" s="424"/>
      <c r="Q330" s="435" t="n">
        <v>77</v>
      </c>
      <c r="R330" s="434" t="s">
        <v>643</v>
      </c>
      <c r="S330" s="424"/>
      <c r="T330" s="434" t="s">
        <v>644</v>
      </c>
      <c r="U330" s="434" t="s">
        <v>645</v>
      </c>
      <c r="V330" s="436" t="n">
        <f aca="false">AY335</f>
        <v>0</v>
      </c>
      <c r="BN330" s="427"/>
    </row>
    <row r="331" customFormat="false" ht="13.5" hidden="false" customHeight="false" outlineLevel="0" collapsed="false">
      <c r="A331" s="424"/>
      <c r="B331" s="424"/>
      <c r="C331" s="424"/>
      <c r="D331" s="424"/>
      <c r="E331" s="424"/>
      <c r="F331" s="424"/>
      <c r="G331" s="424"/>
      <c r="H331" s="424"/>
      <c r="I331" s="424"/>
      <c r="J331" s="424"/>
      <c r="K331" s="424"/>
      <c r="L331" s="424"/>
      <c r="M331" s="424"/>
      <c r="N331" s="424"/>
      <c r="O331" s="424"/>
      <c r="P331" s="424"/>
      <c r="Q331" s="435" t="n">
        <v>78</v>
      </c>
      <c r="R331" s="434" t="s">
        <v>646</v>
      </c>
      <c r="S331" s="424"/>
      <c r="T331" s="434" t="s">
        <v>647</v>
      </c>
      <c r="U331" s="434" t="s">
        <v>648</v>
      </c>
      <c r="V331" s="436" t="n">
        <f aca="false">AY336</f>
        <v>0</v>
      </c>
      <c r="BN331" s="427"/>
    </row>
    <row r="332" customFormat="false" ht="13.5" hidden="false" customHeight="false" outlineLevel="0" collapsed="false">
      <c r="A332" s="424"/>
      <c r="B332" s="424"/>
      <c r="C332" s="424"/>
      <c r="D332" s="424"/>
      <c r="E332" s="424"/>
      <c r="F332" s="424"/>
      <c r="G332" s="424"/>
      <c r="H332" s="424"/>
      <c r="I332" s="424"/>
      <c r="J332" s="424"/>
      <c r="K332" s="424"/>
      <c r="L332" s="424"/>
      <c r="M332" s="424"/>
      <c r="N332" s="424"/>
      <c r="O332" s="424"/>
      <c r="P332" s="424"/>
      <c r="Q332" s="435" t="n">
        <v>79</v>
      </c>
      <c r="R332" s="434" t="s">
        <v>649</v>
      </c>
      <c r="S332" s="424"/>
      <c r="T332" s="434" t="s">
        <v>650</v>
      </c>
      <c r="U332" s="434" t="s">
        <v>651</v>
      </c>
      <c r="V332" s="436" t="n">
        <f aca="false">AY337</f>
        <v>0</v>
      </c>
      <c r="BN332" s="427"/>
    </row>
    <row r="333" customFormat="false" ht="13.5" hidden="false" customHeight="false" outlineLevel="0" collapsed="false">
      <c r="A333" s="424"/>
      <c r="B333" s="424"/>
      <c r="C333" s="424"/>
      <c r="D333" s="424"/>
      <c r="E333" s="424"/>
      <c r="F333" s="424"/>
      <c r="G333" s="424"/>
      <c r="H333" s="424"/>
      <c r="I333" s="424"/>
      <c r="J333" s="424"/>
      <c r="K333" s="424"/>
      <c r="L333" s="424"/>
      <c r="M333" s="424"/>
      <c r="N333" s="424"/>
      <c r="O333" s="424"/>
      <c r="P333" s="424"/>
      <c r="Q333" s="435" t="n">
        <v>80</v>
      </c>
      <c r="R333" s="434" t="s">
        <v>652</v>
      </c>
      <c r="S333" s="424"/>
      <c r="T333" s="434" t="s">
        <v>653</v>
      </c>
      <c r="U333" s="434" t="s">
        <v>654</v>
      </c>
      <c r="V333" s="436" t="n">
        <f aca="false">AY338</f>
        <v>0</v>
      </c>
      <c r="BN333" s="427"/>
    </row>
    <row r="334" customFormat="false" ht="13.5" hidden="false" customHeight="false" outlineLevel="0" collapsed="false">
      <c r="A334" s="424"/>
      <c r="B334" s="424"/>
      <c r="C334" s="424"/>
      <c r="D334" s="424"/>
      <c r="E334" s="424"/>
      <c r="F334" s="424"/>
      <c r="G334" s="424"/>
      <c r="H334" s="424"/>
      <c r="I334" s="424"/>
      <c r="J334" s="424"/>
      <c r="K334" s="424"/>
      <c r="L334" s="424"/>
      <c r="M334" s="424"/>
      <c r="N334" s="424"/>
      <c r="O334" s="424"/>
      <c r="P334" s="424"/>
      <c r="Q334" s="435" t="n">
        <v>81</v>
      </c>
      <c r="R334" s="434" t="s">
        <v>655</v>
      </c>
      <c r="S334" s="424"/>
      <c r="T334" s="434" t="s">
        <v>656</v>
      </c>
      <c r="U334" s="434" t="s">
        <v>657</v>
      </c>
      <c r="V334" s="436" t="n">
        <f aca="false">AY339</f>
        <v>0</v>
      </c>
      <c r="BN334" s="427"/>
    </row>
    <row r="335" customFormat="false" ht="13.5" hidden="false" customHeight="false" outlineLevel="0" collapsed="false">
      <c r="A335" s="424"/>
      <c r="B335" s="424"/>
      <c r="C335" s="424"/>
      <c r="D335" s="424"/>
      <c r="E335" s="424"/>
      <c r="F335" s="424"/>
      <c r="G335" s="424"/>
      <c r="H335" s="424"/>
      <c r="I335" s="424"/>
      <c r="J335" s="424"/>
      <c r="K335" s="424"/>
      <c r="L335" s="424"/>
      <c r="M335" s="424"/>
      <c r="N335" s="424"/>
      <c r="O335" s="424"/>
      <c r="P335" s="424"/>
      <c r="Q335" s="435" t="n">
        <v>82</v>
      </c>
      <c r="R335" s="434" t="s">
        <v>658</v>
      </c>
      <c r="S335" s="424"/>
      <c r="T335" s="434" t="s">
        <v>659</v>
      </c>
      <c r="U335" s="434" t="s">
        <v>660</v>
      </c>
      <c r="V335" s="436" t="n">
        <f aca="false">AY340</f>
        <v>0</v>
      </c>
      <c r="BN335" s="427"/>
    </row>
    <row r="336" customFormat="false" ht="13.5" hidden="false" customHeight="false" outlineLevel="0" collapsed="false">
      <c r="A336" s="424"/>
      <c r="B336" s="424"/>
      <c r="C336" s="424"/>
      <c r="D336" s="424"/>
      <c r="E336" s="424"/>
      <c r="F336" s="424"/>
      <c r="G336" s="424"/>
      <c r="H336" s="424"/>
      <c r="I336" s="424"/>
      <c r="J336" s="424"/>
      <c r="K336" s="424"/>
      <c r="L336" s="424"/>
      <c r="M336" s="424"/>
      <c r="N336" s="424"/>
      <c r="O336" s="424"/>
      <c r="P336" s="424"/>
      <c r="Q336" s="435" t="n">
        <v>83</v>
      </c>
      <c r="R336" s="434" t="s">
        <v>661</v>
      </c>
      <c r="S336" s="424"/>
      <c r="T336" s="434" t="s">
        <v>662</v>
      </c>
      <c r="U336" s="434" t="s">
        <v>663</v>
      </c>
      <c r="V336" s="436" t="n">
        <f aca="false">AY341</f>
        <v>0</v>
      </c>
      <c r="BN336" s="427"/>
    </row>
    <row r="337" customFormat="false" ht="13.5" hidden="false" customHeight="false" outlineLevel="0" collapsed="false">
      <c r="A337" s="424"/>
      <c r="B337" s="424"/>
      <c r="C337" s="424"/>
      <c r="D337" s="424"/>
      <c r="E337" s="424"/>
      <c r="F337" s="424"/>
      <c r="G337" s="424"/>
      <c r="H337" s="424"/>
      <c r="I337" s="424"/>
      <c r="J337" s="424"/>
      <c r="K337" s="424"/>
      <c r="L337" s="424"/>
      <c r="M337" s="424"/>
      <c r="N337" s="424"/>
      <c r="O337" s="424"/>
      <c r="P337" s="424"/>
      <c r="Q337" s="435" t="n">
        <v>84</v>
      </c>
      <c r="R337" s="434" t="s">
        <v>664</v>
      </c>
      <c r="S337" s="424"/>
      <c r="T337" s="434" t="s">
        <v>665</v>
      </c>
      <c r="U337" s="434" t="s">
        <v>666</v>
      </c>
      <c r="V337" s="436" t="n">
        <f aca="false">AY342</f>
        <v>0</v>
      </c>
      <c r="BN337" s="427"/>
    </row>
    <row r="338" customFormat="false" ht="13.5" hidden="false" customHeight="false" outlineLevel="0" collapsed="false">
      <c r="A338" s="424"/>
      <c r="B338" s="424"/>
      <c r="C338" s="424"/>
      <c r="D338" s="424"/>
      <c r="E338" s="424"/>
      <c r="F338" s="424"/>
      <c r="G338" s="424"/>
      <c r="H338" s="424"/>
      <c r="I338" s="424"/>
      <c r="J338" s="424"/>
      <c r="K338" s="424"/>
      <c r="L338" s="424"/>
      <c r="M338" s="424"/>
      <c r="N338" s="424"/>
      <c r="O338" s="424"/>
      <c r="P338" s="424"/>
      <c r="Q338" s="435" t="n">
        <v>85</v>
      </c>
      <c r="R338" s="434" t="s">
        <v>667</v>
      </c>
      <c r="S338" s="424"/>
      <c r="T338" s="434" t="s">
        <v>668</v>
      </c>
      <c r="U338" s="434" t="s">
        <v>669</v>
      </c>
      <c r="V338" s="436" t="n">
        <f aca="false">AY343</f>
        <v>0</v>
      </c>
      <c r="BN338" s="427"/>
    </row>
    <row r="339" customFormat="false" ht="13.5" hidden="false" customHeight="false" outlineLevel="0" collapsed="false">
      <c r="A339" s="424"/>
      <c r="B339" s="424"/>
      <c r="C339" s="424"/>
      <c r="D339" s="424"/>
      <c r="E339" s="424"/>
      <c r="F339" s="424"/>
      <c r="G339" s="424"/>
      <c r="H339" s="424"/>
      <c r="I339" s="424"/>
      <c r="J339" s="424"/>
      <c r="K339" s="424"/>
      <c r="L339" s="424"/>
      <c r="M339" s="424"/>
      <c r="N339" s="424"/>
      <c r="O339" s="424"/>
      <c r="P339" s="424"/>
      <c r="Q339" s="435" t="n">
        <v>86</v>
      </c>
      <c r="R339" s="434" t="s">
        <v>670</v>
      </c>
      <c r="S339" s="424"/>
      <c r="T339" s="434" t="s">
        <v>671</v>
      </c>
      <c r="U339" s="434" t="s">
        <v>672</v>
      </c>
      <c r="V339" s="436" t="n">
        <f aca="false">AY344</f>
        <v>0</v>
      </c>
      <c r="BN339" s="427"/>
    </row>
    <row r="340" customFormat="false" ht="13.5" hidden="false" customHeight="false" outlineLevel="0" collapsed="false">
      <c r="A340" s="424"/>
      <c r="B340" s="424"/>
      <c r="C340" s="424"/>
      <c r="D340" s="424"/>
      <c r="E340" s="424"/>
      <c r="F340" s="424"/>
      <c r="G340" s="424"/>
      <c r="H340" s="424"/>
      <c r="I340" s="424"/>
      <c r="J340" s="424"/>
      <c r="K340" s="424"/>
      <c r="L340" s="424"/>
      <c r="M340" s="424"/>
      <c r="N340" s="424"/>
      <c r="O340" s="424"/>
      <c r="P340" s="424"/>
      <c r="Q340" s="435" t="n">
        <v>87</v>
      </c>
      <c r="R340" s="434" t="s">
        <v>673</v>
      </c>
      <c r="S340" s="424"/>
      <c r="T340" s="434" t="s">
        <v>674</v>
      </c>
      <c r="U340" s="434" t="s">
        <v>675</v>
      </c>
      <c r="V340" s="436" t="n">
        <f aca="false">AY345</f>
        <v>0</v>
      </c>
      <c r="BN340" s="427"/>
    </row>
    <row r="341" customFormat="false" ht="13.5" hidden="false" customHeight="false" outlineLevel="0" collapsed="false">
      <c r="A341" s="424"/>
      <c r="B341" s="424"/>
      <c r="C341" s="424"/>
      <c r="D341" s="424"/>
      <c r="E341" s="424"/>
      <c r="F341" s="424"/>
      <c r="G341" s="424"/>
      <c r="H341" s="424"/>
      <c r="I341" s="424"/>
      <c r="J341" s="424"/>
      <c r="K341" s="424"/>
      <c r="L341" s="424"/>
      <c r="M341" s="424"/>
      <c r="N341" s="424"/>
      <c r="O341" s="424"/>
      <c r="P341" s="424"/>
      <c r="Q341" s="435" t="n">
        <v>88</v>
      </c>
      <c r="R341" s="434" t="s">
        <v>676</v>
      </c>
      <c r="S341" s="424"/>
      <c r="T341" s="434" t="s">
        <v>677</v>
      </c>
      <c r="U341" s="434" t="s">
        <v>678</v>
      </c>
      <c r="V341" s="436" t="n">
        <f aca="false">AY346</f>
        <v>0</v>
      </c>
      <c r="BN341" s="427"/>
    </row>
    <row r="342" customFormat="false" ht="13.5" hidden="false" customHeight="false" outlineLevel="0" collapsed="false">
      <c r="A342" s="424"/>
      <c r="B342" s="424"/>
      <c r="C342" s="424"/>
      <c r="D342" s="424"/>
      <c r="E342" s="424"/>
      <c r="F342" s="424"/>
      <c r="G342" s="424"/>
      <c r="H342" s="424"/>
      <c r="I342" s="424"/>
      <c r="J342" s="424"/>
      <c r="K342" s="424"/>
      <c r="L342" s="424"/>
      <c r="M342" s="424"/>
      <c r="N342" s="424"/>
      <c r="O342" s="424"/>
      <c r="P342" s="424"/>
      <c r="Q342" s="435" t="n">
        <v>89</v>
      </c>
      <c r="R342" s="434" t="s">
        <v>679</v>
      </c>
      <c r="S342" s="424"/>
      <c r="T342" s="434" t="s">
        <v>680</v>
      </c>
      <c r="U342" s="434" t="s">
        <v>681</v>
      </c>
      <c r="V342" s="436" t="n">
        <f aca="false">AY347</f>
        <v>0</v>
      </c>
      <c r="BN342" s="427"/>
    </row>
    <row r="343" customFormat="false" ht="13.5" hidden="false" customHeight="false" outlineLevel="0" collapsed="false">
      <c r="A343" s="424"/>
      <c r="B343" s="424"/>
      <c r="C343" s="424"/>
      <c r="D343" s="424"/>
      <c r="E343" s="424"/>
      <c r="F343" s="424"/>
      <c r="G343" s="424"/>
      <c r="H343" s="424"/>
      <c r="I343" s="424"/>
      <c r="J343" s="424"/>
      <c r="K343" s="424"/>
      <c r="L343" s="424"/>
      <c r="M343" s="424"/>
      <c r="N343" s="424"/>
      <c r="O343" s="424"/>
      <c r="P343" s="424"/>
      <c r="Q343" s="435" t="n">
        <v>90</v>
      </c>
      <c r="R343" s="434" t="s">
        <v>682</v>
      </c>
      <c r="S343" s="424"/>
      <c r="T343" s="434" t="s">
        <v>683</v>
      </c>
      <c r="U343" s="434" t="s">
        <v>684</v>
      </c>
      <c r="V343" s="436" t="n">
        <f aca="false">AY348</f>
        <v>0</v>
      </c>
      <c r="BN343" s="427"/>
    </row>
    <row r="344" customFormat="false" ht="13.5" hidden="false" customHeight="false" outlineLevel="0" collapsed="false">
      <c r="A344" s="424"/>
      <c r="B344" s="424"/>
      <c r="C344" s="424"/>
      <c r="D344" s="424"/>
      <c r="E344" s="424"/>
      <c r="F344" s="424"/>
      <c r="G344" s="424"/>
      <c r="H344" s="424"/>
      <c r="I344" s="424"/>
      <c r="J344" s="424"/>
      <c r="K344" s="424"/>
      <c r="L344" s="424"/>
      <c r="M344" s="424"/>
      <c r="N344" s="424"/>
      <c r="O344" s="424"/>
      <c r="P344" s="424"/>
      <c r="Q344" s="435" t="n">
        <v>91</v>
      </c>
      <c r="R344" s="434" t="s">
        <v>685</v>
      </c>
      <c r="S344" s="424"/>
      <c r="T344" s="434" t="s">
        <v>686</v>
      </c>
      <c r="U344" s="434" t="s">
        <v>687</v>
      </c>
      <c r="V344" s="436" t="n">
        <f aca="false">AY349</f>
        <v>0</v>
      </c>
      <c r="BN344" s="427"/>
    </row>
    <row r="345" customFormat="false" ht="13.5" hidden="false" customHeight="false" outlineLevel="0" collapsed="false">
      <c r="A345" s="424"/>
      <c r="B345" s="424"/>
      <c r="C345" s="424"/>
      <c r="D345" s="424"/>
      <c r="E345" s="424"/>
      <c r="F345" s="424"/>
      <c r="G345" s="424"/>
      <c r="H345" s="424"/>
      <c r="I345" s="424"/>
      <c r="J345" s="424"/>
      <c r="K345" s="424"/>
      <c r="L345" s="424"/>
      <c r="M345" s="424"/>
      <c r="N345" s="424"/>
      <c r="O345" s="424"/>
      <c r="P345" s="424"/>
      <c r="Q345" s="435" t="n">
        <v>92</v>
      </c>
      <c r="R345" s="434" t="s">
        <v>688</v>
      </c>
      <c r="S345" s="424"/>
      <c r="T345" s="434" t="s">
        <v>689</v>
      </c>
      <c r="U345" s="434" t="s">
        <v>690</v>
      </c>
      <c r="V345" s="436" t="n">
        <f aca="false">AY350</f>
        <v>0</v>
      </c>
      <c r="BN345" s="427"/>
    </row>
    <row r="346" customFormat="false" ht="13.5" hidden="false" customHeight="false" outlineLevel="0" collapsed="false">
      <c r="A346" s="424"/>
      <c r="B346" s="424"/>
      <c r="C346" s="424"/>
      <c r="D346" s="424"/>
      <c r="E346" s="424"/>
      <c r="F346" s="424"/>
      <c r="G346" s="424"/>
      <c r="H346" s="424"/>
      <c r="I346" s="424"/>
      <c r="J346" s="424"/>
      <c r="K346" s="424"/>
      <c r="L346" s="424"/>
      <c r="M346" s="424"/>
      <c r="N346" s="424"/>
      <c r="O346" s="424"/>
      <c r="P346" s="424"/>
      <c r="Q346" s="435" t="n">
        <v>93</v>
      </c>
      <c r="R346" s="434" t="s">
        <v>691</v>
      </c>
      <c r="S346" s="424"/>
      <c r="T346" s="434" t="s">
        <v>692</v>
      </c>
      <c r="U346" s="434" t="s">
        <v>693</v>
      </c>
      <c r="V346" s="436" t="n">
        <f aca="false">AY351</f>
        <v>0</v>
      </c>
      <c r="BN346" s="427"/>
    </row>
    <row r="347" customFormat="false" ht="13.5" hidden="false" customHeight="false" outlineLevel="0" collapsed="false">
      <c r="A347" s="424"/>
      <c r="B347" s="424"/>
      <c r="C347" s="424"/>
      <c r="D347" s="424"/>
      <c r="E347" s="424"/>
      <c r="F347" s="424"/>
      <c r="G347" s="424"/>
      <c r="H347" s="424"/>
      <c r="I347" s="424"/>
      <c r="J347" s="424"/>
      <c r="K347" s="424"/>
      <c r="L347" s="424"/>
      <c r="M347" s="424"/>
      <c r="N347" s="424"/>
      <c r="O347" s="424"/>
      <c r="P347" s="424"/>
      <c r="Q347" s="435" t="n">
        <v>94</v>
      </c>
      <c r="R347" s="434" t="s">
        <v>694</v>
      </c>
      <c r="S347" s="424"/>
      <c r="T347" s="434" t="s">
        <v>695</v>
      </c>
      <c r="U347" s="434" t="s">
        <v>696</v>
      </c>
      <c r="V347" s="436" t="n">
        <f aca="false">AY352</f>
        <v>0</v>
      </c>
      <c r="BN347" s="427"/>
    </row>
    <row r="348" customFormat="false" ht="13.5" hidden="false" customHeight="false" outlineLevel="0" collapsed="false">
      <c r="A348" s="424"/>
      <c r="B348" s="424"/>
      <c r="C348" s="424"/>
      <c r="D348" s="424"/>
      <c r="E348" s="424"/>
      <c r="F348" s="424"/>
      <c r="G348" s="424"/>
      <c r="H348" s="424"/>
      <c r="I348" s="424"/>
      <c r="J348" s="424"/>
      <c r="K348" s="424"/>
      <c r="L348" s="424"/>
      <c r="M348" s="424"/>
      <c r="N348" s="424"/>
      <c r="O348" s="424"/>
      <c r="P348" s="424"/>
      <c r="Q348" s="435" t="n">
        <v>95</v>
      </c>
      <c r="R348" s="434" t="s">
        <v>697</v>
      </c>
      <c r="S348" s="424"/>
      <c r="T348" s="434" t="s">
        <v>698</v>
      </c>
      <c r="U348" s="434" t="s">
        <v>699</v>
      </c>
      <c r="V348" s="436" t="n">
        <f aca="false">AY353</f>
        <v>0</v>
      </c>
      <c r="BN348" s="427"/>
    </row>
    <row r="349" customFormat="false" ht="13.5" hidden="false" customHeight="false" outlineLevel="0" collapsed="false">
      <c r="A349" s="424"/>
      <c r="B349" s="424"/>
      <c r="C349" s="424"/>
      <c r="D349" s="424"/>
      <c r="E349" s="424"/>
      <c r="F349" s="424"/>
      <c r="G349" s="424"/>
      <c r="H349" s="424"/>
      <c r="I349" s="424"/>
      <c r="J349" s="424"/>
      <c r="K349" s="424"/>
      <c r="L349" s="424"/>
      <c r="M349" s="424"/>
      <c r="N349" s="424"/>
      <c r="O349" s="424"/>
      <c r="P349" s="424"/>
      <c r="Q349" s="435" t="n">
        <v>96</v>
      </c>
      <c r="R349" s="434" t="s">
        <v>700</v>
      </c>
      <c r="S349" s="424"/>
      <c r="T349" s="434" t="s">
        <v>701</v>
      </c>
      <c r="U349" s="434" t="s">
        <v>702</v>
      </c>
      <c r="V349" s="436" t="n">
        <f aca="false">AY354</f>
        <v>0</v>
      </c>
      <c r="BN349" s="427"/>
    </row>
    <row r="350" customFormat="false" ht="13.5" hidden="false" customHeight="false" outlineLevel="0" collapsed="false">
      <c r="A350" s="424"/>
      <c r="B350" s="424"/>
      <c r="C350" s="424"/>
      <c r="D350" s="424"/>
      <c r="E350" s="424"/>
      <c r="F350" s="424"/>
      <c r="G350" s="424"/>
      <c r="H350" s="424"/>
      <c r="I350" s="424"/>
      <c r="J350" s="424"/>
      <c r="K350" s="424"/>
      <c r="L350" s="424"/>
      <c r="M350" s="424"/>
      <c r="N350" s="424"/>
      <c r="O350" s="424"/>
      <c r="P350" s="424"/>
      <c r="Q350" s="435" t="n">
        <v>97</v>
      </c>
      <c r="R350" s="434" t="s">
        <v>703</v>
      </c>
      <c r="S350" s="424"/>
      <c r="T350" s="434" t="s">
        <v>704</v>
      </c>
      <c r="U350" s="434" t="s">
        <v>705</v>
      </c>
      <c r="V350" s="436" t="n">
        <f aca="false">AY355</f>
        <v>0</v>
      </c>
      <c r="BN350" s="427"/>
    </row>
    <row r="351" customFormat="false" ht="13.5" hidden="false" customHeight="false" outlineLevel="0" collapsed="false">
      <c r="A351" s="424"/>
      <c r="B351" s="424"/>
      <c r="C351" s="424"/>
      <c r="D351" s="424"/>
      <c r="E351" s="424"/>
      <c r="F351" s="424"/>
      <c r="G351" s="424"/>
      <c r="H351" s="424"/>
      <c r="I351" s="424"/>
      <c r="J351" s="424"/>
      <c r="K351" s="424"/>
      <c r="L351" s="424"/>
      <c r="M351" s="424"/>
      <c r="N351" s="424"/>
      <c r="O351" s="424"/>
      <c r="P351" s="424"/>
      <c r="Q351" s="435" t="n">
        <v>98</v>
      </c>
      <c r="R351" s="434" t="s">
        <v>706</v>
      </c>
      <c r="S351" s="424"/>
      <c r="T351" s="434" t="s">
        <v>707</v>
      </c>
      <c r="U351" s="434" t="s">
        <v>708</v>
      </c>
      <c r="V351" s="436" t="n">
        <f aca="false">AY356</f>
        <v>0</v>
      </c>
    </row>
    <row r="352" customFormat="false" ht="13.5" hidden="false" customHeight="false" outlineLevel="0" collapsed="false">
      <c r="A352" s="424"/>
      <c r="B352" s="424"/>
      <c r="C352" s="424"/>
      <c r="D352" s="424"/>
      <c r="E352" s="424"/>
      <c r="F352" s="424"/>
      <c r="G352" s="424"/>
      <c r="H352" s="424"/>
      <c r="I352" s="424"/>
      <c r="J352" s="424"/>
      <c r="K352" s="424"/>
      <c r="L352" s="424"/>
      <c r="M352" s="424"/>
      <c r="N352" s="424"/>
      <c r="O352" s="424"/>
      <c r="P352" s="424"/>
      <c r="Q352" s="435" t="n">
        <v>99</v>
      </c>
      <c r="R352" s="434" t="s">
        <v>709</v>
      </c>
      <c r="S352" s="424"/>
      <c r="T352" s="434" t="s">
        <v>710</v>
      </c>
      <c r="U352" s="434" t="s">
        <v>711</v>
      </c>
      <c r="V352" s="436" t="n">
        <f aca="false">AY357</f>
        <v>0</v>
      </c>
    </row>
    <row r="353" customFormat="false" ht="13.5" hidden="false" customHeight="false" outlineLevel="0" collapsed="false">
      <c r="A353" s="424"/>
      <c r="B353" s="424"/>
      <c r="C353" s="424"/>
      <c r="D353" s="424"/>
      <c r="E353" s="424"/>
      <c r="F353" s="424"/>
      <c r="G353" s="424"/>
      <c r="H353" s="424"/>
      <c r="I353" s="424"/>
      <c r="J353" s="424"/>
      <c r="K353" s="424"/>
      <c r="L353" s="424"/>
      <c r="M353" s="424"/>
      <c r="N353" s="424"/>
      <c r="O353" s="424"/>
      <c r="P353" s="424"/>
      <c r="Q353" s="424"/>
      <c r="R353" s="424"/>
      <c r="S353" s="424"/>
      <c r="T353" s="424"/>
      <c r="U353" s="424"/>
      <c r="V353" s="436" t="n">
        <f aca="false">AY358</f>
        <v>0</v>
      </c>
    </row>
    <row r="354" customFormat="false" ht="13.5" hidden="false" customHeight="false" outlineLevel="0" collapsed="false">
      <c r="A354" s="424"/>
      <c r="B354" s="424"/>
      <c r="C354" s="424"/>
      <c r="D354" s="424"/>
      <c r="E354" s="424"/>
      <c r="F354" s="424"/>
      <c r="G354" s="424"/>
      <c r="H354" s="424"/>
      <c r="I354" s="424"/>
      <c r="J354" s="424"/>
      <c r="K354" s="424"/>
      <c r="L354" s="424"/>
      <c r="M354" s="424"/>
      <c r="N354" s="424"/>
      <c r="O354" s="424"/>
      <c r="P354" s="424"/>
      <c r="Q354" s="424"/>
      <c r="R354" s="424"/>
      <c r="S354" s="424"/>
      <c r="T354" s="424"/>
      <c r="U354" s="424"/>
      <c r="V354" s="436" t="n">
        <f aca="false">AY359</f>
        <v>0</v>
      </c>
    </row>
    <row r="355" customFormat="false" ht="13.5" hidden="false" customHeight="false" outlineLevel="0" collapsed="false">
      <c r="A355" s="424"/>
      <c r="B355" s="424"/>
      <c r="C355" s="424"/>
      <c r="D355" s="424"/>
      <c r="E355" s="424"/>
      <c r="F355" s="424"/>
      <c r="G355" s="424"/>
      <c r="H355" s="424"/>
      <c r="I355" s="424"/>
      <c r="J355" s="424"/>
      <c r="K355" s="424"/>
      <c r="L355" s="424"/>
      <c r="M355" s="424"/>
      <c r="N355" s="424"/>
      <c r="O355" s="424"/>
      <c r="P355" s="424"/>
      <c r="Q355" s="424"/>
      <c r="R355" s="424"/>
      <c r="S355" s="424"/>
      <c r="T355" s="424"/>
      <c r="U355" s="424"/>
      <c r="V355" s="436" t="n">
        <f aca="false">AY360</f>
        <v>0</v>
      </c>
    </row>
    <row r="356" customFormat="false" ht="13.5" hidden="false" customHeight="false" outlineLevel="0" collapsed="false">
      <c r="A356" s="424"/>
      <c r="B356" s="424"/>
      <c r="C356" s="424"/>
      <c r="D356" s="424"/>
      <c r="E356" s="424"/>
      <c r="F356" s="424"/>
      <c r="G356" s="424"/>
      <c r="H356" s="424"/>
      <c r="I356" s="424"/>
      <c r="J356" s="424"/>
      <c r="K356" s="424"/>
      <c r="L356" s="424"/>
      <c r="M356" s="424"/>
      <c r="N356" s="424"/>
      <c r="O356" s="424"/>
      <c r="P356" s="424"/>
      <c r="Q356" s="424"/>
      <c r="R356" s="424"/>
      <c r="S356" s="424"/>
      <c r="T356" s="424"/>
      <c r="U356" s="424"/>
      <c r="V356" s="436" t="n">
        <f aca="false">AY361</f>
        <v>0</v>
      </c>
    </row>
    <row r="357" customFormat="false" ht="13.5" hidden="false" customHeight="false" outlineLevel="0" collapsed="false">
      <c r="A357" s="424"/>
      <c r="B357" s="424"/>
      <c r="C357" s="424"/>
      <c r="D357" s="424"/>
      <c r="E357" s="424"/>
      <c r="F357" s="424"/>
      <c r="G357" s="424"/>
      <c r="H357" s="424"/>
      <c r="I357" s="424"/>
      <c r="J357" s="424"/>
      <c r="K357" s="424"/>
      <c r="L357" s="424"/>
      <c r="M357" s="424"/>
      <c r="N357" s="424"/>
      <c r="O357" s="424"/>
      <c r="P357" s="424"/>
      <c r="Q357" s="424"/>
      <c r="R357" s="424"/>
      <c r="S357" s="424"/>
      <c r="T357" s="424"/>
      <c r="U357" s="424"/>
      <c r="V357" s="436" t="n">
        <f aca="false">AY362</f>
        <v>0</v>
      </c>
    </row>
    <row r="358" customFormat="false" ht="13.5" hidden="false" customHeight="false" outlineLevel="0" collapsed="false">
      <c r="A358" s="424"/>
      <c r="B358" s="424"/>
      <c r="C358" s="424"/>
      <c r="D358" s="424"/>
      <c r="E358" s="424"/>
      <c r="F358" s="424"/>
      <c r="G358" s="424"/>
      <c r="H358" s="424"/>
      <c r="I358" s="424"/>
      <c r="J358" s="424"/>
      <c r="K358" s="424"/>
      <c r="L358" s="424"/>
      <c r="M358" s="424"/>
      <c r="N358" s="424"/>
      <c r="O358" s="424"/>
      <c r="P358" s="424"/>
      <c r="Q358" s="424"/>
      <c r="R358" s="424"/>
      <c r="S358" s="424"/>
      <c r="T358" s="424"/>
      <c r="U358" s="424"/>
      <c r="V358" s="436" t="n">
        <f aca="false">AY363</f>
        <v>0</v>
      </c>
    </row>
    <row r="359" customFormat="false" ht="13.5" hidden="false" customHeight="false" outlineLevel="0" collapsed="false">
      <c r="A359" s="424"/>
      <c r="B359" s="424"/>
      <c r="C359" s="424"/>
      <c r="D359" s="424"/>
      <c r="E359" s="424"/>
      <c r="F359" s="424"/>
      <c r="G359" s="424"/>
      <c r="H359" s="424"/>
      <c r="I359" s="424"/>
      <c r="J359" s="424"/>
      <c r="K359" s="424"/>
      <c r="L359" s="424"/>
      <c r="M359" s="424"/>
      <c r="N359" s="424"/>
      <c r="O359" s="424"/>
      <c r="P359" s="424"/>
      <c r="Q359" s="424"/>
      <c r="R359" s="424"/>
      <c r="S359" s="424"/>
      <c r="T359" s="424"/>
      <c r="U359" s="424"/>
      <c r="V359" s="436" t="n">
        <f aca="false">AY364</f>
        <v>0</v>
      </c>
    </row>
    <row r="360" customFormat="false" ht="13.5" hidden="false" customHeight="false" outlineLevel="0" collapsed="false">
      <c r="A360" s="424"/>
      <c r="B360" s="424"/>
      <c r="C360" s="424"/>
      <c r="D360" s="424"/>
      <c r="E360" s="424"/>
      <c r="F360" s="424"/>
      <c r="G360" s="424"/>
      <c r="H360" s="424"/>
      <c r="I360" s="424"/>
      <c r="J360" s="424"/>
      <c r="K360" s="424"/>
      <c r="L360" s="424"/>
      <c r="M360" s="424"/>
      <c r="N360" s="424"/>
      <c r="O360" s="424"/>
      <c r="P360" s="424"/>
      <c r="Q360" s="424"/>
      <c r="R360" s="424"/>
      <c r="S360" s="424"/>
      <c r="T360" s="424"/>
      <c r="U360" s="424"/>
      <c r="V360" s="436" t="n">
        <f aca="false">AY365</f>
        <v>0</v>
      </c>
    </row>
    <row r="361" customFormat="false" ht="13.5" hidden="false" customHeight="false" outlineLevel="0" collapsed="false">
      <c r="A361" s="424"/>
      <c r="B361" s="424"/>
      <c r="C361" s="424"/>
      <c r="D361" s="424"/>
      <c r="E361" s="424"/>
      <c r="F361" s="424"/>
      <c r="G361" s="424"/>
      <c r="H361" s="424"/>
      <c r="I361" s="424"/>
      <c r="J361" s="424"/>
      <c r="K361" s="424"/>
      <c r="L361" s="424"/>
      <c r="M361" s="424"/>
      <c r="N361" s="424"/>
      <c r="O361" s="424"/>
      <c r="P361" s="424"/>
      <c r="Q361" s="424"/>
      <c r="R361" s="424"/>
      <c r="S361" s="424"/>
      <c r="T361" s="424"/>
      <c r="U361" s="424"/>
      <c r="V361" s="436" t="n">
        <f aca="false">AY366</f>
        <v>0</v>
      </c>
    </row>
    <row r="362" customFormat="false" ht="13.5" hidden="false" customHeight="false" outlineLevel="0" collapsed="false">
      <c r="A362" s="424"/>
      <c r="B362" s="424"/>
      <c r="C362" s="424"/>
      <c r="D362" s="424"/>
      <c r="E362" s="424"/>
      <c r="F362" s="424"/>
      <c r="G362" s="424"/>
      <c r="H362" s="424"/>
      <c r="I362" s="424"/>
      <c r="J362" s="424"/>
      <c r="K362" s="424"/>
      <c r="L362" s="424"/>
      <c r="M362" s="424"/>
      <c r="N362" s="424"/>
      <c r="O362" s="424"/>
      <c r="P362" s="424"/>
      <c r="Q362" s="424"/>
      <c r="R362" s="424"/>
      <c r="S362" s="424"/>
      <c r="T362" s="424"/>
      <c r="U362" s="424"/>
      <c r="V362" s="436" t="n">
        <f aca="false">AY367</f>
        <v>0</v>
      </c>
    </row>
    <row r="363" customFormat="false" ht="13.5" hidden="false" customHeight="false" outlineLevel="0" collapsed="false">
      <c r="A363" s="424"/>
      <c r="B363" s="424"/>
      <c r="C363" s="424"/>
      <c r="D363" s="424"/>
      <c r="E363" s="424"/>
      <c r="F363" s="424"/>
      <c r="G363" s="424"/>
      <c r="H363" s="424"/>
      <c r="I363" s="424"/>
      <c r="J363" s="424"/>
      <c r="K363" s="424"/>
      <c r="L363" s="424"/>
      <c r="M363" s="424"/>
      <c r="N363" s="424"/>
      <c r="O363" s="424"/>
      <c r="P363" s="424"/>
      <c r="Q363" s="424"/>
      <c r="R363" s="424"/>
      <c r="S363" s="424"/>
      <c r="T363" s="424"/>
      <c r="U363" s="424"/>
      <c r="V363" s="436" t="n">
        <f aca="false">AY368</f>
        <v>0</v>
      </c>
    </row>
    <row r="364" customFormat="false" ht="13.5" hidden="false" customHeight="false" outlineLevel="0" collapsed="false">
      <c r="A364" s="424"/>
      <c r="B364" s="424"/>
      <c r="C364" s="424"/>
      <c r="D364" s="424"/>
      <c r="E364" s="424"/>
      <c r="F364" s="424"/>
      <c r="G364" s="424"/>
      <c r="H364" s="424"/>
      <c r="I364" s="424"/>
      <c r="J364" s="424"/>
      <c r="K364" s="424"/>
      <c r="L364" s="424"/>
      <c r="M364" s="424"/>
      <c r="N364" s="424"/>
      <c r="O364" s="424"/>
      <c r="P364" s="424"/>
      <c r="Q364" s="424"/>
      <c r="R364" s="424"/>
      <c r="S364" s="424"/>
      <c r="T364" s="424"/>
      <c r="U364" s="424"/>
      <c r="V364" s="436" t="n">
        <f aca="false">AY369</f>
        <v>0</v>
      </c>
    </row>
    <row r="365" customFormat="false" ht="13.5" hidden="false" customHeight="false" outlineLevel="0" collapsed="false">
      <c r="A365" s="424"/>
      <c r="B365" s="424"/>
      <c r="C365" s="424"/>
      <c r="D365" s="424"/>
      <c r="E365" s="424"/>
      <c r="F365" s="424"/>
      <c r="G365" s="424"/>
      <c r="H365" s="424"/>
      <c r="I365" s="424"/>
      <c r="J365" s="424"/>
      <c r="K365" s="424"/>
      <c r="L365" s="424"/>
      <c r="M365" s="424"/>
      <c r="N365" s="424"/>
      <c r="O365" s="424"/>
      <c r="P365" s="424"/>
      <c r="Q365" s="424"/>
      <c r="R365" s="424"/>
      <c r="S365" s="424"/>
      <c r="T365" s="424"/>
      <c r="U365" s="424"/>
      <c r="V365" s="436" t="n">
        <f aca="false">AY370</f>
        <v>0</v>
      </c>
    </row>
    <row r="366" customFormat="false" ht="13.5" hidden="false" customHeight="false" outlineLevel="0" collapsed="false">
      <c r="A366" s="424"/>
      <c r="B366" s="424"/>
      <c r="C366" s="424"/>
      <c r="D366" s="424"/>
      <c r="E366" s="424"/>
      <c r="F366" s="424"/>
      <c r="G366" s="424"/>
      <c r="H366" s="424"/>
      <c r="I366" s="424"/>
      <c r="J366" s="424"/>
      <c r="K366" s="424"/>
      <c r="L366" s="424"/>
      <c r="M366" s="424"/>
      <c r="N366" s="424"/>
      <c r="O366" s="424"/>
      <c r="P366" s="424"/>
      <c r="Q366" s="424"/>
      <c r="R366" s="424"/>
      <c r="S366" s="424"/>
      <c r="T366" s="424"/>
      <c r="U366" s="424"/>
      <c r="V366" s="436" t="n">
        <f aca="false">AY371</f>
        <v>0</v>
      </c>
    </row>
    <row r="367" customFormat="false" ht="13.5" hidden="false" customHeight="false" outlineLevel="0" collapsed="false">
      <c r="A367" s="424"/>
      <c r="B367" s="424"/>
      <c r="C367" s="424"/>
      <c r="D367" s="424"/>
      <c r="E367" s="424"/>
      <c r="F367" s="424"/>
      <c r="G367" s="424"/>
      <c r="H367" s="424"/>
      <c r="I367" s="424"/>
      <c r="J367" s="424"/>
      <c r="K367" s="424"/>
      <c r="L367" s="424"/>
      <c r="M367" s="424"/>
      <c r="N367" s="424"/>
      <c r="O367" s="424"/>
      <c r="P367" s="424"/>
      <c r="Q367" s="424"/>
      <c r="R367" s="424"/>
      <c r="S367" s="424"/>
      <c r="T367" s="424"/>
      <c r="U367" s="424"/>
      <c r="V367" s="436" t="n">
        <f aca="false">AY372</f>
        <v>0</v>
      </c>
    </row>
    <row r="368" customFormat="false" ht="13.5" hidden="false" customHeight="false" outlineLevel="0" collapsed="false">
      <c r="A368" s="424"/>
      <c r="B368" s="424"/>
      <c r="C368" s="424"/>
      <c r="D368" s="424"/>
      <c r="E368" s="424"/>
      <c r="F368" s="424"/>
      <c r="G368" s="424"/>
      <c r="H368" s="424"/>
      <c r="I368" s="424"/>
      <c r="J368" s="424"/>
      <c r="K368" s="424"/>
      <c r="L368" s="424"/>
      <c r="M368" s="424"/>
      <c r="N368" s="424"/>
      <c r="O368" s="424"/>
      <c r="P368" s="424"/>
      <c r="Q368" s="424"/>
      <c r="R368" s="424"/>
      <c r="S368" s="424"/>
      <c r="T368" s="424"/>
      <c r="U368" s="424"/>
      <c r="V368" s="436" t="n">
        <f aca="false">AY373</f>
        <v>0</v>
      </c>
    </row>
    <row r="369" customFormat="false" ht="13.5" hidden="false" customHeight="false" outlineLevel="0" collapsed="false">
      <c r="A369" s="424"/>
      <c r="B369" s="424"/>
      <c r="C369" s="424"/>
      <c r="D369" s="424"/>
      <c r="E369" s="424"/>
      <c r="F369" s="424"/>
      <c r="G369" s="424"/>
      <c r="H369" s="424"/>
      <c r="I369" s="424"/>
      <c r="J369" s="424"/>
      <c r="K369" s="424"/>
      <c r="L369" s="424"/>
      <c r="M369" s="424"/>
      <c r="N369" s="424"/>
      <c r="O369" s="424"/>
      <c r="P369" s="424"/>
      <c r="Q369" s="424"/>
      <c r="R369" s="424"/>
      <c r="S369" s="424"/>
      <c r="T369" s="424"/>
      <c r="U369" s="424"/>
      <c r="V369" s="436" t="n">
        <f aca="false">AY374</f>
        <v>0</v>
      </c>
    </row>
    <row r="370" customFormat="false" ht="13.5" hidden="false" customHeight="false" outlineLevel="0" collapsed="false">
      <c r="A370" s="424"/>
      <c r="B370" s="424"/>
      <c r="C370" s="424"/>
      <c r="D370" s="424"/>
      <c r="E370" s="424"/>
      <c r="F370" s="424"/>
      <c r="G370" s="424"/>
      <c r="H370" s="424"/>
      <c r="I370" s="424"/>
      <c r="J370" s="424"/>
      <c r="K370" s="424"/>
      <c r="L370" s="424"/>
      <c r="M370" s="424"/>
      <c r="N370" s="424"/>
      <c r="O370" s="424"/>
      <c r="P370" s="424"/>
      <c r="Q370" s="424"/>
      <c r="R370" s="424"/>
      <c r="S370" s="424"/>
      <c r="T370" s="424"/>
      <c r="U370" s="424"/>
      <c r="V370" s="436" t="n">
        <f aca="false">AY375</f>
        <v>0</v>
      </c>
    </row>
    <row r="371" customFormat="false" ht="13.5" hidden="false" customHeight="false" outlineLevel="0" collapsed="false">
      <c r="A371" s="424"/>
      <c r="B371" s="424"/>
      <c r="C371" s="424"/>
      <c r="D371" s="424"/>
      <c r="E371" s="424"/>
      <c r="F371" s="424"/>
      <c r="G371" s="424"/>
      <c r="H371" s="424"/>
      <c r="I371" s="424"/>
      <c r="J371" s="424"/>
      <c r="K371" s="424"/>
      <c r="L371" s="424"/>
      <c r="M371" s="424"/>
      <c r="N371" s="424"/>
      <c r="O371" s="424"/>
      <c r="P371" s="424"/>
      <c r="Q371" s="424"/>
      <c r="R371" s="424"/>
      <c r="S371" s="424"/>
      <c r="T371" s="424"/>
      <c r="U371" s="424"/>
      <c r="V371" s="424"/>
    </row>
    <row r="372" customFormat="false" ht="13.5" hidden="false" customHeight="false" outlineLevel="0" collapsed="false">
      <c r="A372" s="424"/>
      <c r="B372" s="424"/>
      <c r="C372" s="424"/>
      <c r="D372" s="424"/>
      <c r="E372" s="424"/>
      <c r="F372" s="424"/>
      <c r="G372" s="424"/>
      <c r="H372" s="424"/>
      <c r="I372" s="424"/>
      <c r="J372" s="424"/>
      <c r="K372" s="424"/>
      <c r="L372" s="424"/>
      <c r="M372" s="424"/>
      <c r="N372" s="424"/>
      <c r="O372" s="424"/>
      <c r="P372" s="424"/>
      <c r="Q372" s="424"/>
      <c r="R372" s="424"/>
      <c r="S372" s="424"/>
      <c r="T372" s="424"/>
      <c r="U372" s="424"/>
      <c r="V372" s="424"/>
    </row>
    <row r="373" customFormat="false" ht="13.5" hidden="false" customHeight="false" outlineLevel="0" collapsed="false">
      <c r="A373" s="424"/>
      <c r="B373" s="424"/>
      <c r="C373" s="424"/>
      <c r="D373" s="424"/>
      <c r="E373" s="424"/>
      <c r="F373" s="424"/>
      <c r="G373" s="424"/>
      <c r="H373" s="424"/>
      <c r="I373" s="424"/>
      <c r="J373" s="424"/>
      <c r="K373" s="424"/>
      <c r="L373" s="424"/>
      <c r="M373" s="424"/>
      <c r="N373" s="424"/>
      <c r="O373" s="424"/>
      <c r="P373" s="424"/>
      <c r="Q373" s="424"/>
      <c r="R373" s="434" t="s">
        <v>400</v>
      </c>
      <c r="S373" s="424"/>
      <c r="T373" s="424"/>
      <c r="U373" s="424"/>
      <c r="V373" s="435" t="n">
        <f aca="false">SUM(V375:V407)</f>
        <v>0</v>
      </c>
    </row>
    <row r="374" customFormat="false" ht="13.5" hidden="false" customHeight="false" outlineLevel="0" collapsed="false">
      <c r="A374" s="424"/>
      <c r="B374" s="424"/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  <c r="P374" s="424"/>
      <c r="Q374" s="435" t="n">
        <v>0</v>
      </c>
      <c r="R374" s="424"/>
      <c r="S374" s="435" t="n">
        <v>0</v>
      </c>
      <c r="T374" s="424"/>
      <c r="U374" s="424"/>
      <c r="V374" s="436" t="n">
        <f aca="false">AY374</f>
        <v>0</v>
      </c>
    </row>
    <row r="375" customFormat="false" ht="13.5" hidden="false" customHeight="false" outlineLevel="0" collapsed="false">
      <c r="A375" s="424"/>
      <c r="B375" s="424"/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  <c r="P375" s="424"/>
      <c r="Q375" s="435" t="n">
        <v>1</v>
      </c>
      <c r="R375" s="434" t="s">
        <v>401</v>
      </c>
      <c r="S375" s="434" t="s">
        <v>402</v>
      </c>
      <c r="T375" s="434" t="s">
        <v>403</v>
      </c>
      <c r="U375" s="434" t="s">
        <v>404</v>
      </c>
      <c r="V375" s="436" t="n">
        <f aca="false">AY375</f>
        <v>0</v>
      </c>
    </row>
    <row r="376" customFormat="false" ht="13.5" hidden="false" customHeight="false" outlineLevel="0" collapsed="false">
      <c r="A376" s="424"/>
      <c r="B376" s="424"/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  <c r="P376" s="424"/>
      <c r="Q376" s="435" t="n">
        <v>2</v>
      </c>
      <c r="R376" s="434" t="s">
        <v>405</v>
      </c>
      <c r="S376" s="434" t="s">
        <v>406</v>
      </c>
      <c r="T376" s="434" t="s">
        <v>407</v>
      </c>
      <c r="U376" s="434" t="s">
        <v>408</v>
      </c>
      <c r="V376" s="436" t="n">
        <f aca="false">AY376</f>
        <v>0</v>
      </c>
    </row>
    <row r="377" customFormat="false" ht="13.5" hidden="false" customHeight="false" outlineLevel="0" collapsed="false">
      <c r="A377" s="424"/>
      <c r="B377" s="424"/>
      <c r="C377" s="424"/>
      <c r="D377" s="424"/>
      <c r="E377" s="424"/>
      <c r="F377" s="424"/>
      <c r="G377" s="424"/>
      <c r="H377" s="424"/>
      <c r="I377" s="424"/>
      <c r="J377" s="424"/>
      <c r="K377" s="424"/>
      <c r="L377" s="424"/>
      <c r="M377" s="424"/>
      <c r="N377" s="424"/>
      <c r="O377" s="424"/>
      <c r="P377" s="424"/>
      <c r="Q377" s="435" t="n">
        <v>3</v>
      </c>
      <c r="R377" s="434" t="s">
        <v>409</v>
      </c>
      <c r="S377" s="434" t="s">
        <v>410</v>
      </c>
      <c r="T377" s="434" t="s">
        <v>411</v>
      </c>
      <c r="U377" s="434" t="s">
        <v>412</v>
      </c>
      <c r="V377" s="436" t="n">
        <f aca="false">AY377</f>
        <v>0</v>
      </c>
    </row>
    <row r="378" customFormat="false" ht="13.5" hidden="false" customHeight="false" outlineLevel="0" collapsed="false">
      <c r="A378" s="424"/>
      <c r="B378" s="424"/>
      <c r="C378" s="424"/>
      <c r="D378" s="424"/>
      <c r="E378" s="424"/>
      <c r="F378" s="424"/>
      <c r="G378" s="424"/>
      <c r="H378" s="424"/>
      <c r="I378" s="424"/>
      <c r="J378" s="424"/>
      <c r="K378" s="424"/>
      <c r="L378" s="424"/>
      <c r="M378" s="424"/>
      <c r="N378" s="424"/>
      <c r="O378" s="424"/>
      <c r="P378" s="424"/>
      <c r="Q378" s="435" t="n">
        <v>4</v>
      </c>
      <c r="R378" s="434" t="s">
        <v>413</v>
      </c>
      <c r="S378" s="434" t="s">
        <v>414</v>
      </c>
      <c r="T378" s="434" t="s">
        <v>415</v>
      </c>
      <c r="U378" s="434" t="s">
        <v>416</v>
      </c>
      <c r="V378" s="436" t="n">
        <f aca="false">AY378</f>
        <v>0</v>
      </c>
    </row>
    <row r="379" customFormat="false" ht="13.5" hidden="false" customHeight="false" outlineLevel="0" collapsed="false">
      <c r="A379" s="424"/>
      <c r="B379" s="424"/>
      <c r="C379" s="424"/>
      <c r="D379" s="424"/>
      <c r="E379" s="424"/>
      <c r="F379" s="424"/>
      <c r="G379" s="424"/>
      <c r="H379" s="424"/>
      <c r="I379" s="424"/>
      <c r="J379" s="424"/>
      <c r="K379" s="424"/>
      <c r="L379" s="424"/>
      <c r="M379" s="424"/>
      <c r="N379" s="424"/>
      <c r="O379" s="424"/>
      <c r="P379" s="438" t="s">
        <v>417</v>
      </c>
      <c r="Q379" s="435" t="n">
        <v>5</v>
      </c>
      <c r="R379" s="434" t="s">
        <v>418</v>
      </c>
      <c r="S379" s="434" t="s">
        <v>419</v>
      </c>
      <c r="T379" s="434" t="s">
        <v>420</v>
      </c>
      <c r="U379" s="434" t="s">
        <v>421</v>
      </c>
      <c r="V379" s="436" t="n">
        <f aca="false">AY379</f>
        <v>0</v>
      </c>
    </row>
    <row r="380" customFormat="false" ht="13.5" hidden="false" customHeight="false" outlineLevel="0" collapsed="false">
      <c r="A380" s="424"/>
      <c r="B380" s="424"/>
      <c r="C380" s="424"/>
      <c r="D380" s="424"/>
      <c r="E380" s="424"/>
      <c r="F380" s="424"/>
      <c r="G380" s="424"/>
      <c r="H380" s="424"/>
      <c r="I380" s="424"/>
      <c r="J380" s="424"/>
      <c r="K380" s="424"/>
      <c r="L380" s="424"/>
      <c r="M380" s="424"/>
      <c r="N380" s="424"/>
      <c r="O380" s="424"/>
      <c r="P380" s="438" t="s">
        <v>417</v>
      </c>
      <c r="Q380" s="435" t="n">
        <v>6</v>
      </c>
      <c r="R380" s="434" t="s">
        <v>422</v>
      </c>
      <c r="S380" s="434" t="s">
        <v>423</v>
      </c>
      <c r="T380" s="434" t="s">
        <v>424</v>
      </c>
      <c r="U380" s="434" t="s">
        <v>425</v>
      </c>
      <c r="V380" s="436" t="n">
        <f aca="false">AY380</f>
        <v>0</v>
      </c>
    </row>
    <row r="381" customFormat="false" ht="13.5" hidden="false" customHeight="false" outlineLevel="0" collapsed="false">
      <c r="A381" s="424"/>
      <c r="B381" s="424"/>
      <c r="C381" s="424"/>
      <c r="D381" s="424"/>
      <c r="E381" s="424"/>
      <c r="F381" s="424"/>
      <c r="G381" s="424"/>
      <c r="H381" s="424"/>
      <c r="I381" s="424"/>
      <c r="J381" s="424"/>
      <c r="K381" s="424"/>
      <c r="L381" s="424"/>
      <c r="M381" s="424"/>
      <c r="N381" s="424"/>
      <c r="O381" s="424"/>
      <c r="P381" s="438" t="s">
        <v>417</v>
      </c>
      <c r="Q381" s="435" t="n">
        <v>7</v>
      </c>
      <c r="R381" s="434" t="s">
        <v>426</v>
      </c>
      <c r="S381" s="434" t="s">
        <v>427</v>
      </c>
      <c r="T381" s="434" t="s">
        <v>428</v>
      </c>
      <c r="U381" s="434" t="s">
        <v>429</v>
      </c>
      <c r="V381" s="436" t="n">
        <f aca="false">AY381</f>
        <v>0</v>
      </c>
    </row>
    <row r="382" customFormat="false" ht="13.5" hidden="false" customHeight="false" outlineLevel="0" collapsed="false">
      <c r="A382" s="424"/>
      <c r="B382" s="424"/>
      <c r="C382" s="424"/>
      <c r="D382" s="424"/>
      <c r="E382" s="424"/>
      <c r="F382" s="424"/>
      <c r="G382" s="424"/>
      <c r="H382" s="424"/>
      <c r="I382" s="424"/>
      <c r="J382" s="424"/>
      <c r="K382" s="424"/>
      <c r="L382" s="424"/>
      <c r="M382" s="424"/>
      <c r="N382" s="424"/>
      <c r="O382" s="424"/>
      <c r="P382" s="438" t="s">
        <v>417</v>
      </c>
      <c r="Q382" s="435" t="n">
        <v>8</v>
      </c>
      <c r="R382" s="434" t="s">
        <v>430</v>
      </c>
      <c r="S382" s="434" t="s">
        <v>431</v>
      </c>
      <c r="T382" s="434" t="s">
        <v>432</v>
      </c>
      <c r="U382" s="434" t="s">
        <v>433</v>
      </c>
      <c r="V382" s="436" t="n">
        <f aca="false">AY382</f>
        <v>0</v>
      </c>
    </row>
    <row r="383" customFormat="false" ht="13.5" hidden="false" customHeight="false" outlineLevel="0" collapsed="false">
      <c r="A383" s="424"/>
      <c r="B383" s="424"/>
      <c r="C383" s="424"/>
      <c r="D383" s="424"/>
      <c r="E383" s="424"/>
      <c r="F383" s="424"/>
      <c r="G383" s="424"/>
      <c r="H383" s="424"/>
      <c r="I383" s="424"/>
      <c r="J383" s="424"/>
      <c r="K383" s="424"/>
      <c r="L383" s="424"/>
      <c r="M383" s="424"/>
      <c r="N383" s="424"/>
      <c r="O383" s="424"/>
      <c r="P383" s="438" t="s">
        <v>417</v>
      </c>
      <c r="Q383" s="435" t="n">
        <v>9</v>
      </c>
      <c r="R383" s="434" t="s">
        <v>434</v>
      </c>
      <c r="S383" s="434" t="s">
        <v>435</v>
      </c>
      <c r="T383" s="434" t="s">
        <v>436</v>
      </c>
      <c r="U383" s="434" t="s">
        <v>437</v>
      </c>
      <c r="V383" s="436" t="n">
        <f aca="false">AY383</f>
        <v>0</v>
      </c>
    </row>
    <row r="384" customFormat="false" ht="13.5" hidden="false" customHeight="false" outlineLevel="0" collapsed="false">
      <c r="A384" s="424"/>
      <c r="B384" s="424"/>
      <c r="C384" s="424"/>
      <c r="D384" s="424"/>
      <c r="E384" s="424"/>
      <c r="F384" s="424"/>
      <c r="G384" s="424"/>
      <c r="H384" s="424"/>
      <c r="I384" s="424"/>
      <c r="J384" s="424"/>
      <c r="K384" s="424"/>
      <c r="L384" s="424"/>
      <c r="M384" s="424"/>
      <c r="N384" s="424"/>
      <c r="O384" s="424"/>
      <c r="P384" s="438" t="s">
        <v>417</v>
      </c>
      <c r="Q384" s="435" t="n">
        <v>10</v>
      </c>
      <c r="R384" s="434" t="s">
        <v>438</v>
      </c>
      <c r="S384" s="424"/>
      <c r="T384" s="434" t="s">
        <v>439</v>
      </c>
      <c r="U384" s="434" t="s">
        <v>440</v>
      </c>
      <c r="V384" s="436" t="n">
        <f aca="false">AY384</f>
        <v>0</v>
      </c>
    </row>
    <row r="385" customFormat="false" ht="13.5" hidden="false" customHeight="false" outlineLevel="0" collapsed="false">
      <c r="A385" s="424"/>
      <c r="B385" s="424"/>
      <c r="C385" s="424"/>
      <c r="D385" s="424"/>
      <c r="E385" s="424"/>
      <c r="F385" s="435" t="n">
        <f aca="false">TRUNC(+A387/1000000)</f>
        <v>0</v>
      </c>
      <c r="G385" s="424"/>
      <c r="H385" s="424"/>
      <c r="I385" s="424"/>
      <c r="J385" s="424"/>
      <c r="K385" s="424"/>
      <c r="L385" s="424"/>
      <c r="M385" s="424"/>
      <c r="N385" s="424"/>
      <c r="O385" s="424"/>
      <c r="P385" s="438" t="s">
        <v>417</v>
      </c>
      <c r="Q385" s="435" t="n">
        <v>11</v>
      </c>
      <c r="R385" s="434" t="s">
        <v>441</v>
      </c>
      <c r="S385" s="424"/>
      <c r="T385" s="434" t="s">
        <v>442</v>
      </c>
      <c r="U385" s="434" t="s">
        <v>443</v>
      </c>
      <c r="V385" s="436" t="n">
        <f aca="false">AY385</f>
        <v>0</v>
      </c>
    </row>
    <row r="386" customFormat="false" ht="13.5" hidden="false" customHeight="false" outlineLevel="0" collapsed="false">
      <c r="A386" s="424"/>
      <c r="B386" s="424"/>
      <c r="C386" s="424"/>
      <c r="D386" s="424"/>
      <c r="E386" s="424"/>
      <c r="F386" s="435" t="e">
        <f aca="false">(+B390*100000+C390*1000+E390*100)</f>
        <v>#VALUE!</v>
      </c>
      <c r="G386" s="424"/>
      <c r="H386" s="424"/>
      <c r="I386" s="424"/>
      <c r="J386" s="424"/>
      <c r="K386" s="424"/>
      <c r="L386" s="434" t="s">
        <v>444</v>
      </c>
      <c r="M386" s="424"/>
      <c r="N386" s="424"/>
      <c r="O386" s="424"/>
      <c r="P386" s="438" t="s">
        <v>417</v>
      </c>
      <c r="Q386" s="435" t="n">
        <v>12</v>
      </c>
      <c r="R386" s="434" t="s">
        <v>445</v>
      </c>
      <c r="S386" s="424"/>
      <c r="T386" s="434" t="s">
        <v>446</v>
      </c>
      <c r="U386" s="434" t="s">
        <v>447</v>
      </c>
      <c r="V386" s="436" t="n">
        <f aca="false">AY386</f>
        <v>0</v>
      </c>
    </row>
    <row r="387" customFormat="false" ht="13.5" hidden="false" customHeight="false" outlineLevel="0" collapsed="false">
      <c r="A387" s="436" t="n">
        <f aca="false">TRUNC(+A388)</f>
        <v>200000</v>
      </c>
      <c r="B387" s="424"/>
      <c r="C387" s="424"/>
      <c r="D387" s="424"/>
      <c r="E387" s="440" t="n">
        <f aca="false">TRUNC(+A387/100000000)</f>
        <v>0</v>
      </c>
      <c r="F387" s="424"/>
      <c r="G387" s="424"/>
      <c r="H387" s="424"/>
      <c r="I387" s="424"/>
      <c r="J387" s="424"/>
      <c r="K387" s="424"/>
      <c r="L387" s="424"/>
      <c r="M387" s="424"/>
      <c r="N387" s="424"/>
      <c r="O387" s="424"/>
      <c r="P387" s="438" t="s">
        <v>417</v>
      </c>
      <c r="Q387" s="435" t="n">
        <v>13</v>
      </c>
      <c r="R387" s="434" t="s">
        <v>448</v>
      </c>
      <c r="S387" s="424"/>
      <c r="T387" s="434" t="s">
        <v>449</v>
      </c>
      <c r="U387" s="434" t="s">
        <v>450</v>
      </c>
      <c r="V387" s="436" t="n">
        <f aca="false">AY387</f>
        <v>0</v>
      </c>
    </row>
    <row r="388" customFormat="false" ht="13.5" hidden="false" customHeight="false" outlineLevel="0" collapsed="false">
      <c r="A388" s="441" t="n">
        <f aca="false">'[2]Asuransi Kerugian'!E15</f>
        <v>200000</v>
      </c>
      <c r="B388" s="434" t="s">
        <v>451</v>
      </c>
      <c r="C388" s="434" t="s">
        <v>452</v>
      </c>
      <c r="D388" s="424"/>
      <c r="E388" s="434" t="s">
        <v>452</v>
      </c>
      <c r="F388" s="424"/>
      <c r="G388" s="424"/>
      <c r="H388" s="424"/>
      <c r="I388" s="440" t="n">
        <f aca="false">TRUNC((+A387-(+F385*1000000))/1000)</f>
        <v>200</v>
      </c>
      <c r="J388" s="424"/>
      <c r="K388" s="440" t="n">
        <f aca="false">(TRUNC((+A387-(+F385*1000000))/1))-I388*1000</f>
        <v>0</v>
      </c>
      <c r="L388" s="424"/>
      <c r="M388" s="424"/>
      <c r="N388" s="424"/>
      <c r="O388" s="424"/>
      <c r="P388" s="438" t="s">
        <v>417</v>
      </c>
      <c r="Q388" s="435" t="n">
        <v>14</v>
      </c>
      <c r="R388" s="434" t="s">
        <v>453</v>
      </c>
      <c r="S388" s="424"/>
      <c r="T388" s="434" t="s">
        <v>454</v>
      </c>
      <c r="U388" s="434" t="s">
        <v>455</v>
      </c>
      <c r="V388" s="436" t="n">
        <f aca="false">AY388</f>
        <v>0</v>
      </c>
    </row>
    <row r="389" customFormat="false" ht="13.5" hidden="false" customHeight="false" outlineLevel="0" collapsed="false">
      <c r="A389" s="424"/>
      <c r="B389" s="442" t="s">
        <v>712</v>
      </c>
      <c r="C389" s="442" t="s">
        <v>712</v>
      </c>
      <c r="D389" s="424"/>
      <c r="E389" s="442" t="s">
        <v>712</v>
      </c>
      <c r="F389" s="424"/>
      <c r="G389" s="424"/>
      <c r="H389" s="424"/>
      <c r="I389" s="424"/>
      <c r="J389" s="424"/>
      <c r="K389" s="424"/>
      <c r="L389" s="424"/>
      <c r="M389" s="424"/>
      <c r="N389" s="440" t="n">
        <f aca="false">ROUND(((+A388-A387)*100),1)</f>
        <v>0</v>
      </c>
      <c r="O389" s="424"/>
      <c r="P389" s="438" t="s">
        <v>417</v>
      </c>
      <c r="Q389" s="435" t="n">
        <v>15</v>
      </c>
      <c r="R389" s="434" t="s">
        <v>457</v>
      </c>
      <c r="S389" s="424"/>
      <c r="T389" s="434" t="s">
        <v>458</v>
      </c>
      <c r="U389" s="434" t="s">
        <v>459</v>
      </c>
      <c r="V389" s="436" t="n">
        <f aca="false">AY389</f>
        <v>0</v>
      </c>
    </row>
    <row r="390" customFormat="false" ht="13.5" hidden="false" customHeight="false" outlineLevel="0" collapsed="false">
      <c r="A390" s="424"/>
      <c r="B390" s="440" t="n">
        <f aca="false">TRUNC(+A388/100000000000)</f>
        <v>0</v>
      </c>
      <c r="C390" s="440" t="n">
        <f aca="false">(TRUNC(+A387/1000000000))-B390*100</f>
        <v>0</v>
      </c>
      <c r="D390" s="424"/>
      <c r="E390" s="435" t="str">
        <f aca="false">IF(E387&gt;0,TRUNC(+E387-B390*1000-C390*10),"")</f>
        <v/>
      </c>
      <c r="F390" s="435" t="e">
        <f aca="false">F385-F386</f>
        <v>#VALUE!</v>
      </c>
      <c r="G390" s="435" t="e">
        <f aca="false">G392</f>
        <v>#VALUE!</v>
      </c>
      <c r="H390" s="440" t="n">
        <f aca="false">TRUNC((+A387-(+F385*1000000))/100000)</f>
        <v>2</v>
      </c>
      <c r="I390" s="440" t="n">
        <f aca="false">I388-H390*100</f>
        <v>0</v>
      </c>
      <c r="J390" s="424"/>
      <c r="K390" s="440" t="n">
        <f aca="false">TRUNC(+K388/100)</f>
        <v>0</v>
      </c>
      <c r="L390" s="440" t="n">
        <f aca="false">K388-K390*100</f>
        <v>0</v>
      </c>
      <c r="M390" s="440" t="str">
        <f aca="false">IF(N390&gt;0," &amp; Sen ","")</f>
        <v/>
      </c>
      <c r="N390" s="435" t="n">
        <f aca="false">N389</f>
        <v>0</v>
      </c>
      <c r="O390" s="424"/>
      <c r="P390" s="438" t="s">
        <v>417</v>
      </c>
      <c r="Q390" s="435" t="n">
        <v>16</v>
      </c>
      <c r="R390" s="434" t="s">
        <v>460</v>
      </c>
      <c r="S390" s="424"/>
      <c r="T390" s="434" t="s">
        <v>461</v>
      </c>
      <c r="U390" s="434" t="s">
        <v>462</v>
      </c>
      <c r="V390" s="436" t="n">
        <f aca="false">AY390</f>
        <v>0</v>
      </c>
    </row>
    <row r="391" customFormat="false" ht="13.5" hidden="false" customHeight="false" outlineLevel="0" collapsed="false">
      <c r="A391" s="424"/>
      <c r="B391" s="424"/>
      <c r="C391" s="424"/>
      <c r="D391" s="424"/>
      <c r="E391" s="424"/>
      <c r="F391" s="424"/>
      <c r="G391" s="424"/>
      <c r="H391" s="424"/>
      <c r="I391" s="424"/>
      <c r="J391" s="424"/>
      <c r="K391" s="424"/>
      <c r="L391" s="424"/>
      <c r="M391" s="424"/>
      <c r="N391" s="424"/>
      <c r="O391" s="424"/>
      <c r="P391" s="438" t="s">
        <v>417</v>
      </c>
      <c r="Q391" s="435" t="n">
        <v>17</v>
      </c>
      <c r="R391" s="434" t="s">
        <v>463</v>
      </c>
      <c r="S391" s="424"/>
      <c r="T391" s="434" t="s">
        <v>464</v>
      </c>
      <c r="U391" s="434" t="s">
        <v>465</v>
      </c>
      <c r="V391" s="436" t="n">
        <f aca="false">AY391</f>
        <v>0</v>
      </c>
    </row>
    <row r="392" customFormat="false" ht="13.5" hidden="false" customHeight="false" outlineLevel="0" collapsed="false">
      <c r="A392" s="440" t="n">
        <f aca="false">B390*100000000000</f>
        <v>0</v>
      </c>
      <c r="B392" s="440" t="str">
        <f aca="false">IF(B390&gt;0,VLOOKUP(B390,$Q$7:$T$15,3),"")</f>
        <v/>
      </c>
      <c r="C392" s="440" t="str">
        <f aca="false">IF(C390&gt;0,VLOOKUP(C390,Q375:R473,2),"")</f>
        <v/>
      </c>
      <c r="D392" s="440" t="str">
        <f aca="false">IF(B387+C390&gt;0," Milyar ","")</f>
        <v/>
      </c>
      <c r="E392" s="440" t="e">
        <f aca="false">IF(E390&gt;0,VLOOKUP(E390,$Q$7:$T$15,3),"")</f>
        <v>#N/A</v>
      </c>
      <c r="F392" s="440" t="e">
        <f aca="false">IF(F390&gt;0,VLOOKUP(F390,Q375:R473,2),"")</f>
        <v>#VALUE!</v>
      </c>
      <c r="G392" s="435" t="e">
        <f aca="false">IF(F390+E390&gt;0," Juta","")</f>
        <v>#VALUE!</v>
      </c>
      <c r="H392" s="440" t="str">
        <f aca="false">IF(H390&gt;0,VLOOKUP(H390,$Q$7:$T$15,3),"")</f>
        <v> Dua ratus</v>
      </c>
      <c r="I392" s="440" t="str">
        <f aca="false">IF(I390=1," Se",IF(I390=0,"",VLOOKUP(I390,Q375:R473,2)))</f>
        <v/>
      </c>
      <c r="J392" s="435" t="str">
        <f aca="false">IF(I390+H390&gt;0," ribu","")</f>
        <v> ribu</v>
      </c>
      <c r="K392" s="440" t="str">
        <f aca="false">IF(K390&gt;0,VLOOKUP(K390,Q375:S383,3),"")</f>
        <v/>
      </c>
      <c r="L392" s="440" t="str">
        <f aca="false">IF(L390&gt;0,VLOOKUP(L390,Q375:R473,2),"")</f>
        <v/>
      </c>
      <c r="M392" s="440" t="str">
        <f aca="false">IF(N390&gt;0,VLOOKUP(N389,Q374:U473,5)," Rupiah ")</f>
        <v> Rupiah </v>
      </c>
      <c r="N392" s="424"/>
      <c r="O392" s="435" t="str">
        <f aca="false">IF(N390&gt;0," ====","")</f>
        <v/>
      </c>
      <c r="P392" s="435" t="str">
        <f aca="false">IF(N390&gt;0,"-","====")</f>
        <v>====</v>
      </c>
      <c r="Q392" s="435" t="n">
        <v>18</v>
      </c>
      <c r="R392" s="434" t="s">
        <v>466</v>
      </c>
      <c r="S392" s="424"/>
      <c r="T392" s="434" t="s">
        <v>467</v>
      </c>
      <c r="U392" s="434" t="s">
        <v>468</v>
      </c>
      <c r="V392" s="436" t="n">
        <f aca="false">AY392</f>
        <v>0</v>
      </c>
    </row>
    <row r="393" customFormat="false" ht="13.5" hidden="false" customHeight="false" outlineLevel="0" collapsed="false">
      <c r="A393" s="440"/>
      <c r="B393" s="435" t="str">
        <f aca="false">B392</f>
        <v/>
      </c>
      <c r="C393" s="424"/>
      <c r="D393" s="424"/>
      <c r="E393" s="424"/>
      <c r="F393" s="424"/>
      <c r="G393" s="424"/>
      <c r="H393" s="424"/>
      <c r="I393" s="424"/>
      <c r="J393" s="424"/>
      <c r="K393" s="424"/>
      <c r="L393" s="424"/>
      <c r="M393" s="424"/>
      <c r="N393" s="424"/>
      <c r="O393" s="424"/>
      <c r="P393" s="438" t="s">
        <v>417</v>
      </c>
      <c r="Q393" s="435" t="n">
        <v>19</v>
      </c>
      <c r="R393" s="434" t="s">
        <v>469</v>
      </c>
      <c r="S393" s="424"/>
      <c r="T393" s="434" t="s">
        <v>470</v>
      </c>
      <c r="U393" s="434" t="s">
        <v>471</v>
      </c>
      <c r="V393" s="436" t="n">
        <f aca="false">AY398</f>
        <v>0</v>
      </c>
    </row>
    <row r="394" customFormat="false" ht="13.5" hidden="false" customHeight="false" outlineLevel="0" collapsed="false">
      <c r="A394" s="440"/>
      <c r="B394" s="435" t="str">
        <f aca="false">C392</f>
        <v/>
      </c>
      <c r="C394" s="424"/>
      <c r="D394" s="424"/>
      <c r="E394" s="424"/>
      <c r="F394" s="424"/>
      <c r="G394" s="424"/>
      <c r="H394" s="424"/>
      <c r="I394" s="424"/>
      <c r="J394" s="424"/>
      <c r="K394" s="424"/>
      <c r="L394" s="424"/>
      <c r="M394" s="424"/>
      <c r="N394" s="424"/>
      <c r="O394" s="424"/>
      <c r="P394" s="438" t="s">
        <v>417</v>
      </c>
      <c r="Q394" s="435" t="n">
        <v>20</v>
      </c>
      <c r="R394" s="434" t="s">
        <v>472</v>
      </c>
      <c r="S394" s="424"/>
      <c r="T394" s="434" t="s">
        <v>473</v>
      </c>
      <c r="U394" s="434" t="s">
        <v>474</v>
      </c>
      <c r="V394" s="436" t="n">
        <f aca="false">AY399</f>
        <v>0</v>
      </c>
    </row>
    <row r="395" customFormat="false" ht="13.5" hidden="false" customHeight="false" outlineLevel="0" collapsed="false">
      <c r="A395" s="440"/>
      <c r="B395" s="435" t="str">
        <f aca="false">D392</f>
        <v/>
      </c>
      <c r="C395" s="424"/>
      <c r="D395" s="424"/>
      <c r="E395" s="424"/>
      <c r="F395" s="424"/>
      <c r="G395" s="424"/>
      <c r="H395" s="424"/>
      <c r="I395" s="424"/>
      <c r="J395" s="424"/>
      <c r="K395" s="424"/>
      <c r="L395" s="424"/>
      <c r="M395" s="424"/>
      <c r="N395" s="424"/>
      <c r="O395" s="424"/>
      <c r="P395" s="438" t="s">
        <v>417</v>
      </c>
      <c r="Q395" s="435" t="n">
        <v>21</v>
      </c>
      <c r="R395" s="434" t="s">
        <v>475</v>
      </c>
      <c r="S395" s="424"/>
      <c r="T395" s="434" t="s">
        <v>476</v>
      </c>
      <c r="U395" s="434" t="s">
        <v>477</v>
      </c>
      <c r="V395" s="436" t="n">
        <f aca="false">AY400</f>
        <v>0</v>
      </c>
    </row>
    <row r="396" customFormat="false" ht="13.5" hidden="false" customHeight="false" outlineLevel="0" collapsed="false">
      <c r="A396" s="440"/>
      <c r="B396" s="435" t="e">
        <f aca="false">E392</f>
        <v>#N/A</v>
      </c>
      <c r="C396" s="424"/>
      <c r="D396" s="424"/>
      <c r="E396" s="424"/>
      <c r="F396" s="424"/>
      <c r="G396" s="424"/>
      <c r="H396" s="424"/>
      <c r="I396" s="424"/>
      <c r="J396" s="424"/>
      <c r="K396" s="424"/>
      <c r="L396" s="424"/>
      <c r="M396" s="424"/>
      <c r="N396" s="424"/>
      <c r="O396" s="424"/>
      <c r="P396" s="424"/>
      <c r="Q396" s="435" t="n">
        <v>22</v>
      </c>
      <c r="R396" s="434" t="s">
        <v>478</v>
      </c>
      <c r="S396" s="424"/>
      <c r="T396" s="434" t="s">
        <v>479</v>
      </c>
      <c r="U396" s="434" t="s">
        <v>480</v>
      </c>
      <c r="V396" s="436" t="n">
        <f aca="false">AY401</f>
        <v>0</v>
      </c>
    </row>
    <row r="397" customFormat="false" ht="13.5" hidden="false" customHeight="false" outlineLevel="0" collapsed="false">
      <c r="A397" s="440"/>
      <c r="B397" s="435" t="e">
        <f aca="false">F392</f>
        <v>#VALUE!</v>
      </c>
      <c r="C397" s="424"/>
      <c r="D397" s="424"/>
      <c r="E397" s="424"/>
      <c r="F397" s="424"/>
      <c r="G397" s="424"/>
      <c r="H397" s="424"/>
      <c r="I397" s="424"/>
      <c r="J397" s="424"/>
      <c r="K397" s="424"/>
      <c r="L397" s="424"/>
      <c r="M397" s="424"/>
      <c r="N397" s="424"/>
      <c r="O397" s="424"/>
      <c r="P397" s="438" t="s">
        <v>417</v>
      </c>
      <c r="Q397" s="435" t="n">
        <v>23</v>
      </c>
      <c r="R397" s="434" t="s">
        <v>481</v>
      </c>
      <c r="S397" s="424"/>
      <c r="T397" s="434" t="s">
        <v>482</v>
      </c>
      <c r="U397" s="434" t="s">
        <v>483</v>
      </c>
      <c r="V397" s="436" t="n">
        <f aca="false">AY402</f>
        <v>0</v>
      </c>
    </row>
    <row r="398" customFormat="false" ht="13.5" hidden="false" customHeight="false" outlineLevel="0" collapsed="false">
      <c r="A398" s="424"/>
      <c r="B398" s="424"/>
      <c r="C398" s="424"/>
      <c r="D398" s="424"/>
      <c r="E398" s="424"/>
      <c r="F398" s="424"/>
      <c r="G398" s="424"/>
      <c r="H398" s="424"/>
      <c r="I398" s="424"/>
      <c r="J398" s="424"/>
      <c r="K398" s="424"/>
      <c r="L398" s="424"/>
      <c r="M398" s="424"/>
      <c r="N398" s="424"/>
      <c r="O398" s="424"/>
      <c r="P398" s="438" t="s">
        <v>417</v>
      </c>
      <c r="Q398" s="435" t="n">
        <v>24</v>
      </c>
      <c r="R398" s="434" t="s">
        <v>484</v>
      </c>
      <c r="S398" s="424"/>
      <c r="T398" s="434" t="s">
        <v>485</v>
      </c>
      <c r="U398" s="434" t="s">
        <v>486</v>
      </c>
      <c r="V398" s="436" t="n">
        <f aca="false">AY403</f>
        <v>0</v>
      </c>
    </row>
    <row r="399" customFormat="false" ht="13.5" hidden="false" customHeight="false" outlineLevel="0" collapsed="false">
      <c r="A399" s="424"/>
      <c r="B399" s="424"/>
      <c r="C399" s="424"/>
      <c r="D399" s="424"/>
      <c r="E399" s="424"/>
      <c r="F399" s="424"/>
      <c r="G399" s="424"/>
      <c r="H399" s="424"/>
      <c r="I399" s="424"/>
      <c r="J399" s="424"/>
      <c r="K399" s="424"/>
      <c r="L399" s="424"/>
      <c r="M399" s="424"/>
      <c r="N399" s="424"/>
      <c r="O399" s="424"/>
      <c r="P399" s="438" t="s">
        <v>417</v>
      </c>
      <c r="Q399" s="435" t="n">
        <v>25</v>
      </c>
      <c r="R399" s="434" t="s">
        <v>487</v>
      </c>
      <c r="S399" s="424"/>
      <c r="T399" s="434" t="s">
        <v>488</v>
      </c>
      <c r="U399" s="434" t="s">
        <v>489</v>
      </c>
      <c r="V399" s="436" t="n">
        <f aca="false">AY404</f>
        <v>0</v>
      </c>
    </row>
    <row r="400" customFormat="false" ht="13.5" hidden="false" customHeight="false" outlineLevel="0" collapsed="false">
      <c r="A400" s="424"/>
      <c r="B400" s="424"/>
      <c r="C400" s="424"/>
      <c r="D400" s="424"/>
      <c r="E400" s="424"/>
      <c r="F400" s="424"/>
      <c r="G400" s="424"/>
      <c r="H400" s="424"/>
      <c r="I400" s="424"/>
      <c r="J400" s="424"/>
      <c r="K400" s="424"/>
      <c r="L400" s="424"/>
      <c r="M400" s="424"/>
      <c r="N400" s="424"/>
      <c r="O400" s="424"/>
      <c r="P400" s="438" t="s">
        <v>417</v>
      </c>
      <c r="Q400" s="435" t="n">
        <v>26</v>
      </c>
      <c r="R400" s="434" t="s">
        <v>490</v>
      </c>
      <c r="S400" s="424"/>
      <c r="T400" s="434" t="s">
        <v>491</v>
      </c>
      <c r="U400" s="434" t="s">
        <v>492</v>
      </c>
      <c r="V400" s="436" t="n">
        <f aca="false">AY405</f>
        <v>0</v>
      </c>
    </row>
    <row r="401" customFormat="false" ht="13.5" hidden="false" customHeight="false" outlineLevel="0" collapsed="false">
      <c r="A401" s="424"/>
      <c r="B401" s="424"/>
      <c r="C401" s="424"/>
      <c r="D401" s="424"/>
      <c r="E401" s="424"/>
      <c r="F401" s="424"/>
      <c r="G401" s="424"/>
      <c r="H401" s="424"/>
      <c r="I401" s="424"/>
      <c r="J401" s="424"/>
      <c r="K401" s="424"/>
      <c r="L401" s="424"/>
      <c r="M401" s="424"/>
      <c r="N401" s="424"/>
      <c r="O401" s="424"/>
      <c r="P401" s="424"/>
      <c r="Q401" s="435" t="n">
        <v>27</v>
      </c>
      <c r="R401" s="434" t="s">
        <v>493</v>
      </c>
      <c r="S401" s="424"/>
      <c r="T401" s="434" t="s">
        <v>494</v>
      </c>
      <c r="U401" s="434" t="s">
        <v>495</v>
      </c>
      <c r="V401" s="436" t="n">
        <f aca="false">AY406</f>
        <v>0</v>
      </c>
    </row>
    <row r="402" customFormat="false" ht="13.5" hidden="false" customHeight="false" outlineLevel="0" collapsed="false">
      <c r="A402" s="424"/>
      <c r="B402" s="424"/>
      <c r="C402" s="424"/>
      <c r="D402" s="424"/>
      <c r="E402" s="424"/>
      <c r="F402" s="424"/>
      <c r="G402" s="424"/>
      <c r="H402" s="424"/>
      <c r="I402" s="424"/>
      <c r="J402" s="424"/>
      <c r="K402" s="424"/>
      <c r="L402" s="424"/>
      <c r="M402" s="424"/>
      <c r="N402" s="424"/>
      <c r="O402" s="424"/>
      <c r="P402" s="424"/>
      <c r="Q402" s="435" t="n">
        <v>28</v>
      </c>
      <c r="R402" s="434" t="s">
        <v>496</v>
      </c>
      <c r="S402" s="424"/>
      <c r="T402" s="434" t="s">
        <v>497</v>
      </c>
      <c r="U402" s="434" t="s">
        <v>498</v>
      </c>
      <c r="V402" s="436" t="n">
        <f aca="false">AY407</f>
        <v>0</v>
      </c>
    </row>
    <row r="403" customFormat="false" ht="13.5" hidden="false" customHeight="false" outlineLevel="0" collapsed="false">
      <c r="A403" s="424"/>
      <c r="B403" s="424"/>
      <c r="C403" s="424"/>
      <c r="D403" s="424"/>
      <c r="E403" s="424"/>
      <c r="F403" s="424"/>
      <c r="G403" s="424"/>
      <c r="H403" s="424"/>
      <c r="I403" s="424"/>
      <c r="J403" s="424"/>
      <c r="K403" s="424"/>
      <c r="L403" s="424"/>
      <c r="M403" s="424"/>
      <c r="N403" s="424"/>
      <c r="O403" s="424"/>
      <c r="P403" s="424"/>
      <c r="Q403" s="435" t="n">
        <v>29</v>
      </c>
      <c r="R403" s="434" t="s">
        <v>499</v>
      </c>
      <c r="S403" s="424"/>
      <c r="T403" s="434" t="s">
        <v>500</v>
      </c>
      <c r="U403" s="434" t="s">
        <v>501</v>
      </c>
      <c r="V403" s="436" t="n">
        <f aca="false">AY408</f>
        <v>0</v>
      </c>
    </row>
    <row r="404" customFormat="false" ht="13.5" hidden="false" customHeight="false" outlineLevel="0" collapsed="false">
      <c r="A404" s="424"/>
      <c r="B404" s="424"/>
      <c r="C404" s="424"/>
      <c r="D404" s="424"/>
      <c r="E404" s="424"/>
      <c r="F404" s="424"/>
      <c r="G404" s="424"/>
      <c r="H404" s="424"/>
      <c r="I404" s="424"/>
      <c r="J404" s="424"/>
      <c r="K404" s="424"/>
      <c r="L404" s="424"/>
      <c r="M404" s="424"/>
      <c r="N404" s="424"/>
      <c r="O404" s="424"/>
      <c r="P404" s="424"/>
      <c r="Q404" s="435" t="n">
        <v>30</v>
      </c>
      <c r="R404" s="434" t="s">
        <v>502</v>
      </c>
      <c r="S404" s="424"/>
      <c r="T404" s="434" t="s">
        <v>503</v>
      </c>
      <c r="U404" s="434" t="s">
        <v>504</v>
      </c>
      <c r="V404" s="436" t="n">
        <f aca="false">AY409</f>
        <v>0</v>
      </c>
    </row>
    <row r="405" customFormat="false" ht="13.5" hidden="false" customHeight="false" outlineLevel="0" collapsed="false">
      <c r="A405" s="424"/>
      <c r="B405" s="424"/>
      <c r="C405" s="424"/>
      <c r="D405" s="424"/>
      <c r="E405" s="424"/>
      <c r="F405" s="424"/>
      <c r="G405" s="424"/>
      <c r="H405" s="424"/>
      <c r="I405" s="424"/>
      <c r="J405" s="424"/>
      <c r="K405" s="424"/>
      <c r="L405" s="424"/>
      <c r="M405" s="424"/>
      <c r="N405" s="424"/>
      <c r="O405" s="424"/>
      <c r="P405" s="424"/>
      <c r="Q405" s="435" t="n">
        <v>31</v>
      </c>
      <c r="R405" s="434" t="s">
        <v>505</v>
      </c>
      <c r="S405" s="424"/>
      <c r="T405" s="434" t="s">
        <v>506</v>
      </c>
      <c r="U405" s="434" t="s">
        <v>507</v>
      </c>
      <c r="V405" s="436" t="n">
        <f aca="false">AY410</f>
        <v>0</v>
      </c>
    </row>
    <row r="406" customFormat="false" ht="13.5" hidden="false" customHeight="false" outlineLevel="0" collapsed="false">
      <c r="A406" s="424"/>
      <c r="B406" s="424"/>
      <c r="C406" s="424"/>
      <c r="D406" s="424"/>
      <c r="E406" s="424"/>
      <c r="F406" s="424"/>
      <c r="G406" s="424"/>
      <c r="H406" s="424"/>
      <c r="I406" s="424"/>
      <c r="J406" s="424"/>
      <c r="K406" s="424"/>
      <c r="L406" s="424"/>
      <c r="M406" s="424"/>
      <c r="N406" s="424"/>
      <c r="O406" s="424"/>
      <c r="P406" s="424"/>
      <c r="Q406" s="435" t="n">
        <v>32</v>
      </c>
      <c r="R406" s="434" t="s">
        <v>508</v>
      </c>
      <c r="S406" s="424"/>
      <c r="T406" s="434" t="s">
        <v>509</v>
      </c>
      <c r="U406" s="434" t="s">
        <v>510</v>
      </c>
      <c r="V406" s="436" t="n">
        <f aca="false">AY411</f>
        <v>0</v>
      </c>
    </row>
    <row r="407" customFormat="false" ht="13.5" hidden="false" customHeight="false" outlineLevel="0" collapsed="false">
      <c r="A407" s="440"/>
      <c r="B407" s="435" t="e">
        <f aca="false">G392</f>
        <v>#VALUE!</v>
      </c>
      <c r="C407" s="424"/>
      <c r="D407" s="424"/>
      <c r="E407" s="424"/>
      <c r="F407" s="424"/>
      <c r="G407" s="424"/>
      <c r="H407" s="424"/>
      <c r="I407" s="424"/>
      <c r="J407" s="424"/>
      <c r="K407" s="424"/>
      <c r="L407" s="424"/>
      <c r="M407" s="424"/>
      <c r="N407" s="424"/>
      <c r="O407" s="424"/>
      <c r="P407" s="424"/>
      <c r="Q407" s="435" t="n">
        <v>33</v>
      </c>
      <c r="R407" s="434" t="s">
        <v>511</v>
      </c>
      <c r="S407" s="424"/>
      <c r="T407" s="434" t="s">
        <v>512</v>
      </c>
      <c r="U407" s="434" t="s">
        <v>513</v>
      </c>
      <c r="V407" s="436" t="n">
        <f aca="false">AY412</f>
        <v>0</v>
      </c>
    </row>
    <row r="408" customFormat="false" ht="13.5" hidden="false" customHeight="false" outlineLevel="0" collapsed="false">
      <c r="A408" s="440"/>
      <c r="B408" s="435" t="str">
        <f aca="false">H392</f>
        <v> Dua ratus</v>
      </c>
      <c r="C408" s="424"/>
      <c r="D408" s="424"/>
      <c r="E408" s="424"/>
      <c r="F408" s="424"/>
      <c r="G408" s="424"/>
      <c r="H408" s="424"/>
      <c r="I408" s="424"/>
      <c r="J408" s="424"/>
      <c r="K408" s="424"/>
      <c r="L408" s="424"/>
      <c r="M408" s="424"/>
      <c r="N408" s="424"/>
      <c r="O408" s="424"/>
      <c r="P408" s="424"/>
      <c r="Q408" s="435" t="n">
        <v>34</v>
      </c>
      <c r="R408" s="434" t="s">
        <v>514</v>
      </c>
      <c r="S408" s="424"/>
      <c r="T408" s="434" t="s">
        <v>515</v>
      </c>
      <c r="U408" s="434" t="s">
        <v>516</v>
      </c>
      <c r="V408" s="436" t="n">
        <f aca="false">AY413</f>
        <v>0</v>
      </c>
    </row>
    <row r="409" customFormat="false" ht="13.5" hidden="false" customHeight="false" outlineLevel="0" collapsed="false">
      <c r="A409" s="440"/>
      <c r="B409" s="435" t="str">
        <f aca="false">I392</f>
        <v/>
      </c>
      <c r="C409" s="424"/>
      <c r="D409" s="424"/>
      <c r="E409" s="424"/>
      <c r="F409" s="424"/>
      <c r="G409" s="424"/>
      <c r="H409" s="424"/>
      <c r="I409" s="424"/>
      <c r="J409" s="424"/>
      <c r="K409" s="424"/>
      <c r="L409" s="424"/>
      <c r="M409" s="424"/>
      <c r="N409" s="424"/>
      <c r="O409" s="424"/>
      <c r="P409" s="424"/>
      <c r="Q409" s="435" t="n">
        <v>35</v>
      </c>
      <c r="R409" s="434" t="s">
        <v>517</v>
      </c>
      <c r="S409" s="424"/>
      <c r="T409" s="434" t="s">
        <v>518</v>
      </c>
      <c r="U409" s="434" t="s">
        <v>519</v>
      </c>
      <c r="V409" s="436" t="n">
        <f aca="false">AY414</f>
        <v>0</v>
      </c>
    </row>
    <row r="410" customFormat="false" ht="13.5" hidden="false" customHeight="false" outlineLevel="0" collapsed="false">
      <c r="A410" s="440"/>
      <c r="B410" s="435" t="str">
        <f aca="false">J392</f>
        <v> ribu</v>
      </c>
      <c r="C410" s="424"/>
      <c r="D410" s="424"/>
      <c r="E410" s="424"/>
      <c r="F410" s="424"/>
      <c r="G410" s="424"/>
      <c r="H410" s="424"/>
      <c r="I410" s="424"/>
      <c r="J410" s="424"/>
      <c r="K410" s="424"/>
      <c r="L410" s="424"/>
      <c r="M410" s="424"/>
      <c r="N410" s="424"/>
      <c r="O410" s="424"/>
      <c r="P410" s="424"/>
      <c r="Q410" s="435" t="n">
        <v>36</v>
      </c>
      <c r="R410" s="434" t="s">
        <v>520</v>
      </c>
      <c r="S410" s="424"/>
      <c r="T410" s="434" t="s">
        <v>521</v>
      </c>
      <c r="U410" s="434" t="s">
        <v>522</v>
      </c>
      <c r="V410" s="436" t="n">
        <f aca="false">AY415</f>
        <v>0</v>
      </c>
    </row>
    <row r="411" customFormat="false" ht="13.5" hidden="false" customHeight="false" outlineLevel="0" collapsed="false">
      <c r="A411" s="440"/>
      <c r="B411" s="440" t="str">
        <f aca="false">K392</f>
        <v/>
      </c>
      <c r="C411" s="424"/>
      <c r="D411" s="424"/>
      <c r="E411" s="424"/>
      <c r="F411" s="424"/>
      <c r="G411" s="424"/>
      <c r="H411" s="424"/>
      <c r="I411" s="424"/>
      <c r="J411" s="424"/>
      <c r="K411" s="424"/>
      <c r="L411" s="424"/>
      <c r="M411" s="424"/>
      <c r="N411" s="424"/>
      <c r="O411" s="424"/>
      <c r="P411" s="424"/>
      <c r="Q411" s="435" t="n">
        <v>37</v>
      </c>
      <c r="R411" s="434" t="s">
        <v>523</v>
      </c>
      <c r="S411" s="424"/>
      <c r="T411" s="434" t="s">
        <v>524</v>
      </c>
      <c r="U411" s="434" t="s">
        <v>525</v>
      </c>
      <c r="V411" s="436" t="n">
        <f aca="false">AY416</f>
        <v>0</v>
      </c>
    </row>
    <row r="412" customFormat="false" ht="13.5" hidden="false" customHeight="false" outlineLevel="0" collapsed="false">
      <c r="A412" s="440"/>
      <c r="B412" s="435" t="str">
        <f aca="false">L392</f>
        <v/>
      </c>
      <c r="C412" s="424"/>
      <c r="D412" s="424"/>
      <c r="E412" s="424"/>
      <c r="F412" s="424"/>
      <c r="G412" s="424"/>
      <c r="H412" s="424"/>
      <c r="I412" s="424"/>
      <c r="J412" s="424"/>
      <c r="K412" s="424"/>
      <c r="L412" s="424"/>
      <c r="M412" s="424"/>
      <c r="N412" s="424"/>
      <c r="O412" s="424"/>
      <c r="P412" s="424"/>
      <c r="Q412" s="435" t="n">
        <v>38</v>
      </c>
      <c r="R412" s="434" t="s">
        <v>526</v>
      </c>
      <c r="S412" s="424"/>
      <c r="T412" s="434" t="s">
        <v>527</v>
      </c>
      <c r="U412" s="434" t="s">
        <v>528</v>
      </c>
      <c r="V412" s="436" t="n">
        <f aca="false">AY417</f>
        <v>0</v>
      </c>
    </row>
    <row r="413" customFormat="false" ht="13.5" hidden="false" customHeight="false" outlineLevel="0" collapsed="false">
      <c r="A413" s="440"/>
      <c r="B413" s="435" t="str">
        <f aca="false">M392</f>
        <v> Rupiah </v>
      </c>
      <c r="C413" s="424"/>
      <c r="D413" s="424"/>
      <c r="E413" s="424"/>
      <c r="F413" s="424"/>
      <c r="G413" s="424"/>
      <c r="H413" s="424"/>
      <c r="I413" s="424"/>
      <c r="J413" s="424"/>
      <c r="K413" s="424"/>
      <c r="L413" s="424"/>
      <c r="M413" s="424"/>
      <c r="N413" s="424"/>
      <c r="O413" s="424"/>
      <c r="P413" s="424"/>
      <c r="Q413" s="435" t="n">
        <v>39</v>
      </c>
      <c r="R413" s="434" t="s">
        <v>529</v>
      </c>
      <c r="S413" s="424"/>
      <c r="T413" s="434" t="s">
        <v>530</v>
      </c>
      <c r="U413" s="434" t="s">
        <v>531</v>
      </c>
      <c r="V413" s="436" t="n">
        <f aca="false">AY418</f>
        <v>0</v>
      </c>
    </row>
    <row r="414" customFormat="false" ht="13.5" hidden="false" customHeight="false" outlineLevel="0" collapsed="false">
      <c r="A414" s="436" t="e">
        <f aca="false">+#REF!</f>
        <v>#REF!</v>
      </c>
      <c r="B414" s="435" t="str">
        <f aca="false">O392</f>
        <v/>
      </c>
      <c r="C414" s="424"/>
      <c r="D414" s="424"/>
      <c r="E414" s="424"/>
      <c r="F414" s="424"/>
      <c r="G414" s="424"/>
      <c r="H414" s="424"/>
      <c r="I414" s="424"/>
      <c r="J414" s="424"/>
      <c r="K414" s="424"/>
      <c r="L414" s="424"/>
      <c r="M414" s="424"/>
      <c r="N414" s="424"/>
      <c r="O414" s="424"/>
      <c r="P414" s="424"/>
      <c r="Q414" s="435" t="n">
        <v>40</v>
      </c>
      <c r="R414" s="434" t="s">
        <v>532</v>
      </c>
      <c r="S414" s="424"/>
      <c r="T414" s="434" t="s">
        <v>533</v>
      </c>
      <c r="U414" s="434" t="s">
        <v>534</v>
      </c>
      <c r="V414" s="436" t="n">
        <f aca="false">AY419</f>
        <v>0</v>
      </c>
    </row>
    <row r="415" customFormat="false" ht="13.5" hidden="false" customHeight="false" outlineLevel="0" collapsed="false">
      <c r="A415" s="440"/>
      <c r="B415" s="435" t="str">
        <f aca="false">IF(N390&gt;0,"-","====")</f>
        <v>====</v>
      </c>
      <c r="C415" s="424"/>
      <c r="D415" s="424"/>
      <c r="E415" s="424"/>
      <c r="F415" s="424"/>
      <c r="G415" s="424"/>
      <c r="H415" s="424"/>
      <c r="I415" s="424"/>
      <c r="J415" s="424"/>
      <c r="K415" s="424"/>
      <c r="L415" s="424"/>
      <c r="M415" s="424"/>
      <c r="N415" s="424"/>
      <c r="O415" s="424"/>
      <c r="P415" s="424"/>
      <c r="Q415" s="435" t="n">
        <v>41</v>
      </c>
      <c r="R415" s="434" t="s">
        <v>535</v>
      </c>
      <c r="S415" s="424"/>
      <c r="T415" s="434" t="s">
        <v>536</v>
      </c>
      <c r="U415" s="434" t="s">
        <v>537</v>
      </c>
      <c r="V415" s="436" t="n">
        <f aca="false">AY420</f>
        <v>0</v>
      </c>
    </row>
    <row r="416" customFormat="false" ht="13.5" hidden="false" customHeight="false" outlineLevel="0" collapsed="false">
      <c r="A416" s="444" t="e">
        <f aca="false">B392&amp;C392&amp;D392&amp;E392&amp;F392&amp;G392&amp;H392&amp;I392&amp;J392&amp;K392&amp;L392&amp;M392&amp;O392</f>
        <v>#N/A</v>
      </c>
      <c r="B416" s="424"/>
      <c r="C416" s="424"/>
      <c r="D416" s="424"/>
      <c r="E416" s="424"/>
      <c r="F416" s="424"/>
      <c r="G416" s="424"/>
      <c r="H416" s="424"/>
      <c r="I416" s="424"/>
      <c r="J416" s="424"/>
      <c r="K416" s="424"/>
      <c r="L416" s="424"/>
      <c r="M416" s="424"/>
      <c r="N416" s="424"/>
      <c r="O416" s="424"/>
      <c r="P416" s="424"/>
      <c r="Q416" s="435" t="n">
        <v>42</v>
      </c>
      <c r="R416" s="434" t="s">
        <v>538</v>
      </c>
      <c r="S416" s="424"/>
      <c r="T416" s="434" t="s">
        <v>539</v>
      </c>
      <c r="U416" s="434" t="s">
        <v>540</v>
      </c>
      <c r="V416" s="436" t="n">
        <f aca="false">AY421</f>
        <v>0</v>
      </c>
    </row>
    <row r="417" customFormat="false" ht="13.5" hidden="false" customHeight="false" outlineLevel="0" collapsed="false">
      <c r="A417" s="440" t="str">
        <f aca="false">I392&amp;J392&amp;K392&amp;L392&amp;M392&amp;O392</f>
        <v> ribu Rupiah </v>
      </c>
      <c r="B417" s="424"/>
      <c r="C417" s="424"/>
      <c r="D417" s="424"/>
      <c r="E417" s="424"/>
      <c r="F417" s="424"/>
      <c r="G417" s="424"/>
      <c r="H417" s="424"/>
      <c r="I417" s="424"/>
      <c r="J417" s="424"/>
      <c r="K417" s="424"/>
      <c r="L417" s="424"/>
      <c r="M417" s="424"/>
      <c r="N417" s="424"/>
      <c r="O417" s="424"/>
      <c r="P417" s="424"/>
      <c r="Q417" s="435" t="n">
        <v>43</v>
      </c>
      <c r="R417" s="434" t="s">
        <v>541</v>
      </c>
      <c r="S417" s="424"/>
      <c r="T417" s="434" t="s">
        <v>542</v>
      </c>
      <c r="U417" s="434" t="s">
        <v>543</v>
      </c>
      <c r="V417" s="436" t="n">
        <f aca="false">AY422</f>
        <v>0</v>
      </c>
    </row>
    <row r="418" customFormat="false" ht="13.5" hidden="false" customHeight="false" outlineLevel="0" collapsed="false">
      <c r="A418" s="440"/>
      <c r="B418" s="424"/>
      <c r="C418" s="424"/>
      <c r="D418" s="424"/>
      <c r="E418" s="424"/>
      <c r="F418" s="424"/>
      <c r="G418" s="424"/>
      <c r="H418" s="424"/>
      <c r="I418" s="424"/>
      <c r="J418" s="424"/>
      <c r="K418" s="424"/>
      <c r="L418" s="424"/>
      <c r="M418" s="424"/>
      <c r="N418" s="424"/>
      <c r="O418" s="424"/>
      <c r="P418" s="424"/>
      <c r="Q418" s="435" t="n">
        <v>44</v>
      </c>
      <c r="R418" s="434" t="s">
        <v>544</v>
      </c>
      <c r="S418" s="424"/>
      <c r="T418" s="434" t="s">
        <v>545</v>
      </c>
      <c r="U418" s="434" t="s">
        <v>546</v>
      </c>
      <c r="V418" s="436" t="n">
        <f aca="false">AY423</f>
        <v>0</v>
      </c>
    </row>
    <row r="419" customFormat="false" ht="13.5" hidden="false" customHeight="false" outlineLevel="0" collapsed="false">
      <c r="A419" s="440"/>
      <c r="B419" s="424"/>
      <c r="C419" s="424"/>
      <c r="D419" s="424"/>
      <c r="E419" s="424"/>
      <c r="F419" s="424"/>
      <c r="G419" s="424"/>
      <c r="H419" s="424"/>
      <c r="I419" s="424"/>
      <c r="J419" s="424"/>
      <c r="K419" s="424"/>
      <c r="L419" s="424"/>
      <c r="M419" s="424"/>
      <c r="N419" s="424"/>
      <c r="O419" s="424"/>
      <c r="P419" s="424"/>
      <c r="Q419" s="435" t="n">
        <v>45</v>
      </c>
      <c r="R419" s="434" t="s">
        <v>547</v>
      </c>
      <c r="S419" s="424"/>
      <c r="T419" s="434" t="s">
        <v>548</v>
      </c>
      <c r="U419" s="434" t="s">
        <v>549</v>
      </c>
      <c r="V419" s="436" t="n">
        <f aca="false">AY424</f>
        <v>0</v>
      </c>
    </row>
    <row r="420" customFormat="false" ht="13.5" hidden="false" customHeight="false" outlineLevel="0" collapsed="false">
      <c r="A420" s="440"/>
      <c r="B420" s="424"/>
      <c r="C420" s="424"/>
      <c r="D420" s="424"/>
      <c r="E420" s="424"/>
      <c r="F420" s="424"/>
      <c r="G420" s="424"/>
      <c r="H420" s="424"/>
      <c r="I420" s="424"/>
      <c r="J420" s="424"/>
      <c r="K420" s="424"/>
      <c r="L420" s="424"/>
      <c r="M420" s="424"/>
      <c r="N420" s="424"/>
      <c r="O420" s="424"/>
      <c r="P420" s="424"/>
      <c r="Q420" s="435" t="n">
        <v>46</v>
      </c>
      <c r="R420" s="434" t="s">
        <v>550</v>
      </c>
      <c r="S420" s="424"/>
      <c r="T420" s="434" t="s">
        <v>551</v>
      </c>
      <c r="U420" s="434" t="s">
        <v>552</v>
      </c>
      <c r="V420" s="436" t="n">
        <f aca="false">AY425</f>
        <v>0</v>
      </c>
    </row>
    <row r="421" customFormat="false" ht="13.5" hidden="false" customHeight="false" outlineLevel="0" collapsed="false">
      <c r="A421" s="440"/>
      <c r="B421" s="424"/>
      <c r="C421" s="424"/>
      <c r="D421" s="424"/>
      <c r="E421" s="424"/>
      <c r="F421" s="424"/>
      <c r="G421" s="424"/>
      <c r="H421" s="424"/>
      <c r="I421" s="424"/>
      <c r="J421" s="424"/>
      <c r="K421" s="424"/>
      <c r="L421" s="424"/>
      <c r="M421" s="424"/>
      <c r="N421" s="424"/>
      <c r="O421" s="424"/>
      <c r="P421" s="424"/>
      <c r="Q421" s="435" t="n">
        <v>47</v>
      </c>
      <c r="R421" s="434" t="s">
        <v>553</v>
      </c>
      <c r="S421" s="424"/>
      <c r="T421" s="434" t="s">
        <v>554</v>
      </c>
      <c r="U421" s="434" t="s">
        <v>555</v>
      </c>
      <c r="V421" s="436" t="n">
        <f aca="false">AY426</f>
        <v>0</v>
      </c>
    </row>
    <row r="422" customFormat="false" ht="13.5" hidden="false" customHeight="false" outlineLevel="0" collapsed="false">
      <c r="A422" s="424"/>
      <c r="B422" s="424"/>
      <c r="C422" s="424"/>
      <c r="D422" s="424"/>
      <c r="E422" s="424"/>
      <c r="F422" s="424"/>
      <c r="G422" s="424"/>
      <c r="H422" s="424"/>
      <c r="I422" s="424"/>
      <c r="J422" s="424"/>
      <c r="K422" s="424"/>
      <c r="L422" s="424"/>
      <c r="M422" s="424"/>
      <c r="N422" s="424"/>
      <c r="O422" s="424"/>
      <c r="P422" s="424"/>
      <c r="Q422" s="435" t="n">
        <v>48</v>
      </c>
      <c r="R422" s="434" t="s">
        <v>556</v>
      </c>
      <c r="S422" s="424"/>
      <c r="T422" s="434" t="s">
        <v>557</v>
      </c>
      <c r="U422" s="434" t="s">
        <v>558</v>
      </c>
      <c r="V422" s="436" t="n">
        <f aca="false">AY427</f>
        <v>0</v>
      </c>
    </row>
    <row r="423" customFormat="false" ht="13.5" hidden="false" customHeight="false" outlineLevel="0" collapsed="false">
      <c r="A423" s="424"/>
      <c r="B423" s="424"/>
      <c r="C423" s="424"/>
      <c r="D423" s="424"/>
      <c r="E423" s="424"/>
      <c r="F423" s="424"/>
      <c r="G423" s="424"/>
      <c r="H423" s="424"/>
      <c r="I423" s="424"/>
      <c r="J423" s="424"/>
      <c r="K423" s="424"/>
      <c r="L423" s="424"/>
      <c r="M423" s="424"/>
      <c r="N423" s="424"/>
      <c r="O423" s="424"/>
      <c r="P423" s="424"/>
      <c r="Q423" s="435" t="n">
        <v>49</v>
      </c>
      <c r="R423" s="434" t="s">
        <v>559</v>
      </c>
      <c r="S423" s="424"/>
      <c r="T423" s="434" t="s">
        <v>560</v>
      </c>
      <c r="U423" s="434" t="s">
        <v>561</v>
      </c>
      <c r="V423" s="436" t="n">
        <f aca="false">AY428</f>
        <v>0</v>
      </c>
    </row>
    <row r="424" customFormat="false" ht="13.5" hidden="false" customHeight="false" outlineLevel="0" collapsed="false">
      <c r="A424" s="424"/>
      <c r="B424" s="424"/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424"/>
      <c r="Q424" s="435" t="n">
        <v>50</v>
      </c>
      <c r="R424" s="434" t="s">
        <v>562</v>
      </c>
      <c r="S424" s="424"/>
      <c r="T424" s="434" t="s">
        <v>563</v>
      </c>
      <c r="U424" s="434" t="s">
        <v>564</v>
      </c>
      <c r="V424" s="436" t="n">
        <f aca="false">AY429</f>
        <v>0</v>
      </c>
    </row>
    <row r="425" customFormat="false" ht="13.5" hidden="false" customHeight="false" outlineLevel="0" collapsed="false">
      <c r="A425" s="424"/>
      <c r="B425" s="424"/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424"/>
      <c r="Q425" s="435" t="n">
        <v>51</v>
      </c>
      <c r="R425" s="434" t="s">
        <v>565</v>
      </c>
      <c r="S425" s="424"/>
      <c r="T425" s="434" t="s">
        <v>566</v>
      </c>
      <c r="U425" s="434" t="s">
        <v>567</v>
      </c>
      <c r="V425" s="436" t="n">
        <f aca="false">AY430</f>
        <v>0</v>
      </c>
    </row>
    <row r="426" customFormat="false" ht="13.5" hidden="false" customHeight="false" outlineLevel="0" collapsed="false">
      <c r="A426" s="424"/>
      <c r="B426" s="424"/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424"/>
      <c r="Q426" s="435" t="n">
        <v>52</v>
      </c>
      <c r="R426" s="434" t="s">
        <v>568</v>
      </c>
      <c r="S426" s="424"/>
      <c r="T426" s="434" t="s">
        <v>569</v>
      </c>
      <c r="U426" s="434" t="s">
        <v>570</v>
      </c>
      <c r="V426" s="436" t="n">
        <f aca="false">AY431</f>
        <v>0</v>
      </c>
    </row>
    <row r="427" customFormat="false" ht="13.5" hidden="false" customHeight="false" outlineLevel="0" collapsed="false">
      <c r="A427" s="424"/>
      <c r="B427" s="424"/>
      <c r="C427" s="424"/>
      <c r="D427" s="424"/>
      <c r="E427" s="424"/>
      <c r="F427" s="424"/>
      <c r="G427" s="424"/>
      <c r="H427" s="424"/>
      <c r="I427" s="424"/>
      <c r="J427" s="424"/>
      <c r="K427" s="424"/>
      <c r="L427" s="424"/>
      <c r="M427" s="424"/>
      <c r="N427" s="424"/>
      <c r="O427" s="424"/>
      <c r="P427" s="424"/>
      <c r="Q427" s="435" t="n">
        <v>53</v>
      </c>
      <c r="R427" s="434" t="s">
        <v>571</v>
      </c>
      <c r="S427" s="424"/>
      <c r="T427" s="434" t="s">
        <v>572</v>
      </c>
      <c r="U427" s="434" t="s">
        <v>573</v>
      </c>
      <c r="V427" s="436" t="n">
        <f aca="false">AY432</f>
        <v>0</v>
      </c>
    </row>
    <row r="428" customFormat="false" ht="13.5" hidden="false" customHeight="false" outlineLevel="0" collapsed="false">
      <c r="A428" s="424"/>
      <c r="B428" s="424"/>
      <c r="C428" s="424"/>
      <c r="D428" s="424"/>
      <c r="E428" s="424"/>
      <c r="F428" s="424"/>
      <c r="G428" s="424"/>
      <c r="H428" s="424"/>
      <c r="I428" s="424"/>
      <c r="J428" s="424"/>
      <c r="K428" s="424"/>
      <c r="L428" s="424"/>
      <c r="M428" s="424"/>
      <c r="N428" s="424"/>
      <c r="O428" s="424"/>
      <c r="P428" s="424"/>
      <c r="Q428" s="435" t="n">
        <v>54</v>
      </c>
      <c r="R428" s="434" t="s">
        <v>574</v>
      </c>
      <c r="S428" s="424"/>
      <c r="T428" s="434" t="s">
        <v>575</v>
      </c>
      <c r="U428" s="434" t="s">
        <v>576</v>
      </c>
      <c r="V428" s="436" t="n">
        <f aca="false">AY433</f>
        <v>0</v>
      </c>
    </row>
    <row r="429" customFormat="false" ht="13.5" hidden="false" customHeight="false" outlineLevel="0" collapsed="false">
      <c r="A429" s="424"/>
      <c r="B429" s="424"/>
      <c r="C429" s="424"/>
      <c r="D429" s="424"/>
      <c r="E429" s="424"/>
      <c r="F429" s="424"/>
      <c r="G429" s="424"/>
      <c r="H429" s="424"/>
      <c r="I429" s="424"/>
      <c r="J429" s="424"/>
      <c r="K429" s="424"/>
      <c r="L429" s="424"/>
      <c r="M429" s="424"/>
      <c r="N429" s="424"/>
      <c r="O429" s="424"/>
      <c r="P429" s="424"/>
      <c r="Q429" s="435" t="n">
        <v>55</v>
      </c>
      <c r="R429" s="434" t="s">
        <v>577</v>
      </c>
      <c r="S429" s="424"/>
      <c r="T429" s="434" t="s">
        <v>578</v>
      </c>
      <c r="U429" s="434" t="s">
        <v>579</v>
      </c>
      <c r="V429" s="436" t="n">
        <f aca="false">AY434</f>
        <v>0</v>
      </c>
    </row>
    <row r="430" customFormat="false" ht="13.5" hidden="false" customHeight="false" outlineLevel="0" collapsed="false">
      <c r="A430" s="424"/>
      <c r="B430" s="424"/>
      <c r="C430" s="424"/>
      <c r="D430" s="424"/>
      <c r="E430" s="424"/>
      <c r="F430" s="424"/>
      <c r="G430" s="424"/>
      <c r="H430" s="424"/>
      <c r="I430" s="424"/>
      <c r="J430" s="424"/>
      <c r="K430" s="424"/>
      <c r="L430" s="424"/>
      <c r="M430" s="424"/>
      <c r="N430" s="424"/>
      <c r="O430" s="424"/>
      <c r="P430" s="424"/>
      <c r="Q430" s="435" t="n">
        <v>56</v>
      </c>
      <c r="R430" s="434" t="s">
        <v>580</v>
      </c>
      <c r="S430" s="424"/>
      <c r="T430" s="434" t="s">
        <v>581</v>
      </c>
      <c r="U430" s="434" t="s">
        <v>582</v>
      </c>
      <c r="V430" s="436" t="n">
        <f aca="false">AY435</f>
        <v>0</v>
      </c>
    </row>
    <row r="431" customFormat="false" ht="13.5" hidden="false" customHeight="false" outlineLevel="0" collapsed="false">
      <c r="A431" s="424"/>
      <c r="B431" s="424"/>
      <c r="C431" s="424"/>
      <c r="D431" s="424"/>
      <c r="E431" s="424"/>
      <c r="F431" s="424"/>
      <c r="G431" s="424"/>
      <c r="H431" s="424"/>
      <c r="I431" s="424"/>
      <c r="J431" s="424"/>
      <c r="K431" s="424"/>
      <c r="L431" s="424"/>
      <c r="M431" s="424"/>
      <c r="N431" s="424"/>
      <c r="O431" s="424"/>
      <c r="P431" s="424"/>
      <c r="Q431" s="435" t="n">
        <v>57</v>
      </c>
      <c r="R431" s="434" t="s">
        <v>583</v>
      </c>
      <c r="S431" s="424"/>
      <c r="T431" s="434" t="s">
        <v>584</v>
      </c>
      <c r="U431" s="434" t="s">
        <v>585</v>
      </c>
      <c r="V431" s="436" t="n">
        <f aca="false">AY436</f>
        <v>0</v>
      </c>
    </row>
    <row r="432" customFormat="false" ht="13.5" hidden="false" customHeight="false" outlineLevel="0" collapsed="false">
      <c r="A432" s="424"/>
      <c r="B432" s="424"/>
      <c r="C432" s="424"/>
      <c r="D432" s="424"/>
      <c r="E432" s="424"/>
      <c r="F432" s="424"/>
      <c r="G432" s="424"/>
      <c r="H432" s="424"/>
      <c r="I432" s="424"/>
      <c r="J432" s="424"/>
      <c r="K432" s="424"/>
      <c r="L432" s="424"/>
      <c r="M432" s="424"/>
      <c r="N432" s="424"/>
      <c r="O432" s="424"/>
      <c r="P432" s="424"/>
      <c r="Q432" s="435" t="n">
        <v>58</v>
      </c>
      <c r="R432" s="434" t="s">
        <v>586</v>
      </c>
      <c r="S432" s="424"/>
      <c r="T432" s="434" t="s">
        <v>587</v>
      </c>
      <c r="U432" s="434" t="s">
        <v>588</v>
      </c>
      <c r="V432" s="436" t="n">
        <f aca="false">AY437</f>
        <v>0</v>
      </c>
    </row>
    <row r="433" customFormat="false" ht="13.5" hidden="false" customHeight="false" outlineLevel="0" collapsed="false">
      <c r="A433" s="424"/>
      <c r="B433" s="424"/>
      <c r="C433" s="424"/>
      <c r="D433" s="424"/>
      <c r="E433" s="424"/>
      <c r="F433" s="424"/>
      <c r="G433" s="424"/>
      <c r="H433" s="424"/>
      <c r="I433" s="424"/>
      <c r="J433" s="424"/>
      <c r="K433" s="424"/>
      <c r="L433" s="424"/>
      <c r="M433" s="424"/>
      <c r="N433" s="424"/>
      <c r="O433" s="424"/>
      <c r="P433" s="424"/>
      <c r="Q433" s="435" t="n">
        <v>59</v>
      </c>
      <c r="R433" s="434" t="s">
        <v>589</v>
      </c>
      <c r="S433" s="424"/>
      <c r="T433" s="434" t="s">
        <v>590</v>
      </c>
      <c r="U433" s="434" t="s">
        <v>591</v>
      </c>
      <c r="V433" s="436" t="n">
        <f aca="false">AY438</f>
        <v>0</v>
      </c>
    </row>
    <row r="434" customFormat="false" ht="13.5" hidden="false" customHeight="false" outlineLevel="0" collapsed="false">
      <c r="A434" s="424"/>
      <c r="B434" s="424"/>
      <c r="C434" s="424"/>
      <c r="D434" s="424"/>
      <c r="E434" s="424"/>
      <c r="F434" s="424"/>
      <c r="G434" s="424"/>
      <c r="H434" s="424"/>
      <c r="I434" s="424"/>
      <c r="J434" s="424"/>
      <c r="K434" s="424"/>
      <c r="L434" s="424"/>
      <c r="M434" s="424"/>
      <c r="N434" s="424"/>
      <c r="O434" s="424"/>
      <c r="P434" s="424"/>
      <c r="Q434" s="435" t="n">
        <v>60</v>
      </c>
      <c r="R434" s="434" t="s">
        <v>592</v>
      </c>
      <c r="S434" s="424"/>
      <c r="T434" s="434" t="s">
        <v>593</v>
      </c>
      <c r="U434" s="434" t="s">
        <v>594</v>
      </c>
      <c r="V434" s="436" t="n">
        <f aca="false">AY439</f>
        <v>0</v>
      </c>
    </row>
    <row r="435" customFormat="false" ht="13.5" hidden="false" customHeight="false" outlineLevel="0" collapsed="false">
      <c r="A435" s="424"/>
      <c r="B435" s="424"/>
      <c r="C435" s="424"/>
      <c r="D435" s="424"/>
      <c r="E435" s="424"/>
      <c r="F435" s="424"/>
      <c r="G435" s="424"/>
      <c r="H435" s="424"/>
      <c r="I435" s="424"/>
      <c r="J435" s="424"/>
      <c r="K435" s="424"/>
      <c r="L435" s="424"/>
      <c r="M435" s="424"/>
      <c r="N435" s="424"/>
      <c r="O435" s="424"/>
      <c r="P435" s="424"/>
      <c r="Q435" s="435" t="n">
        <v>61</v>
      </c>
      <c r="R435" s="434" t="s">
        <v>595</v>
      </c>
      <c r="S435" s="424"/>
      <c r="T435" s="434" t="s">
        <v>596</v>
      </c>
      <c r="U435" s="434" t="s">
        <v>597</v>
      </c>
      <c r="V435" s="436" t="n">
        <f aca="false">AY440</f>
        <v>0</v>
      </c>
    </row>
    <row r="436" customFormat="false" ht="13.5" hidden="false" customHeight="false" outlineLevel="0" collapsed="false">
      <c r="A436" s="424"/>
      <c r="B436" s="424"/>
      <c r="C436" s="424"/>
      <c r="D436" s="424"/>
      <c r="E436" s="424"/>
      <c r="F436" s="424"/>
      <c r="G436" s="424"/>
      <c r="H436" s="424"/>
      <c r="I436" s="424"/>
      <c r="J436" s="424"/>
      <c r="K436" s="424"/>
      <c r="L436" s="424"/>
      <c r="M436" s="424"/>
      <c r="N436" s="424"/>
      <c r="O436" s="424"/>
      <c r="P436" s="424"/>
      <c r="Q436" s="435" t="n">
        <v>62</v>
      </c>
      <c r="R436" s="434" t="s">
        <v>598</v>
      </c>
      <c r="S436" s="424"/>
      <c r="T436" s="434" t="s">
        <v>599</v>
      </c>
      <c r="U436" s="434" t="s">
        <v>600</v>
      </c>
      <c r="V436" s="436" t="n">
        <f aca="false">AY441</f>
        <v>0</v>
      </c>
    </row>
    <row r="437" customFormat="false" ht="13.5" hidden="false" customHeight="false" outlineLevel="0" collapsed="false">
      <c r="A437" s="424"/>
      <c r="B437" s="424"/>
      <c r="C437" s="424"/>
      <c r="D437" s="424"/>
      <c r="E437" s="424"/>
      <c r="F437" s="424"/>
      <c r="G437" s="424"/>
      <c r="H437" s="424"/>
      <c r="I437" s="424"/>
      <c r="J437" s="424"/>
      <c r="K437" s="424"/>
      <c r="L437" s="424"/>
      <c r="M437" s="424"/>
      <c r="N437" s="424"/>
      <c r="O437" s="424"/>
      <c r="P437" s="424"/>
      <c r="Q437" s="435" t="n">
        <v>63</v>
      </c>
      <c r="R437" s="434" t="s">
        <v>601</v>
      </c>
      <c r="S437" s="424"/>
      <c r="T437" s="434" t="s">
        <v>602</v>
      </c>
      <c r="U437" s="434" t="s">
        <v>603</v>
      </c>
      <c r="V437" s="436" t="n">
        <f aca="false">AY442</f>
        <v>0</v>
      </c>
    </row>
    <row r="438" customFormat="false" ht="13.5" hidden="false" customHeight="false" outlineLevel="0" collapsed="false">
      <c r="A438" s="424"/>
      <c r="B438" s="424"/>
      <c r="C438" s="424"/>
      <c r="D438" s="424"/>
      <c r="E438" s="424"/>
      <c r="F438" s="424"/>
      <c r="G438" s="424"/>
      <c r="H438" s="424"/>
      <c r="I438" s="424"/>
      <c r="J438" s="424"/>
      <c r="K438" s="424"/>
      <c r="L438" s="424"/>
      <c r="M438" s="424"/>
      <c r="N438" s="424"/>
      <c r="O438" s="424"/>
      <c r="P438" s="424"/>
      <c r="Q438" s="435" t="n">
        <v>64</v>
      </c>
      <c r="R438" s="434" t="s">
        <v>604</v>
      </c>
      <c r="S438" s="424"/>
      <c r="T438" s="434" t="s">
        <v>605</v>
      </c>
      <c r="U438" s="434" t="s">
        <v>606</v>
      </c>
      <c r="V438" s="436" t="n">
        <f aca="false">AY443</f>
        <v>0</v>
      </c>
    </row>
    <row r="439" customFormat="false" ht="13.5" hidden="false" customHeight="false" outlineLevel="0" collapsed="false">
      <c r="A439" s="424"/>
      <c r="B439" s="424"/>
      <c r="C439" s="424"/>
      <c r="D439" s="424"/>
      <c r="E439" s="424"/>
      <c r="F439" s="424"/>
      <c r="G439" s="424"/>
      <c r="H439" s="424"/>
      <c r="I439" s="424"/>
      <c r="J439" s="424"/>
      <c r="K439" s="424"/>
      <c r="L439" s="424"/>
      <c r="M439" s="424"/>
      <c r="N439" s="424"/>
      <c r="O439" s="424"/>
      <c r="P439" s="424"/>
      <c r="Q439" s="435" t="n">
        <v>65</v>
      </c>
      <c r="R439" s="434" t="s">
        <v>607</v>
      </c>
      <c r="S439" s="424"/>
      <c r="T439" s="434" t="s">
        <v>608</v>
      </c>
      <c r="U439" s="434" t="s">
        <v>609</v>
      </c>
      <c r="V439" s="436" t="n">
        <f aca="false">AY444</f>
        <v>0</v>
      </c>
    </row>
    <row r="440" customFormat="false" ht="13.5" hidden="false" customHeight="false" outlineLevel="0" collapsed="false">
      <c r="A440" s="424"/>
      <c r="B440" s="424"/>
      <c r="C440" s="424"/>
      <c r="D440" s="424"/>
      <c r="E440" s="424"/>
      <c r="F440" s="424"/>
      <c r="G440" s="424"/>
      <c r="H440" s="424"/>
      <c r="I440" s="424"/>
      <c r="J440" s="424"/>
      <c r="K440" s="424"/>
      <c r="L440" s="424"/>
      <c r="M440" s="424"/>
      <c r="N440" s="424"/>
      <c r="O440" s="424"/>
      <c r="P440" s="424"/>
      <c r="Q440" s="435" t="n">
        <v>66</v>
      </c>
      <c r="R440" s="434" t="s">
        <v>610</v>
      </c>
      <c r="S440" s="424"/>
      <c r="T440" s="434" t="s">
        <v>611</v>
      </c>
      <c r="U440" s="434" t="s">
        <v>612</v>
      </c>
      <c r="V440" s="436" t="n">
        <f aca="false">AY445</f>
        <v>0</v>
      </c>
    </row>
    <row r="441" customFormat="false" ht="13.5" hidden="false" customHeight="false" outlineLevel="0" collapsed="false">
      <c r="A441" s="424"/>
      <c r="B441" s="424"/>
      <c r="C441" s="424"/>
      <c r="D441" s="424"/>
      <c r="E441" s="424"/>
      <c r="F441" s="424"/>
      <c r="G441" s="424"/>
      <c r="H441" s="424"/>
      <c r="I441" s="424"/>
      <c r="J441" s="424"/>
      <c r="K441" s="424"/>
      <c r="L441" s="424"/>
      <c r="M441" s="424"/>
      <c r="N441" s="424"/>
      <c r="O441" s="424"/>
      <c r="P441" s="424"/>
      <c r="Q441" s="435" t="n">
        <v>67</v>
      </c>
      <c r="R441" s="434" t="s">
        <v>613</v>
      </c>
      <c r="S441" s="424"/>
      <c r="T441" s="434" t="s">
        <v>614</v>
      </c>
      <c r="U441" s="434" t="s">
        <v>615</v>
      </c>
      <c r="V441" s="436" t="n">
        <f aca="false">AY446</f>
        <v>0</v>
      </c>
    </row>
    <row r="442" customFormat="false" ht="13.5" hidden="false" customHeight="false" outlineLevel="0" collapsed="false">
      <c r="A442" s="424"/>
      <c r="B442" s="424"/>
      <c r="C442" s="424"/>
      <c r="D442" s="424"/>
      <c r="E442" s="424"/>
      <c r="F442" s="424"/>
      <c r="G442" s="424"/>
      <c r="H442" s="424"/>
      <c r="I442" s="424"/>
      <c r="J442" s="424"/>
      <c r="K442" s="424"/>
      <c r="L442" s="424"/>
      <c r="M442" s="424"/>
      <c r="N442" s="424"/>
      <c r="O442" s="424"/>
      <c r="P442" s="424"/>
      <c r="Q442" s="435" t="n">
        <v>68</v>
      </c>
      <c r="R442" s="434" t="s">
        <v>616</v>
      </c>
      <c r="S442" s="424"/>
      <c r="T442" s="434" t="s">
        <v>617</v>
      </c>
      <c r="U442" s="434" t="s">
        <v>618</v>
      </c>
      <c r="V442" s="436" t="n">
        <f aca="false">AY447</f>
        <v>0</v>
      </c>
    </row>
    <row r="443" customFormat="false" ht="13.5" hidden="false" customHeight="false" outlineLevel="0" collapsed="false">
      <c r="A443" s="424"/>
      <c r="B443" s="424"/>
      <c r="C443" s="424"/>
      <c r="D443" s="424"/>
      <c r="E443" s="424"/>
      <c r="F443" s="424"/>
      <c r="G443" s="424"/>
      <c r="H443" s="424"/>
      <c r="I443" s="424"/>
      <c r="J443" s="424"/>
      <c r="K443" s="424"/>
      <c r="L443" s="424"/>
      <c r="M443" s="424"/>
      <c r="N443" s="424"/>
      <c r="O443" s="424"/>
      <c r="P443" s="424"/>
      <c r="Q443" s="435" t="n">
        <v>69</v>
      </c>
      <c r="R443" s="434" t="s">
        <v>619</v>
      </c>
      <c r="S443" s="424"/>
      <c r="T443" s="434" t="s">
        <v>620</v>
      </c>
      <c r="U443" s="434" t="s">
        <v>621</v>
      </c>
      <c r="V443" s="436" t="n">
        <f aca="false">AY448</f>
        <v>0</v>
      </c>
    </row>
    <row r="444" customFormat="false" ht="13.5" hidden="false" customHeight="false" outlineLevel="0" collapsed="false">
      <c r="A444" s="424"/>
      <c r="B444" s="424"/>
      <c r="C444" s="424"/>
      <c r="D444" s="424"/>
      <c r="E444" s="424"/>
      <c r="F444" s="424"/>
      <c r="G444" s="424"/>
      <c r="H444" s="424"/>
      <c r="I444" s="424"/>
      <c r="J444" s="424"/>
      <c r="K444" s="424"/>
      <c r="L444" s="424"/>
      <c r="M444" s="424"/>
      <c r="N444" s="424"/>
      <c r="O444" s="424"/>
      <c r="P444" s="424"/>
      <c r="Q444" s="435" t="n">
        <v>70</v>
      </c>
      <c r="R444" s="434" t="s">
        <v>622</v>
      </c>
      <c r="S444" s="424"/>
      <c r="T444" s="434" t="s">
        <v>623</v>
      </c>
      <c r="U444" s="434" t="s">
        <v>624</v>
      </c>
      <c r="V444" s="436" t="n">
        <f aca="false">AY449</f>
        <v>0</v>
      </c>
    </row>
    <row r="445" customFormat="false" ht="13.5" hidden="false" customHeight="false" outlineLevel="0" collapsed="false">
      <c r="A445" s="424"/>
      <c r="B445" s="424"/>
      <c r="C445" s="424"/>
      <c r="D445" s="424"/>
      <c r="E445" s="424"/>
      <c r="F445" s="424"/>
      <c r="G445" s="424"/>
      <c r="H445" s="424"/>
      <c r="I445" s="424"/>
      <c r="J445" s="424"/>
      <c r="K445" s="424"/>
      <c r="L445" s="424"/>
      <c r="M445" s="424"/>
      <c r="N445" s="424"/>
      <c r="O445" s="424"/>
      <c r="P445" s="424"/>
      <c r="Q445" s="435" t="n">
        <v>71</v>
      </c>
      <c r="R445" s="434" t="s">
        <v>625</v>
      </c>
      <c r="S445" s="424"/>
      <c r="T445" s="434" t="s">
        <v>626</v>
      </c>
      <c r="U445" s="434" t="s">
        <v>627</v>
      </c>
      <c r="V445" s="436" t="n">
        <f aca="false">AY450</f>
        <v>0</v>
      </c>
    </row>
    <row r="446" customFormat="false" ht="13.5" hidden="false" customHeight="false" outlineLevel="0" collapsed="false">
      <c r="A446" s="424"/>
      <c r="B446" s="424"/>
      <c r="C446" s="424"/>
      <c r="D446" s="424"/>
      <c r="E446" s="424"/>
      <c r="F446" s="424"/>
      <c r="G446" s="424"/>
      <c r="H446" s="424"/>
      <c r="I446" s="424"/>
      <c r="J446" s="424"/>
      <c r="K446" s="424"/>
      <c r="L446" s="424"/>
      <c r="M446" s="424"/>
      <c r="N446" s="424"/>
      <c r="O446" s="424"/>
      <c r="P446" s="424"/>
      <c r="Q446" s="435" t="n">
        <v>72</v>
      </c>
      <c r="R446" s="434" t="s">
        <v>628</v>
      </c>
      <c r="S446" s="424"/>
      <c r="T446" s="434" t="s">
        <v>629</v>
      </c>
      <c r="U446" s="434" t="s">
        <v>630</v>
      </c>
      <c r="V446" s="436" t="n">
        <f aca="false">AY451</f>
        <v>0</v>
      </c>
    </row>
    <row r="447" customFormat="false" ht="13.5" hidden="false" customHeight="false" outlineLevel="0" collapsed="false">
      <c r="A447" s="424"/>
      <c r="B447" s="424"/>
      <c r="C447" s="424"/>
      <c r="D447" s="424"/>
      <c r="E447" s="424"/>
      <c r="F447" s="424"/>
      <c r="G447" s="424"/>
      <c r="H447" s="424"/>
      <c r="I447" s="424"/>
      <c r="J447" s="424"/>
      <c r="K447" s="424"/>
      <c r="L447" s="424"/>
      <c r="M447" s="424"/>
      <c r="N447" s="424"/>
      <c r="O447" s="424"/>
      <c r="P447" s="424"/>
      <c r="Q447" s="435" t="n">
        <v>73</v>
      </c>
      <c r="R447" s="434" t="s">
        <v>631</v>
      </c>
      <c r="S447" s="424"/>
      <c r="T447" s="434" t="s">
        <v>632</v>
      </c>
      <c r="U447" s="434" t="s">
        <v>633</v>
      </c>
      <c r="V447" s="436" t="n">
        <f aca="false">AY452</f>
        <v>0</v>
      </c>
    </row>
    <row r="448" customFormat="false" ht="13.5" hidden="false" customHeight="false" outlineLevel="0" collapsed="false">
      <c r="A448" s="424"/>
      <c r="B448" s="424"/>
      <c r="C448" s="424"/>
      <c r="D448" s="424"/>
      <c r="E448" s="424"/>
      <c r="F448" s="424"/>
      <c r="G448" s="424"/>
      <c r="H448" s="424"/>
      <c r="I448" s="424"/>
      <c r="J448" s="424"/>
      <c r="K448" s="424"/>
      <c r="L448" s="424"/>
      <c r="M448" s="424"/>
      <c r="N448" s="424"/>
      <c r="O448" s="424"/>
      <c r="P448" s="424"/>
      <c r="Q448" s="435" t="n">
        <v>74</v>
      </c>
      <c r="R448" s="434" t="s">
        <v>634</v>
      </c>
      <c r="S448" s="424"/>
      <c r="T448" s="434" t="s">
        <v>635</v>
      </c>
      <c r="U448" s="434" t="s">
        <v>636</v>
      </c>
      <c r="V448" s="436" t="n">
        <f aca="false">AY453</f>
        <v>0</v>
      </c>
    </row>
    <row r="449" customFormat="false" ht="13.5" hidden="false" customHeight="false" outlineLevel="0" collapsed="false">
      <c r="A449" s="424"/>
      <c r="B449" s="424"/>
      <c r="C449" s="424"/>
      <c r="D449" s="424"/>
      <c r="E449" s="424"/>
      <c r="F449" s="424"/>
      <c r="G449" s="424"/>
      <c r="H449" s="424"/>
      <c r="I449" s="424"/>
      <c r="J449" s="424"/>
      <c r="K449" s="424"/>
      <c r="L449" s="424"/>
      <c r="M449" s="424"/>
      <c r="N449" s="424"/>
      <c r="O449" s="424"/>
      <c r="P449" s="424"/>
      <c r="Q449" s="435" t="n">
        <v>75</v>
      </c>
      <c r="R449" s="434" t="s">
        <v>637</v>
      </c>
      <c r="S449" s="424"/>
      <c r="T449" s="434" t="s">
        <v>638</v>
      </c>
      <c r="U449" s="434" t="s">
        <v>639</v>
      </c>
      <c r="V449" s="436" t="n">
        <f aca="false">AY454</f>
        <v>0</v>
      </c>
    </row>
    <row r="450" customFormat="false" ht="13.5" hidden="false" customHeight="false" outlineLevel="0" collapsed="false">
      <c r="A450" s="424"/>
      <c r="B450" s="424"/>
      <c r="C450" s="424"/>
      <c r="D450" s="424"/>
      <c r="E450" s="424"/>
      <c r="F450" s="424"/>
      <c r="G450" s="424"/>
      <c r="H450" s="424"/>
      <c r="I450" s="424"/>
      <c r="J450" s="424"/>
      <c r="K450" s="424"/>
      <c r="L450" s="424"/>
      <c r="M450" s="424"/>
      <c r="N450" s="424"/>
      <c r="O450" s="424"/>
      <c r="P450" s="424"/>
      <c r="Q450" s="435" t="n">
        <v>76</v>
      </c>
      <c r="R450" s="434" t="s">
        <v>640</v>
      </c>
      <c r="S450" s="424"/>
      <c r="T450" s="434" t="s">
        <v>641</v>
      </c>
      <c r="U450" s="434" t="s">
        <v>642</v>
      </c>
      <c r="V450" s="436" t="n">
        <f aca="false">AY455</f>
        <v>0</v>
      </c>
    </row>
    <row r="451" customFormat="false" ht="13.5" hidden="false" customHeight="false" outlineLevel="0" collapsed="false">
      <c r="A451" s="424"/>
      <c r="B451" s="424"/>
      <c r="C451" s="424"/>
      <c r="D451" s="424"/>
      <c r="E451" s="424"/>
      <c r="F451" s="424"/>
      <c r="G451" s="424"/>
      <c r="H451" s="424"/>
      <c r="I451" s="424"/>
      <c r="J451" s="424"/>
      <c r="K451" s="424"/>
      <c r="L451" s="424"/>
      <c r="M451" s="424"/>
      <c r="N451" s="424"/>
      <c r="O451" s="424"/>
      <c r="P451" s="424"/>
      <c r="Q451" s="435" t="n">
        <v>77</v>
      </c>
      <c r="R451" s="434" t="s">
        <v>643</v>
      </c>
      <c r="S451" s="424"/>
      <c r="T451" s="434" t="s">
        <v>644</v>
      </c>
      <c r="U451" s="434" t="s">
        <v>645</v>
      </c>
      <c r="V451" s="436" t="n">
        <f aca="false">AY456</f>
        <v>0</v>
      </c>
    </row>
    <row r="452" customFormat="false" ht="13.5" hidden="false" customHeight="false" outlineLevel="0" collapsed="false">
      <c r="A452" s="424"/>
      <c r="B452" s="424"/>
      <c r="C452" s="424"/>
      <c r="D452" s="424"/>
      <c r="E452" s="424"/>
      <c r="F452" s="424"/>
      <c r="G452" s="424"/>
      <c r="H452" s="424"/>
      <c r="I452" s="424"/>
      <c r="J452" s="424"/>
      <c r="K452" s="424"/>
      <c r="L452" s="424"/>
      <c r="M452" s="424"/>
      <c r="N452" s="424"/>
      <c r="O452" s="424"/>
      <c r="P452" s="424"/>
      <c r="Q452" s="435" t="n">
        <v>78</v>
      </c>
      <c r="R452" s="434" t="s">
        <v>646</v>
      </c>
      <c r="S452" s="424"/>
      <c r="T452" s="434" t="s">
        <v>647</v>
      </c>
      <c r="U452" s="434" t="s">
        <v>648</v>
      </c>
      <c r="V452" s="436" t="n">
        <f aca="false">AY457</f>
        <v>0</v>
      </c>
    </row>
    <row r="453" customFormat="false" ht="13.5" hidden="false" customHeight="false" outlineLevel="0" collapsed="false">
      <c r="A453" s="424"/>
      <c r="B453" s="424"/>
      <c r="C453" s="424"/>
      <c r="D453" s="424"/>
      <c r="E453" s="424"/>
      <c r="F453" s="424"/>
      <c r="G453" s="424"/>
      <c r="H453" s="424"/>
      <c r="I453" s="424"/>
      <c r="J453" s="424"/>
      <c r="K453" s="424"/>
      <c r="L453" s="424"/>
      <c r="M453" s="424"/>
      <c r="N453" s="424"/>
      <c r="O453" s="424"/>
      <c r="P453" s="424"/>
      <c r="Q453" s="435" t="n">
        <v>79</v>
      </c>
      <c r="R453" s="434" t="s">
        <v>649</v>
      </c>
      <c r="S453" s="424"/>
      <c r="T453" s="434" t="s">
        <v>650</v>
      </c>
      <c r="U453" s="434" t="s">
        <v>651</v>
      </c>
      <c r="V453" s="436" t="n">
        <f aca="false">AY458</f>
        <v>0</v>
      </c>
    </row>
    <row r="454" customFormat="false" ht="13.5" hidden="false" customHeight="false" outlineLevel="0" collapsed="false">
      <c r="A454" s="424"/>
      <c r="B454" s="424"/>
      <c r="C454" s="424"/>
      <c r="D454" s="424"/>
      <c r="E454" s="424"/>
      <c r="F454" s="424"/>
      <c r="G454" s="424"/>
      <c r="H454" s="424"/>
      <c r="I454" s="424"/>
      <c r="J454" s="424"/>
      <c r="K454" s="424"/>
      <c r="L454" s="424"/>
      <c r="M454" s="424"/>
      <c r="N454" s="424"/>
      <c r="O454" s="424"/>
      <c r="P454" s="424"/>
      <c r="Q454" s="435" t="n">
        <v>80</v>
      </c>
      <c r="R454" s="434" t="s">
        <v>652</v>
      </c>
      <c r="S454" s="424"/>
      <c r="T454" s="434" t="s">
        <v>653</v>
      </c>
      <c r="U454" s="434" t="s">
        <v>654</v>
      </c>
      <c r="V454" s="436" t="n">
        <f aca="false">AY459</f>
        <v>0</v>
      </c>
    </row>
    <row r="455" customFormat="false" ht="13.5" hidden="false" customHeight="false" outlineLevel="0" collapsed="false">
      <c r="A455" s="424"/>
      <c r="B455" s="424"/>
      <c r="C455" s="424"/>
      <c r="D455" s="424"/>
      <c r="E455" s="424"/>
      <c r="F455" s="424"/>
      <c r="G455" s="424"/>
      <c r="H455" s="424"/>
      <c r="I455" s="424"/>
      <c r="J455" s="424"/>
      <c r="K455" s="424"/>
      <c r="L455" s="424"/>
      <c r="M455" s="424"/>
      <c r="N455" s="424"/>
      <c r="O455" s="424"/>
      <c r="P455" s="424"/>
      <c r="Q455" s="435" t="n">
        <v>81</v>
      </c>
      <c r="R455" s="434" t="s">
        <v>655</v>
      </c>
      <c r="S455" s="424"/>
      <c r="T455" s="434" t="s">
        <v>656</v>
      </c>
      <c r="U455" s="434" t="s">
        <v>657</v>
      </c>
      <c r="V455" s="436" t="n">
        <f aca="false">AY460</f>
        <v>0</v>
      </c>
    </row>
    <row r="456" customFormat="false" ht="13.5" hidden="false" customHeight="false" outlineLevel="0" collapsed="false">
      <c r="A456" s="424"/>
      <c r="B456" s="424"/>
      <c r="C456" s="424"/>
      <c r="D456" s="424"/>
      <c r="E456" s="424"/>
      <c r="F456" s="424"/>
      <c r="G456" s="424"/>
      <c r="H456" s="424"/>
      <c r="I456" s="424"/>
      <c r="J456" s="424"/>
      <c r="K456" s="424"/>
      <c r="L456" s="424"/>
      <c r="M456" s="424"/>
      <c r="N456" s="424"/>
      <c r="O456" s="424"/>
      <c r="P456" s="424"/>
      <c r="Q456" s="435" t="n">
        <v>82</v>
      </c>
      <c r="R456" s="434" t="s">
        <v>658</v>
      </c>
      <c r="S456" s="424"/>
      <c r="T456" s="434" t="s">
        <v>659</v>
      </c>
      <c r="U456" s="434" t="s">
        <v>660</v>
      </c>
      <c r="V456" s="436" t="n">
        <f aca="false">AY461</f>
        <v>0</v>
      </c>
    </row>
    <row r="457" customFormat="false" ht="13.5" hidden="false" customHeight="false" outlineLevel="0" collapsed="false">
      <c r="A457" s="424"/>
      <c r="B457" s="424"/>
      <c r="C457" s="424"/>
      <c r="D457" s="424"/>
      <c r="E457" s="424"/>
      <c r="F457" s="424"/>
      <c r="G457" s="424"/>
      <c r="H457" s="424"/>
      <c r="I457" s="424"/>
      <c r="J457" s="424"/>
      <c r="K457" s="424"/>
      <c r="L457" s="424"/>
      <c r="M457" s="424"/>
      <c r="N457" s="424"/>
      <c r="O457" s="424"/>
      <c r="P457" s="424"/>
      <c r="Q457" s="435" t="n">
        <v>83</v>
      </c>
      <c r="R457" s="434" t="s">
        <v>661</v>
      </c>
      <c r="S457" s="424"/>
      <c r="T457" s="434" t="s">
        <v>662</v>
      </c>
      <c r="U457" s="434" t="s">
        <v>663</v>
      </c>
      <c r="V457" s="436" t="n">
        <f aca="false">AY462</f>
        <v>0</v>
      </c>
    </row>
    <row r="458" customFormat="false" ht="13.5" hidden="false" customHeight="false" outlineLevel="0" collapsed="false">
      <c r="A458" s="424"/>
      <c r="B458" s="424"/>
      <c r="C458" s="424"/>
      <c r="D458" s="424"/>
      <c r="E458" s="424"/>
      <c r="F458" s="424"/>
      <c r="G458" s="424"/>
      <c r="H458" s="424"/>
      <c r="I458" s="424"/>
      <c r="J458" s="424"/>
      <c r="K458" s="424"/>
      <c r="L458" s="424"/>
      <c r="M458" s="424"/>
      <c r="N458" s="424"/>
      <c r="O458" s="424"/>
      <c r="P458" s="424"/>
      <c r="Q458" s="435" t="n">
        <v>84</v>
      </c>
      <c r="R458" s="434" t="s">
        <v>664</v>
      </c>
      <c r="S458" s="424"/>
      <c r="T458" s="434" t="s">
        <v>665</v>
      </c>
      <c r="U458" s="434" t="s">
        <v>666</v>
      </c>
      <c r="V458" s="436" t="n">
        <f aca="false">AY463</f>
        <v>0</v>
      </c>
    </row>
    <row r="459" customFormat="false" ht="13.5" hidden="false" customHeight="false" outlineLevel="0" collapsed="false">
      <c r="A459" s="424"/>
      <c r="B459" s="424"/>
      <c r="C459" s="424"/>
      <c r="D459" s="424"/>
      <c r="E459" s="424"/>
      <c r="F459" s="424"/>
      <c r="G459" s="424"/>
      <c r="H459" s="424"/>
      <c r="I459" s="424"/>
      <c r="J459" s="424"/>
      <c r="K459" s="424"/>
      <c r="L459" s="424"/>
      <c r="M459" s="424"/>
      <c r="N459" s="424"/>
      <c r="O459" s="424"/>
      <c r="P459" s="424"/>
      <c r="Q459" s="435" t="n">
        <v>85</v>
      </c>
      <c r="R459" s="434" t="s">
        <v>667</v>
      </c>
      <c r="S459" s="424"/>
      <c r="T459" s="434" t="s">
        <v>668</v>
      </c>
      <c r="U459" s="434" t="s">
        <v>669</v>
      </c>
      <c r="V459" s="436" t="n">
        <f aca="false">AY464</f>
        <v>0</v>
      </c>
    </row>
    <row r="460" customFormat="false" ht="13.5" hidden="false" customHeight="false" outlineLevel="0" collapsed="false">
      <c r="A460" s="424"/>
      <c r="B460" s="424"/>
      <c r="C460" s="424"/>
      <c r="D460" s="424"/>
      <c r="E460" s="424"/>
      <c r="F460" s="424"/>
      <c r="G460" s="424"/>
      <c r="H460" s="424"/>
      <c r="I460" s="424"/>
      <c r="J460" s="424"/>
      <c r="K460" s="424"/>
      <c r="L460" s="424"/>
      <c r="M460" s="424"/>
      <c r="N460" s="424"/>
      <c r="O460" s="424"/>
      <c r="P460" s="424"/>
      <c r="Q460" s="435" t="n">
        <v>86</v>
      </c>
      <c r="R460" s="434" t="s">
        <v>670</v>
      </c>
      <c r="S460" s="424"/>
      <c r="T460" s="434" t="s">
        <v>671</v>
      </c>
      <c r="U460" s="434" t="s">
        <v>672</v>
      </c>
      <c r="V460" s="436" t="n">
        <f aca="false">AY465</f>
        <v>0</v>
      </c>
    </row>
    <row r="461" customFormat="false" ht="13.5" hidden="false" customHeight="false" outlineLevel="0" collapsed="false">
      <c r="A461" s="424"/>
      <c r="B461" s="424"/>
      <c r="C461" s="424"/>
      <c r="D461" s="424"/>
      <c r="E461" s="424"/>
      <c r="F461" s="424"/>
      <c r="G461" s="424"/>
      <c r="H461" s="424"/>
      <c r="I461" s="424"/>
      <c r="J461" s="424"/>
      <c r="K461" s="424"/>
      <c r="L461" s="424"/>
      <c r="M461" s="424"/>
      <c r="N461" s="424"/>
      <c r="O461" s="424"/>
      <c r="P461" s="424"/>
      <c r="Q461" s="435" t="n">
        <v>87</v>
      </c>
      <c r="R461" s="434" t="s">
        <v>673</v>
      </c>
      <c r="S461" s="424"/>
      <c r="T461" s="434" t="s">
        <v>674</v>
      </c>
      <c r="U461" s="434" t="s">
        <v>675</v>
      </c>
      <c r="V461" s="436" t="n">
        <f aca="false">AY466</f>
        <v>0</v>
      </c>
    </row>
    <row r="462" customFormat="false" ht="13.5" hidden="false" customHeight="false" outlineLevel="0" collapsed="false">
      <c r="A462" s="424"/>
      <c r="B462" s="424"/>
      <c r="C462" s="424"/>
      <c r="D462" s="424"/>
      <c r="E462" s="424"/>
      <c r="F462" s="424"/>
      <c r="G462" s="424"/>
      <c r="H462" s="424"/>
      <c r="I462" s="424"/>
      <c r="J462" s="424"/>
      <c r="K462" s="424"/>
      <c r="L462" s="424"/>
      <c r="M462" s="424"/>
      <c r="N462" s="424"/>
      <c r="O462" s="424"/>
      <c r="P462" s="424"/>
      <c r="Q462" s="435" t="n">
        <v>88</v>
      </c>
      <c r="R462" s="434" t="s">
        <v>676</v>
      </c>
      <c r="S462" s="424"/>
      <c r="T462" s="434" t="s">
        <v>677</v>
      </c>
      <c r="U462" s="434" t="s">
        <v>678</v>
      </c>
      <c r="V462" s="436" t="n">
        <f aca="false">AY467</f>
        <v>0</v>
      </c>
    </row>
    <row r="463" customFormat="false" ht="13.5" hidden="false" customHeight="false" outlineLevel="0" collapsed="false">
      <c r="A463" s="424"/>
      <c r="B463" s="424"/>
      <c r="C463" s="424"/>
      <c r="D463" s="424"/>
      <c r="E463" s="424"/>
      <c r="F463" s="424"/>
      <c r="G463" s="424"/>
      <c r="H463" s="424"/>
      <c r="I463" s="424"/>
      <c r="J463" s="424"/>
      <c r="K463" s="424"/>
      <c r="L463" s="424"/>
      <c r="M463" s="424"/>
      <c r="N463" s="424"/>
      <c r="O463" s="424"/>
      <c r="P463" s="424"/>
      <c r="Q463" s="435" t="n">
        <v>89</v>
      </c>
      <c r="R463" s="434" t="s">
        <v>679</v>
      </c>
      <c r="S463" s="424"/>
      <c r="T463" s="434" t="s">
        <v>680</v>
      </c>
      <c r="U463" s="434" t="s">
        <v>681</v>
      </c>
      <c r="V463" s="436" t="n">
        <f aca="false">AY468</f>
        <v>0</v>
      </c>
    </row>
    <row r="464" customFormat="false" ht="13.5" hidden="false" customHeight="false" outlineLevel="0" collapsed="false">
      <c r="A464" s="424"/>
      <c r="B464" s="424"/>
      <c r="C464" s="424"/>
      <c r="D464" s="424"/>
      <c r="E464" s="424"/>
      <c r="F464" s="424"/>
      <c r="G464" s="424"/>
      <c r="H464" s="424"/>
      <c r="I464" s="424"/>
      <c r="J464" s="424"/>
      <c r="K464" s="424"/>
      <c r="L464" s="424"/>
      <c r="M464" s="424"/>
      <c r="N464" s="424"/>
      <c r="O464" s="424"/>
      <c r="P464" s="424"/>
      <c r="Q464" s="435" t="n">
        <v>90</v>
      </c>
      <c r="R464" s="434" t="s">
        <v>682</v>
      </c>
      <c r="S464" s="424"/>
      <c r="T464" s="434" t="s">
        <v>683</v>
      </c>
      <c r="U464" s="434" t="s">
        <v>684</v>
      </c>
      <c r="V464" s="436" t="n">
        <f aca="false">AY469</f>
        <v>0</v>
      </c>
    </row>
    <row r="465" customFormat="false" ht="13.5" hidden="false" customHeight="false" outlineLevel="0" collapsed="false">
      <c r="A465" s="424"/>
      <c r="B465" s="424"/>
      <c r="C465" s="424"/>
      <c r="D465" s="424"/>
      <c r="E465" s="424"/>
      <c r="F465" s="424"/>
      <c r="G465" s="424"/>
      <c r="H465" s="424"/>
      <c r="I465" s="424"/>
      <c r="J465" s="424"/>
      <c r="K465" s="424"/>
      <c r="L465" s="424"/>
      <c r="M465" s="424"/>
      <c r="N465" s="424"/>
      <c r="O465" s="424"/>
      <c r="P465" s="424"/>
      <c r="Q465" s="435" t="n">
        <v>91</v>
      </c>
      <c r="R465" s="434" t="s">
        <v>685</v>
      </c>
      <c r="S465" s="424"/>
      <c r="T465" s="434" t="s">
        <v>686</v>
      </c>
      <c r="U465" s="434" t="s">
        <v>687</v>
      </c>
      <c r="V465" s="436" t="n">
        <f aca="false">AY470</f>
        <v>0</v>
      </c>
    </row>
    <row r="466" customFormat="false" ht="13.5" hidden="false" customHeight="false" outlineLevel="0" collapsed="false">
      <c r="A466" s="424"/>
      <c r="B466" s="424"/>
      <c r="C466" s="424"/>
      <c r="D466" s="424"/>
      <c r="E466" s="424"/>
      <c r="F466" s="424"/>
      <c r="G466" s="424"/>
      <c r="H466" s="424"/>
      <c r="I466" s="424"/>
      <c r="J466" s="424"/>
      <c r="K466" s="424"/>
      <c r="L466" s="424"/>
      <c r="M466" s="424"/>
      <c r="N466" s="424"/>
      <c r="O466" s="424"/>
      <c r="P466" s="424"/>
      <c r="Q466" s="435" t="n">
        <v>92</v>
      </c>
      <c r="R466" s="434" t="s">
        <v>688</v>
      </c>
      <c r="S466" s="424"/>
      <c r="T466" s="434" t="s">
        <v>689</v>
      </c>
      <c r="U466" s="434" t="s">
        <v>690</v>
      </c>
      <c r="V466" s="436" t="n">
        <f aca="false">AY471</f>
        <v>0</v>
      </c>
    </row>
    <row r="467" customFormat="false" ht="13.5" hidden="false" customHeight="false" outlineLevel="0" collapsed="false">
      <c r="A467" s="424"/>
      <c r="B467" s="424"/>
      <c r="C467" s="424"/>
      <c r="D467" s="424"/>
      <c r="E467" s="424"/>
      <c r="F467" s="424"/>
      <c r="G467" s="424"/>
      <c r="H467" s="424"/>
      <c r="I467" s="424"/>
      <c r="J467" s="424"/>
      <c r="K467" s="424"/>
      <c r="L467" s="424"/>
      <c r="M467" s="424"/>
      <c r="N467" s="424"/>
      <c r="O467" s="424"/>
      <c r="P467" s="424"/>
      <c r="Q467" s="435" t="n">
        <v>93</v>
      </c>
      <c r="R467" s="434" t="s">
        <v>691</v>
      </c>
      <c r="S467" s="424"/>
      <c r="T467" s="434" t="s">
        <v>692</v>
      </c>
      <c r="U467" s="434" t="s">
        <v>693</v>
      </c>
      <c r="V467" s="436" t="n">
        <f aca="false">AY472</f>
        <v>0</v>
      </c>
    </row>
    <row r="468" customFormat="false" ht="13.5" hidden="false" customHeight="false" outlineLevel="0" collapsed="false">
      <c r="A468" s="424"/>
      <c r="B468" s="424"/>
      <c r="C468" s="424"/>
      <c r="D468" s="424"/>
      <c r="E468" s="424"/>
      <c r="F468" s="424"/>
      <c r="G468" s="424"/>
      <c r="H468" s="424"/>
      <c r="I468" s="424"/>
      <c r="J468" s="424"/>
      <c r="K468" s="424"/>
      <c r="L468" s="424"/>
      <c r="M468" s="424"/>
      <c r="N468" s="424"/>
      <c r="O468" s="424"/>
      <c r="P468" s="424"/>
      <c r="Q468" s="435" t="n">
        <v>94</v>
      </c>
      <c r="R468" s="434" t="s">
        <v>694</v>
      </c>
      <c r="S468" s="424"/>
      <c r="T468" s="434" t="s">
        <v>695</v>
      </c>
      <c r="U468" s="434" t="s">
        <v>696</v>
      </c>
      <c r="V468" s="436" t="n">
        <f aca="false">AY473</f>
        <v>0</v>
      </c>
    </row>
    <row r="469" customFormat="false" ht="13.5" hidden="false" customHeight="false" outlineLevel="0" collapsed="false">
      <c r="A469" s="424"/>
      <c r="B469" s="424"/>
      <c r="C469" s="424"/>
      <c r="D469" s="424"/>
      <c r="E469" s="424"/>
      <c r="F469" s="424"/>
      <c r="G469" s="424"/>
      <c r="H469" s="424"/>
      <c r="I469" s="424"/>
      <c r="J469" s="424"/>
      <c r="K469" s="424"/>
      <c r="L469" s="424"/>
      <c r="M469" s="424"/>
      <c r="N469" s="424"/>
      <c r="O469" s="424"/>
      <c r="P469" s="424"/>
      <c r="Q469" s="435" t="n">
        <v>95</v>
      </c>
      <c r="R469" s="434" t="s">
        <v>697</v>
      </c>
      <c r="S469" s="424"/>
      <c r="T469" s="434" t="s">
        <v>698</v>
      </c>
      <c r="U469" s="434" t="s">
        <v>699</v>
      </c>
      <c r="V469" s="436" t="n">
        <f aca="false">AY474</f>
        <v>0</v>
      </c>
    </row>
    <row r="470" customFormat="false" ht="13.5" hidden="false" customHeight="false" outlineLevel="0" collapsed="false">
      <c r="A470" s="424"/>
      <c r="B470" s="424"/>
      <c r="C470" s="424"/>
      <c r="D470" s="424"/>
      <c r="E470" s="424"/>
      <c r="F470" s="424"/>
      <c r="G470" s="424"/>
      <c r="H470" s="424"/>
      <c r="I470" s="424"/>
      <c r="J470" s="424"/>
      <c r="K470" s="424"/>
      <c r="L470" s="424"/>
      <c r="M470" s="424"/>
      <c r="N470" s="424"/>
      <c r="O470" s="424"/>
      <c r="P470" s="424"/>
      <c r="Q470" s="435" t="n">
        <v>96</v>
      </c>
      <c r="R470" s="434" t="s">
        <v>700</v>
      </c>
      <c r="S470" s="424"/>
      <c r="T470" s="434" t="s">
        <v>701</v>
      </c>
      <c r="U470" s="434" t="s">
        <v>702</v>
      </c>
      <c r="V470" s="436" t="n">
        <f aca="false">AY475</f>
        <v>0</v>
      </c>
    </row>
    <row r="471" customFormat="false" ht="13.5" hidden="false" customHeight="false" outlineLevel="0" collapsed="false">
      <c r="A471" s="424"/>
      <c r="B471" s="424"/>
      <c r="C471" s="424"/>
      <c r="D471" s="424"/>
      <c r="E471" s="424"/>
      <c r="F471" s="424"/>
      <c r="G471" s="424"/>
      <c r="H471" s="424"/>
      <c r="I471" s="424"/>
      <c r="J471" s="424"/>
      <c r="K471" s="424"/>
      <c r="L471" s="424"/>
      <c r="M471" s="424"/>
      <c r="N471" s="424"/>
      <c r="O471" s="424"/>
      <c r="P471" s="424"/>
      <c r="Q471" s="435" t="n">
        <v>97</v>
      </c>
      <c r="R471" s="434" t="s">
        <v>703</v>
      </c>
      <c r="S471" s="424"/>
      <c r="T471" s="434" t="s">
        <v>704</v>
      </c>
      <c r="U471" s="434" t="s">
        <v>705</v>
      </c>
      <c r="V471" s="436" t="n">
        <f aca="false">AY476</f>
        <v>0</v>
      </c>
    </row>
    <row r="472" customFormat="false" ht="13.5" hidden="false" customHeight="false" outlineLevel="0" collapsed="false">
      <c r="A472" s="424"/>
      <c r="B472" s="424"/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  <c r="P472" s="424"/>
      <c r="Q472" s="435" t="n">
        <v>98</v>
      </c>
      <c r="R472" s="434" t="s">
        <v>706</v>
      </c>
      <c r="S472" s="424"/>
      <c r="T472" s="434" t="s">
        <v>707</v>
      </c>
      <c r="U472" s="434" t="s">
        <v>708</v>
      </c>
      <c r="V472" s="436" t="n">
        <f aca="false">AY477</f>
        <v>0</v>
      </c>
    </row>
    <row r="473" customFormat="false" ht="13.5" hidden="false" customHeight="false" outlineLevel="0" collapsed="false">
      <c r="A473" s="424"/>
      <c r="B473" s="424"/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  <c r="P473" s="424"/>
      <c r="Q473" s="435" t="n">
        <v>99</v>
      </c>
      <c r="R473" s="434" t="s">
        <v>709</v>
      </c>
      <c r="S473" s="424"/>
      <c r="T473" s="434" t="s">
        <v>710</v>
      </c>
      <c r="U473" s="434" t="s">
        <v>711</v>
      </c>
      <c r="V473" s="436" t="n">
        <f aca="false">AY478</f>
        <v>0</v>
      </c>
    </row>
    <row r="474" customFormat="false" ht="13.5" hidden="false" customHeight="false" outlineLevel="0" collapsed="false">
      <c r="A474" s="424"/>
      <c r="B474" s="424"/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  <c r="P474" s="424"/>
      <c r="Q474" s="424"/>
      <c r="R474" s="424"/>
      <c r="S474" s="424"/>
      <c r="T474" s="424"/>
      <c r="U474" s="424"/>
      <c r="V474" s="436" t="n">
        <f aca="false">AY479</f>
        <v>0</v>
      </c>
    </row>
    <row r="475" customFormat="false" ht="13.5" hidden="false" customHeight="false" outlineLevel="0" collapsed="false">
      <c r="A475" s="424"/>
      <c r="B475" s="424"/>
      <c r="C475" s="424"/>
      <c r="D475" s="424"/>
      <c r="E475" s="424"/>
      <c r="F475" s="424"/>
      <c r="G475" s="424"/>
      <c r="H475" s="424"/>
      <c r="I475" s="424"/>
      <c r="J475" s="424"/>
      <c r="K475" s="424"/>
      <c r="L475" s="424"/>
      <c r="M475" s="424"/>
      <c r="N475" s="424"/>
      <c r="O475" s="424"/>
      <c r="P475" s="424"/>
      <c r="Q475" s="424"/>
      <c r="R475" s="424"/>
      <c r="S475" s="424"/>
      <c r="T475" s="424"/>
      <c r="U475" s="424"/>
      <c r="V475" s="436" t="n">
        <f aca="false">AY480</f>
        <v>0</v>
      </c>
    </row>
    <row r="476" customFormat="false" ht="13.5" hidden="false" customHeight="false" outlineLevel="0" collapsed="false">
      <c r="A476" s="424"/>
      <c r="B476" s="424"/>
      <c r="C476" s="424"/>
      <c r="D476" s="424"/>
      <c r="E476" s="424"/>
      <c r="F476" s="424"/>
      <c r="G476" s="424"/>
      <c r="H476" s="424"/>
      <c r="I476" s="424"/>
      <c r="J476" s="424"/>
      <c r="K476" s="424"/>
      <c r="L476" s="424"/>
      <c r="M476" s="424"/>
      <c r="N476" s="424"/>
      <c r="O476" s="424"/>
      <c r="P476" s="424"/>
      <c r="Q476" s="424"/>
      <c r="R476" s="424"/>
      <c r="S476" s="424"/>
      <c r="T476" s="424"/>
      <c r="U476" s="424"/>
      <c r="V476" s="436" t="n">
        <f aca="false">AY481</f>
        <v>0</v>
      </c>
    </row>
    <row r="477" customFormat="false" ht="13.5" hidden="false" customHeight="false" outlineLevel="0" collapsed="false">
      <c r="A477" s="424"/>
      <c r="B477" s="424"/>
      <c r="C477" s="424"/>
      <c r="D477" s="424"/>
      <c r="E477" s="424"/>
      <c r="F477" s="424"/>
      <c r="G477" s="424"/>
      <c r="H477" s="424"/>
      <c r="I477" s="424"/>
      <c r="J477" s="424"/>
      <c r="K477" s="424"/>
      <c r="L477" s="424"/>
      <c r="M477" s="424"/>
      <c r="N477" s="424"/>
      <c r="O477" s="424"/>
      <c r="P477" s="424"/>
      <c r="Q477" s="424"/>
      <c r="R477" s="424"/>
      <c r="S477" s="424"/>
      <c r="T477" s="424"/>
      <c r="U477" s="424"/>
      <c r="V477" s="436" t="n">
        <f aca="false">AY482</f>
        <v>0</v>
      </c>
    </row>
    <row r="478" customFormat="false" ht="13.5" hidden="false" customHeight="false" outlineLevel="0" collapsed="false">
      <c r="A478" s="424"/>
      <c r="B478" s="424"/>
      <c r="C478" s="424"/>
      <c r="D478" s="424"/>
      <c r="E478" s="424"/>
      <c r="F478" s="424"/>
      <c r="G478" s="424"/>
      <c r="H478" s="424"/>
      <c r="I478" s="424"/>
      <c r="J478" s="424"/>
      <c r="K478" s="424"/>
      <c r="L478" s="424"/>
      <c r="M478" s="424"/>
      <c r="N478" s="424"/>
      <c r="O478" s="424"/>
      <c r="P478" s="424"/>
      <c r="Q478" s="424"/>
      <c r="R478" s="424"/>
      <c r="S478" s="424"/>
      <c r="T478" s="424"/>
      <c r="U478" s="424"/>
      <c r="V478" s="436" t="n">
        <f aca="false">AY483</f>
        <v>0</v>
      </c>
    </row>
    <row r="479" customFormat="false" ht="13.5" hidden="false" customHeight="false" outlineLevel="0" collapsed="false">
      <c r="A479" s="424"/>
      <c r="B479" s="424"/>
      <c r="C479" s="424"/>
      <c r="D479" s="424"/>
      <c r="E479" s="424"/>
      <c r="F479" s="424"/>
      <c r="G479" s="424"/>
      <c r="H479" s="424"/>
      <c r="I479" s="424"/>
      <c r="J479" s="424"/>
      <c r="K479" s="424"/>
      <c r="L479" s="424"/>
      <c r="M479" s="424"/>
      <c r="N479" s="424"/>
      <c r="O479" s="424"/>
      <c r="P479" s="424"/>
      <c r="Q479" s="424"/>
      <c r="R479" s="424"/>
      <c r="S479" s="424"/>
      <c r="T479" s="424"/>
      <c r="U479" s="424"/>
      <c r="V479" s="436" t="n">
        <f aca="false">AY484</f>
        <v>0</v>
      </c>
    </row>
    <row r="480" customFormat="false" ht="13.5" hidden="false" customHeight="false" outlineLevel="0" collapsed="false">
      <c r="A480" s="424"/>
      <c r="B480" s="424"/>
      <c r="C480" s="424"/>
      <c r="D480" s="424"/>
      <c r="E480" s="424"/>
      <c r="F480" s="424"/>
      <c r="G480" s="424"/>
      <c r="H480" s="424"/>
      <c r="I480" s="424"/>
      <c r="J480" s="424"/>
      <c r="K480" s="424"/>
      <c r="L480" s="424"/>
      <c r="M480" s="424"/>
      <c r="N480" s="424"/>
      <c r="O480" s="424"/>
      <c r="P480" s="424"/>
      <c r="Q480" s="424"/>
      <c r="R480" s="424"/>
      <c r="S480" s="424"/>
      <c r="T480" s="424"/>
      <c r="U480" s="424"/>
      <c r="V480" s="436" t="n">
        <f aca="false">AY485</f>
        <v>0</v>
      </c>
    </row>
    <row r="481" customFormat="false" ht="13.5" hidden="false" customHeight="false" outlineLevel="0" collapsed="false">
      <c r="A481" s="424"/>
      <c r="B481" s="424"/>
      <c r="C481" s="424"/>
      <c r="D481" s="424"/>
      <c r="E481" s="424"/>
      <c r="F481" s="424"/>
      <c r="G481" s="424"/>
      <c r="H481" s="424"/>
      <c r="I481" s="424"/>
      <c r="J481" s="424"/>
      <c r="K481" s="424"/>
      <c r="L481" s="424"/>
      <c r="M481" s="424"/>
      <c r="N481" s="424"/>
      <c r="O481" s="424"/>
      <c r="P481" s="424"/>
      <c r="Q481" s="424"/>
      <c r="R481" s="424"/>
      <c r="S481" s="424"/>
      <c r="T481" s="424"/>
      <c r="U481" s="424"/>
      <c r="V481" s="436" t="n">
        <f aca="false">AY486</f>
        <v>0</v>
      </c>
    </row>
    <row r="482" customFormat="false" ht="13.5" hidden="false" customHeight="false" outlineLevel="0" collapsed="false">
      <c r="A482" s="424"/>
      <c r="B482" s="424"/>
      <c r="C482" s="424"/>
      <c r="D482" s="424"/>
      <c r="E482" s="424"/>
      <c r="F482" s="424"/>
      <c r="G482" s="424"/>
      <c r="H482" s="424"/>
      <c r="I482" s="424"/>
      <c r="J482" s="424"/>
      <c r="K482" s="424"/>
      <c r="L482" s="424"/>
      <c r="M482" s="424"/>
      <c r="N482" s="424"/>
      <c r="O482" s="424"/>
      <c r="P482" s="424"/>
      <c r="Q482" s="424"/>
      <c r="R482" s="424"/>
      <c r="S482" s="424"/>
      <c r="T482" s="424"/>
      <c r="U482" s="424"/>
      <c r="V482" s="436" t="n">
        <f aca="false">AY487</f>
        <v>0</v>
      </c>
    </row>
    <row r="483" customFormat="false" ht="13.5" hidden="false" customHeight="false" outlineLevel="0" collapsed="false">
      <c r="A483" s="424"/>
      <c r="B483" s="424"/>
      <c r="C483" s="424"/>
      <c r="D483" s="424"/>
      <c r="E483" s="424"/>
      <c r="F483" s="424"/>
      <c r="G483" s="424"/>
      <c r="H483" s="424"/>
      <c r="I483" s="424"/>
      <c r="J483" s="424"/>
      <c r="K483" s="424"/>
      <c r="L483" s="424"/>
      <c r="M483" s="424"/>
      <c r="N483" s="424"/>
      <c r="O483" s="424"/>
      <c r="P483" s="424"/>
      <c r="Q483" s="424"/>
      <c r="R483" s="424"/>
      <c r="S483" s="424"/>
      <c r="T483" s="424"/>
      <c r="U483" s="424"/>
      <c r="V483" s="436" t="n">
        <f aca="false">AY488</f>
        <v>0</v>
      </c>
    </row>
    <row r="484" customFormat="false" ht="13.5" hidden="false" customHeight="false" outlineLevel="0" collapsed="false">
      <c r="A484" s="424"/>
      <c r="B484" s="424"/>
      <c r="C484" s="424"/>
      <c r="D484" s="424"/>
      <c r="E484" s="424"/>
      <c r="F484" s="424"/>
      <c r="G484" s="424"/>
      <c r="H484" s="424"/>
      <c r="I484" s="424"/>
      <c r="J484" s="424"/>
      <c r="K484" s="424"/>
      <c r="L484" s="424"/>
      <c r="M484" s="424"/>
      <c r="N484" s="424"/>
      <c r="O484" s="424"/>
      <c r="P484" s="424"/>
      <c r="Q484" s="424"/>
      <c r="R484" s="424"/>
      <c r="S484" s="424"/>
      <c r="T484" s="424"/>
      <c r="U484" s="424"/>
      <c r="V484" s="436" t="n">
        <f aca="false">AY489</f>
        <v>0</v>
      </c>
    </row>
    <row r="485" customFormat="false" ht="13.5" hidden="false" customHeight="false" outlineLevel="0" collapsed="false">
      <c r="A485" s="424"/>
      <c r="B485" s="424"/>
      <c r="C485" s="424"/>
      <c r="D485" s="424"/>
      <c r="E485" s="424"/>
      <c r="F485" s="424"/>
      <c r="G485" s="424"/>
      <c r="H485" s="424"/>
      <c r="I485" s="424"/>
      <c r="J485" s="424"/>
      <c r="K485" s="424"/>
      <c r="L485" s="424"/>
      <c r="M485" s="424"/>
      <c r="N485" s="424"/>
      <c r="O485" s="424"/>
      <c r="P485" s="424"/>
      <c r="Q485" s="424"/>
      <c r="R485" s="424"/>
      <c r="S485" s="424"/>
      <c r="T485" s="424"/>
      <c r="U485" s="424"/>
      <c r="V485" s="436" t="n">
        <f aca="false">AY490</f>
        <v>0</v>
      </c>
    </row>
    <row r="486" customFormat="false" ht="13.5" hidden="false" customHeight="false" outlineLevel="0" collapsed="false">
      <c r="A486" s="424"/>
      <c r="B486" s="424"/>
      <c r="C486" s="424"/>
      <c r="D486" s="424"/>
      <c r="E486" s="424"/>
      <c r="F486" s="424"/>
      <c r="G486" s="424"/>
      <c r="H486" s="424"/>
      <c r="I486" s="424"/>
      <c r="J486" s="424"/>
      <c r="K486" s="424"/>
      <c r="L486" s="424"/>
      <c r="M486" s="424"/>
      <c r="N486" s="424"/>
      <c r="O486" s="424"/>
      <c r="P486" s="424"/>
      <c r="Q486" s="424"/>
      <c r="R486" s="424"/>
      <c r="S486" s="424"/>
      <c r="T486" s="424"/>
      <c r="U486" s="424"/>
      <c r="V486" s="436" t="n">
        <f aca="false">AY491</f>
        <v>0</v>
      </c>
    </row>
    <row r="487" customFormat="false" ht="13.5" hidden="false" customHeight="false" outlineLevel="0" collapsed="false">
      <c r="A487" s="424"/>
      <c r="B487" s="424"/>
      <c r="C487" s="424"/>
      <c r="D487" s="424"/>
      <c r="E487" s="424"/>
      <c r="F487" s="424"/>
      <c r="G487" s="424"/>
      <c r="H487" s="424"/>
      <c r="I487" s="424"/>
      <c r="J487" s="424"/>
      <c r="K487" s="424"/>
      <c r="L487" s="424"/>
      <c r="M487" s="424"/>
      <c r="N487" s="424"/>
      <c r="O487" s="424"/>
      <c r="P487" s="424"/>
      <c r="Q487" s="424"/>
      <c r="R487" s="424"/>
      <c r="S487" s="424"/>
      <c r="T487" s="424"/>
      <c r="U487" s="424"/>
      <c r="V487" s="436" t="n">
        <f aca="false">AY492</f>
        <v>0</v>
      </c>
    </row>
    <row r="488" customFormat="false" ht="13.5" hidden="false" customHeight="false" outlineLevel="0" collapsed="false">
      <c r="A488" s="424"/>
      <c r="B488" s="424"/>
      <c r="C488" s="424"/>
      <c r="D488" s="424"/>
      <c r="E488" s="424"/>
      <c r="F488" s="424"/>
      <c r="G488" s="424"/>
      <c r="H488" s="424"/>
      <c r="I488" s="424"/>
      <c r="J488" s="424"/>
      <c r="K488" s="424"/>
      <c r="L488" s="424"/>
      <c r="M488" s="424"/>
      <c r="N488" s="424"/>
      <c r="O488" s="424"/>
      <c r="P488" s="424"/>
      <c r="Q488" s="424"/>
      <c r="R488" s="424"/>
      <c r="S488" s="424"/>
      <c r="T488" s="424"/>
      <c r="U488" s="424"/>
      <c r="V488" s="436" t="n">
        <f aca="false">AY493</f>
        <v>0</v>
      </c>
    </row>
    <row r="489" customFormat="false" ht="13.5" hidden="false" customHeight="false" outlineLevel="0" collapsed="false">
      <c r="A489" s="424"/>
      <c r="B489" s="424"/>
      <c r="C489" s="424"/>
      <c r="D489" s="424"/>
      <c r="E489" s="424"/>
      <c r="F489" s="424"/>
      <c r="G489" s="424"/>
      <c r="H489" s="424"/>
      <c r="I489" s="424"/>
      <c r="J489" s="424"/>
      <c r="K489" s="424"/>
      <c r="L489" s="424"/>
      <c r="M489" s="424"/>
      <c r="N489" s="424"/>
      <c r="O489" s="424"/>
      <c r="P489" s="424"/>
      <c r="Q489" s="424"/>
      <c r="R489" s="424"/>
      <c r="S489" s="424"/>
      <c r="T489" s="424"/>
      <c r="U489" s="424"/>
      <c r="V489" s="436" t="n">
        <f aca="false">AY494</f>
        <v>0</v>
      </c>
    </row>
    <row r="490" customFormat="false" ht="13.5" hidden="false" customHeight="false" outlineLevel="0" collapsed="false">
      <c r="A490" s="424"/>
      <c r="B490" s="424"/>
      <c r="C490" s="424"/>
      <c r="D490" s="424"/>
      <c r="E490" s="424"/>
      <c r="F490" s="424"/>
      <c r="G490" s="424"/>
      <c r="H490" s="424"/>
      <c r="I490" s="424"/>
      <c r="J490" s="424"/>
      <c r="K490" s="424"/>
      <c r="L490" s="424"/>
      <c r="M490" s="424"/>
      <c r="N490" s="424"/>
      <c r="O490" s="424"/>
      <c r="P490" s="424"/>
      <c r="Q490" s="424"/>
      <c r="R490" s="424"/>
      <c r="S490" s="424"/>
      <c r="T490" s="424"/>
      <c r="U490" s="424"/>
      <c r="V490" s="436" t="n">
        <f aca="false">AY495</f>
        <v>0</v>
      </c>
    </row>
    <row r="491" customFormat="false" ht="13.5" hidden="false" customHeight="false" outlineLevel="0" collapsed="false">
      <c r="A491" s="424"/>
      <c r="B491" s="424"/>
      <c r="C491" s="424"/>
      <c r="D491" s="424"/>
      <c r="E491" s="424"/>
      <c r="F491" s="424"/>
      <c r="G491" s="424"/>
      <c r="H491" s="424"/>
      <c r="I491" s="424"/>
      <c r="J491" s="424"/>
      <c r="K491" s="424"/>
      <c r="L491" s="424"/>
      <c r="M491" s="424"/>
      <c r="N491" s="424"/>
      <c r="O491" s="424"/>
      <c r="P491" s="424"/>
      <c r="Q491" s="424"/>
      <c r="R491" s="424"/>
      <c r="S491" s="424"/>
      <c r="T491" s="424"/>
      <c r="U491" s="424"/>
      <c r="V491" s="436" t="n">
        <f aca="false">AY496</f>
        <v>0</v>
      </c>
    </row>
    <row r="492" customFormat="false" ht="13.5" hidden="false" customHeight="false" outlineLevel="0" collapsed="false">
      <c r="A492" s="424"/>
      <c r="B492" s="424"/>
      <c r="C492" s="424"/>
      <c r="D492" s="424"/>
      <c r="E492" s="424"/>
      <c r="F492" s="424"/>
      <c r="G492" s="424"/>
      <c r="H492" s="424"/>
      <c r="I492" s="424"/>
      <c r="J492" s="424"/>
      <c r="K492" s="424"/>
      <c r="L492" s="424"/>
      <c r="M492" s="424"/>
      <c r="N492" s="424"/>
      <c r="O492" s="424"/>
      <c r="P492" s="424"/>
      <c r="Q492" s="424"/>
      <c r="R492" s="424"/>
      <c r="S492" s="424"/>
      <c r="T492" s="424"/>
      <c r="U492" s="424"/>
      <c r="V492" s="424"/>
    </row>
    <row r="493" customFormat="false" ht="13.5" hidden="false" customHeight="false" outlineLevel="0" collapsed="false">
      <c r="A493" s="424"/>
      <c r="B493" s="424"/>
      <c r="C493" s="424"/>
      <c r="D493" s="424"/>
      <c r="E493" s="424"/>
      <c r="F493" s="424"/>
      <c r="G493" s="424"/>
      <c r="H493" s="424"/>
      <c r="I493" s="424"/>
      <c r="J493" s="424"/>
      <c r="K493" s="424"/>
      <c r="L493" s="424"/>
      <c r="M493" s="424"/>
      <c r="N493" s="424"/>
      <c r="O493" s="424"/>
      <c r="P493" s="424"/>
      <c r="Q493" s="424"/>
      <c r="R493" s="424"/>
      <c r="S493" s="424"/>
      <c r="T493" s="424"/>
      <c r="U493" s="424"/>
      <c r="V493" s="424"/>
    </row>
    <row r="494" customFormat="false" ht="13.5" hidden="false" customHeight="false" outlineLevel="0" collapsed="false">
      <c r="A494" s="424"/>
      <c r="B494" s="424"/>
      <c r="C494" s="424"/>
      <c r="D494" s="424"/>
      <c r="E494" s="424"/>
      <c r="F494" s="424"/>
      <c r="G494" s="424"/>
      <c r="H494" s="424"/>
      <c r="I494" s="424"/>
      <c r="J494" s="424"/>
      <c r="K494" s="424"/>
      <c r="L494" s="424"/>
      <c r="M494" s="424"/>
      <c r="N494" s="424"/>
      <c r="O494" s="424"/>
      <c r="P494" s="424"/>
      <c r="Q494" s="424"/>
      <c r="R494" s="434" t="s">
        <v>400</v>
      </c>
      <c r="S494" s="424"/>
      <c r="T494" s="424"/>
      <c r="U494" s="424"/>
      <c r="V494" s="435" t="n">
        <f aca="false">SUM(V496:V528)</f>
        <v>0</v>
      </c>
    </row>
    <row r="495" customFormat="false" ht="13.5" hidden="false" customHeight="false" outlineLevel="0" collapsed="false">
      <c r="A495" s="424"/>
      <c r="B495" s="424"/>
      <c r="C495" s="424"/>
      <c r="D495" s="424"/>
      <c r="E495" s="424"/>
      <c r="F495" s="424"/>
      <c r="G495" s="424"/>
      <c r="H495" s="424"/>
      <c r="I495" s="424"/>
      <c r="J495" s="424"/>
      <c r="K495" s="424"/>
      <c r="L495" s="424"/>
      <c r="M495" s="424"/>
      <c r="N495" s="424"/>
      <c r="O495" s="424"/>
      <c r="P495" s="424"/>
      <c r="Q495" s="435" t="n">
        <v>0</v>
      </c>
      <c r="R495" s="424"/>
      <c r="S495" s="435" t="n">
        <v>0</v>
      </c>
      <c r="T495" s="424"/>
      <c r="U495" s="424"/>
      <c r="V495" s="436" t="n">
        <f aca="false">AY495</f>
        <v>0</v>
      </c>
    </row>
    <row r="496" customFormat="false" ht="13.5" hidden="false" customHeight="false" outlineLevel="0" collapsed="false">
      <c r="A496" s="424"/>
      <c r="B496" s="424"/>
      <c r="C496" s="424"/>
      <c r="D496" s="424"/>
      <c r="E496" s="424"/>
      <c r="F496" s="424"/>
      <c r="G496" s="424"/>
      <c r="H496" s="424"/>
      <c r="I496" s="424"/>
      <c r="J496" s="424"/>
      <c r="K496" s="424"/>
      <c r="L496" s="424"/>
      <c r="M496" s="424"/>
      <c r="N496" s="424"/>
      <c r="O496" s="424"/>
      <c r="P496" s="424"/>
      <c r="Q496" s="435" t="n">
        <v>1</v>
      </c>
      <c r="R496" s="434" t="s">
        <v>401</v>
      </c>
      <c r="S496" s="434" t="s">
        <v>402</v>
      </c>
      <c r="T496" s="434" t="s">
        <v>403</v>
      </c>
      <c r="U496" s="434" t="s">
        <v>404</v>
      </c>
      <c r="V496" s="436" t="n">
        <f aca="false">AY496</f>
        <v>0</v>
      </c>
    </row>
    <row r="497" customFormat="false" ht="13.5" hidden="false" customHeight="false" outlineLevel="0" collapsed="false">
      <c r="A497" s="424"/>
      <c r="B497" s="424"/>
      <c r="C497" s="424"/>
      <c r="D497" s="424"/>
      <c r="E497" s="424"/>
      <c r="F497" s="424"/>
      <c r="G497" s="424"/>
      <c r="H497" s="424"/>
      <c r="I497" s="424"/>
      <c r="J497" s="424"/>
      <c r="K497" s="424"/>
      <c r="L497" s="424"/>
      <c r="M497" s="424"/>
      <c r="N497" s="424"/>
      <c r="O497" s="424"/>
      <c r="P497" s="424"/>
      <c r="Q497" s="435" t="n">
        <v>2</v>
      </c>
      <c r="R497" s="434" t="s">
        <v>405</v>
      </c>
      <c r="S497" s="434" t="s">
        <v>406</v>
      </c>
      <c r="T497" s="434" t="s">
        <v>407</v>
      </c>
      <c r="U497" s="434" t="s">
        <v>408</v>
      </c>
      <c r="V497" s="436" t="n">
        <f aca="false">AY497</f>
        <v>0</v>
      </c>
    </row>
    <row r="498" customFormat="false" ht="13.5" hidden="false" customHeight="false" outlineLevel="0" collapsed="false">
      <c r="A498" s="424"/>
      <c r="B498" s="424"/>
      <c r="C498" s="424"/>
      <c r="D498" s="424"/>
      <c r="E498" s="424"/>
      <c r="F498" s="424"/>
      <c r="G498" s="424"/>
      <c r="H498" s="424"/>
      <c r="I498" s="424"/>
      <c r="J498" s="424"/>
      <c r="K498" s="424"/>
      <c r="L498" s="424"/>
      <c r="M498" s="424"/>
      <c r="N498" s="424"/>
      <c r="O498" s="424"/>
      <c r="P498" s="424"/>
      <c r="Q498" s="435" t="n">
        <v>3</v>
      </c>
      <c r="R498" s="434" t="s">
        <v>409</v>
      </c>
      <c r="S498" s="434" t="s">
        <v>410</v>
      </c>
      <c r="T498" s="434" t="s">
        <v>411</v>
      </c>
      <c r="U498" s="434" t="s">
        <v>412</v>
      </c>
      <c r="V498" s="436" t="n">
        <f aca="false">AY498</f>
        <v>0</v>
      </c>
    </row>
    <row r="499" customFormat="false" ht="13.5" hidden="false" customHeight="false" outlineLevel="0" collapsed="false">
      <c r="A499" s="424"/>
      <c r="B499" s="424"/>
      <c r="C499" s="424"/>
      <c r="D499" s="424"/>
      <c r="E499" s="424"/>
      <c r="F499" s="424"/>
      <c r="G499" s="424"/>
      <c r="H499" s="424"/>
      <c r="I499" s="424"/>
      <c r="J499" s="424"/>
      <c r="K499" s="424"/>
      <c r="L499" s="424"/>
      <c r="M499" s="424"/>
      <c r="N499" s="424"/>
      <c r="O499" s="424"/>
      <c r="P499" s="424"/>
      <c r="Q499" s="435" t="n">
        <v>4</v>
      </c>
      <c r="R499" s="434" t="s">
        <v>413</v>
      </c>
      <c r="S499" s="434" t="s">
        <v>414</v>
      </c>
      <c r="T499" s="434" t="s">
        <v>415</v>
      </c>
      <c r="U499" s="434" t="s">
        <v>416</v>
      </c>
      <c r="V499" s="436" t="n">
        <f aca="false">AY499</f>
        <v>0</v>
      </c>
    </row>
    <row r="500" customFormat="false" ht="13.5" hidden="false" customHeight="false" outlineLevel="0" collapsed="false">
      <c r="A500" s="424"/>
      <c r="B500" s="424"/>
      <c r="C500" s="424"/>
      <c r="D500" s="424"/>
      <c r="E500" s="424"/>
      <c r="F500" s="424"/>
      <c r="G500" s="424"/>
      <c r="H500" s="424"/>
      <c r="I500" s="424"/>
      <c r="J500" s="424"/>
      <c r="K500" s="424"/>
      <c r="L500" s="424"/>
      <c r="M500" s="424"/>
      <c r="N500" s="424"/>
      <c r="O500" s="424"/>
      <c r="P500" s="438" t="s">
        <v>417</v>
      </c>
      <c r="Q500" s="435" t="n">
        <v>5</v>
      </c>
      <c r="R500" s="434" t="s">
        <v>418</v>
      </c>
      <c r="S500" s="434" t="s">
        <v>419</v>
      </c>
      <c r="T500" s="434" t="s">
        <v>420</v>
      </c>
      <c r="U500" s="434" t="s">
        <v>421</v>
      </c>
      <c r="V500" s="436" t="n">
        <f aca="false">AY500</f>
        <v>0</v>
      </c>
    </row>
    <row r="501" customFormat="false" ht="13.5" hidden="false" customHeight="false" outlineLevel="0" collapsed="false">
      <c r="A501" s="424"/>
      <c r="B501" s="424"/>
      <c r="C501" s="424"/>
      <c r="D501" s="424"/>
      <c r="E501" s="424"/>
      <c r="F501" s="424"/>
      <c r="G501" s="424"/>
      <c r="H501" s="424"/>
      <c r="I501" s="424"/>
      <c r="J501" s="424"/>
      <c r="K501" s="424"/>
      <c r="L501" s="424"/>
      <c r="M501" s="424"/>
      <c r="N501" s="424"/>
      <c r="O501" s="424"/>
      <c r="P501" s="438" t="s">
        <v>417</v>
      </c>
      <c r="Q501" s="435" t="n">
        <v>6</v>
      </c>
      <c r="R501" s="434" t="s">
        <v>422</v>
      </c>
      <c r="S501" s="434" t="s">
        <v>423</v>
      </c>
      <c r="T501" s="434" t="s">
        <v>424</v>
      </c>
      <c r="U501" s="434" t="s">
        <v>425</v>
      </c>
      <c r="V501" s="436" t="n">
        <f aca="false">AY501</f>
        <v>0</v>
      </c>
    </row>
    <row r="502" customFormat="false" ht="13.5" hidden="false" customHeight="false" outlineLevel="0" collapsed="false">
      <c r="A502" s="424"/>
      <c r="B502" s="424"/>
      <c r="C502" s="424"/>
      <c r="D502" s="424"/>
      <c r="E502" s="424"/>
      <c r="F502" s="424"/>
      <c r="G502" s="424"/>
      <c r="H502" s="424"/>
      <c r="I502" s="424"/>
      <c r="J502" s="424"/>
      <c r="K502" s="424"/>
      <c r="L502" s="424"/>
      <c r="M502" s="424"/>
      <c r="N502" s="424"/>
      <c r="O502" s="424"/>
      <c r="P502" s="438" t="s">
        <v>417</v>
      </c>
      <c r="Q502" s="435" t="n">
        <v>7</v>
      </c>
      <c r="R502" s="434" t="s">
        <v>426</v>
      </c>
      <c r="S502" s="434" t="s">
        <v>427</v>
      </c>
      <c r="T502" s="434" t="s">
        <v>428</v>
      </c>
      <c r="U502" s="434" t="s">
        <v>429</v>
      </c>
      <c r="V502" s="436" t="n">
        <f aca="false">AY502</f>
        <v>0</v>
      </c>
    </row>
    <row r="503" customFormat="false" ht="13.5" hidden="false" customHeight="false" outlineLevel="0" collapsed="false">
      <c r="A503" s="424"/>
      <c r="B503" s="424"/>
      <c r="C503" s="424"/>
      <c r="D503" s="424"/>
      <c r="E503" s="424"/>
      <c r="F503" s="424"/>
      <c r="G503" s="424"/>
      <c r="H503" s="424"/>
      <c r="I503" s="424"/>
      <c r="J503" s="424"/>
      <c r="K503" s="424"/>
      <c r="L503" s="424"/>
      <c r="M503" s="424"/>
      <c r="N503" s="424"/>
      <c r="O503" s="424"/>
      <c r="P503" s="438" t="s">
        <v>417</v>
      </c>
      <c r="Q503" s="435" t="n">
        <v>8</v>
      </c>
      <c r="R503" s="434" t="s">
        <v>430</v>
      </c>
      <c r="S503" s="434" t="s">
        <v>431</v>
      </c>
      <c r="T503" s="434" t="s">
        <v>432</v>
      </c>
      <c r="U503" s="434" t="s">
        <v>433</v>
      </c>
      <c r="V503" s="436" t="n">
        <f aca="false">AY503</f>
        <v>0</v>
      </c>
    </row>
    <row r="504" customFormat="false" ht="13.5" hidden="false" customHeight="false" outlineLevel="0" collapsed="false">
      <c r="A504" s="424"/>
      <c r="B504" s="424"/>
      <c r="C504" s="424"/>
      <c r="D504" s="424"/>
      <c r="E504" s="424"/>
      <c r="F504" s="424"/>
      <c r="G504" s="424"/>
      <c r="H504" s="424"/>
      <c r="I504" s="424"/>
      <c r="J504" s="424"/>
      <c r="K504" s="424"/>
      <c r="L504" s="424"/>
      <c r="M504" s="424"/>
      <c r="N504" s="424"/>
      <c r="O504" s="424"/>
      <c r="P504" s="438" t="s">
        <v>417</v>
      </c>
      <c r="Q504" s="435" t="n">
        <v>9</v>
      </c>
      <c r="R504" s="434" t="s">
        <v>434</v>
      </c>
      <c r="S504" s="434" t="s">
        <v>435</v>
      </c>
      <c r="T504" s="434" t="s">
        <v>436</v>
      </c>
      <c r="U504" s="434" t="s">
        <v>437</v>
      </c>
      <c r="V504" s="436" t="n">
        <f aca="false">AY504</f>
        <v>0</v>
      </c>
    </row>
    <row r="505" customFormat="false" ht="13.5" hidden="false" customHeight="false" outlineLevel="0" collapsed="false">
      <c r="A505" s="424"/>
      <c r="B505" s="424"/>
      <c r="C505" s="424"/>
      <c r="D505" s="424"/>
      <c r="E505" s="424"/>
      <c r="F505" s="424"/>
      <c r="G505" s="424"/>
      <c r="H505" s="424"/>
      <c r="I505" s="424"/>
      <c r="J505" s="424"/>
      <c r="K505" s="424"/>
      <c r="L505" s="424"/>
      <c r="M505" s="424"/>
      <c r="N505" s="424"/>
      <c r="O505" s="424"/>
      <c r="P505" s="438" t="s">
        <v>417</v>
      </c>
      <c r="Q505" s="435" t="n">
        <v>10</v>
      </c>
      <c r="R505" s="434" t="s">
        <v>438</v>
      </c>
      <c r="S505" s="424"/>
      <c r="T505" s="434" t="s">
        <v>439</v>
      </c>
      <c r="U505" s="434" t="s">
        <v>440</v>
      </c>
      <c r="V505" s="436" t="n">
        <f aca="false">AY505</f>
        <v>0</v>
      </c>
    </row>
    <row r="506" customFormat="false" ht="13.5" hidden="false" customHeight="false" outlineLevel="0" collapsed="false">
      <c r="A506" s="424"/>
      <c r="B506" s="424"/>
      <c r="C506" s="424"/>
      <c r="D506" s="424"/>
      <c r="E506" s="424"/>
      <c r="F506" s="435" t="n">
        <f aca="false">TRUNC(+A508/1000000)</f>
        <v>0</v>
      </c>
      <c r="G506" s="424"/>
      <c r="H506" s="424"/>
      <c r="I506" s="424"/>
      <c r="J506" s="424"/>
      <c r="K506" s="424"/>
      <c r="L506" s="424"/>
      <c r="M506" s="424"/>
      <c r="N506" s="424"/>
      <c r="O506" s="424"/>
      <c r="P506" s="438" t="s">
        <v>417</v>
      </c>
      <c r="Q506" s="435" t="n">
        <v>11</v>
      </c>
      <c r="R506" s="434" t="s">
        <v>441</v>
      </c>
      <c r="S506" s="424"/>
      <c r="T506" s="434" t="s">
        <v>442</v>
      </c>
      <c r="U506" s="434" t="s">
        <v>443</v>
      </c>
      <c r="V506" s="436" t="n">
        <f aca="false">AY506</f>
        <v>0</v>
      </c>
    </row>
    <row r="507" customFormat="false" ht="13.5" hidden="false" customHeight="false" outlineLevel="0" collapsed="false">
      <c r="A507" s="424"/>
      <c r="B507" s="424"/>
      <c r="C507" s="424"/>
      <c r="D507" s="424"/>
      <c r="E507" s="424"/>
      <c r="F507" s="435" t="e">
        <f aca="false">(+B511*100000+C511*1000+E511*100)</f>
        <v>#VALUE!</v>
      </c>
      <c r="G507" s="424"/>
      <c r="H507" s="424"/>
      <c r="I507" s="424"/>
      <c r="J507" s="424"/>
      <c r="K507" s="424"/>
      <c r="L507" s="434" t="s">
        <v>444</v>
      </c>
      <c r="M507" s="424"/>
      <c r="N507" s="424"/>
      <c r="O507" s="424"/>
      <c r="P507" s="438" t="s">
        <v>417</v>
      </c>
      <c r="Q507" s="435" t="n">
        <v>12</v>
      </c>
      <c r="R507" s="434" t="s">
        <v>445</v>
      </c>
      <c r="S507" s="424"/>
      <c r="T507" s="434" t="s">
        <v>446</v>
      </c>
      <c r="U507" s="434" t="s">
        <v>447</v>
      </c>
      <c r="V507" s="436" t="n">
        <f aca="false">AY507</f>
        <v>0</v>
      </c>
    </row>
    <row r="508" customFormat="false" ht="13.5" hidden="false" customHeight="false" outlineLevel="0" collapsed="false">
      <c r="A508" s="436" t="n">
        <f aca="false">TRUNC(+A509)</f>
        <v>350000</v>
      </c>
      <c r="B508" s="424"/>
      <c r="C508" s="424"/>
      <c r="D508" s="424"/>
      <c r="E508" s="440" t="n">
        <f aca="false">TRUNC(+A508/100000000)</f>
        <v>0</v>
      </c>
      <c r="F508" s="424"/>
      <c r="G508" s="424"/>
      <c r="H508" s="424"/>
      <c r="I508" s="424"/>
      <c r="J508" s="424"/>
      <c r="K508" s="424"/>
      <c r="L508" s="424"/>
      <c r="M508" s="424"/>
      <c r="N508" s="424"/>
      <c r="O508" s="424"/>
      <c r="P508" s="438" t="s">
        <v>417</v>
      </c>
      <c r="Q508" s="435" t="n">
        <v>13</v>
      </c>
      <c r="R508" s="434" t="s">
        <v>448</v>
      </c>
      <c r="S508" s="424"/>
      <c r="T508" s="434" t="s">
        <v>449</v>
      </c>
      <c r="U508" s="434" t="s">
        <v>450</v>
      </c>
      <c r="V508" s="436" t="n">
        <f aca="false">AY508</f>
        <v>0</v>
      </c>
    </row>
    <row r="509" customFormat="false" ht="13.5" hidden="false" customHeight="false" outlineLevel="0" collapsed="false">
      <c r="A509" s="441" t="n">
        <f aca="false">'[2]Biaya Notaris'!E15</f>
        <v>350000</v>
      </c>
      <c r="B509" s="434" t="s">
        <v>451</v>
      </c>
      <c r="C509" s="434" t="s">
        <v>452</v>
      </c>
      <c r="D509" s="424"/>
      <c r="E509" s="434" t="s">
        <v>452</v>
      </c>
      <c r="F509" s="424"/>
      <c r="G509" s="424"/>
      <c r="H509" s="424"/>
      <c r="I509" s="440" t="n">
        <f aca="false">TRUNC((+A508-(+F506*1000000))/1000)</f>
        <v>350</v>
      </c>
      <c r="J509" s="424"/>
      <c r="K509" s="440" t="n">
        <f aca="false">(TRUNC((+A508-(+F506*1000000))/1))-I509*1000</f>
        <v>0</v>
      </c>
      <c r="L509" s="424"/>
      <c r="M509" s="424"/>
      <c r="N509" s="424"/>
      <c r="O509" s="424"/>
      <c r="P509" s="438" t="s">
        <v>417</v>
      </c>
      <c r="Q509" s="435" t="n">
        <v>14</v>
      </c>
      <c r="R509" s="434" t="s">
        <v>453</v>
      </c>
      <c r="S509" s="424"/>
      <c r="T509" s="434" t="s">
        <v>454</v>
      </c>
      <c r="U509" s="434" t="s">
        <v>455</v>
      </c>
      <c r="V509" s="436" t="n">
        <f aca="false">AY509</f>
        <v>0</v>
      </c>
    </row>
    <row r="510" customFormat="false" ht="13.5" hidden="false" customHeight="false" outlineLevel="0" collapsed="false">
      <c r="A510" s="424"/>
      <c r="B510" s="442" t="s">
        <v>712</v>
      </c>
      <c r="C510" s="442" t="s">
        <v>712</v>
      </c>
      <c r="D510" s="424"/>
      <c r="E510" s="442" t="s">
        <v>712</v>
      </c>
      <c r="F510" s="424"/>
      <c r="G510" s="424"/>
      <c r="H510" s="424"/>
      <c r="I510" s="424"/>
      <c r="J510" s="424"/>
      <c r="K510" s="424"/>
      <c r="L510" s="424"/>
      <c r="M510" s="424"/>
      <c r="N510" s="440" t="n">
        <f aca="false">ROUND(((+A509-A508)*100),1)</f>
        <v>0</v>
      </c>
      <c r="O510" s="424"/>
      <c r="P510" s="438" t="s">
        <v>417</v>
      </c>
      <c r="Q510" s="435" t="n">
        <v>15</v>
      </c>
      <c r="R510" s="434" t="s">
        <v>457</v>
      </c>
      <c r="S510" s="424"/>
      <c r="T510" s="434" t="s">
        <v>458</v>
      </c>
      <c r="U510" s="434" t="s">
        <v>459</v>
      </c>
      <c r="V510" s="436" t="n">
        <f aca="false">AY510</f>
        <v>0</v>
      </c>
    </row>
    <row r="511" customFormat="false" ht="13.5" hidden="false" customHeight="false" outlineLevel="0" collapsed="false">
      <c r="A511" s="424"/>
      <c r="B511" s="440" t="n">
        <f aca="false">TRUNC(+A509/100000000000)</f>
        <v>0</v>
      </c>
      <c r="C511" s="440" t="n">
        <f aca="false">(TRUNC(+A508/1000000000))-B511*100</f>
        <v>0</v>
      </c>
      <c r="D511" s="424"/>
      <c r="E511" s="435" t="str">
        <f aca="false">IF(E508&gt;0,TRUNC(+E508-B511*1000-C511*10),"")</f>
        <v/>
      </c>
      <c r="F511" s="435" t="e">
        <f aca="false">F506-F507</f>
        <v>#VALUE!</v>
      </c>
      <c r="G511" s="435" t="e">
        <f aca="false">G513</f>
        <v>#VALUE!</v>
      </c>
      <c r="H511" s="440" t="n">
        <f aca="false">TRUNC((+A508-(+F506*1000000))/100000)</f>
        <v>3</v>
      </c>
      <c r="I511" s="440" t="n">
        <f aca="false">I509-H511*100</f>
        <v>50</v>
      </c>
      <c r="J511" s="424"/>
      <c r="K511" s="440" t="n">
        <f aca="false">TRUNC(+K509/100)</f>
        <v>0</v>
      </c>
      <c r="L511" s="440" t="n">
        <f aca="false">K509-K511*100</f>
        <v>0</v>
      </c>
      <c r="M511" s="440" t="str">
        <f aca="false">IF(N511&gt;0," &amp; Sen ","")</f>
        <v/>
      </c>
      <c r="N511" s="435" t="n">
        <f aca="false">N510</f>
        <v>0</v>
      </c>
      <c r="O511" s="424"/>
      <c r="P511" s="438" t="s">
        <v>417</v>
      </c>
      <c r="Q511" s="435" t="n">
        <v>16</v>
      </c>
      <c r="R511" s="434" t="s">
        <v>460</v>
      </c>
      <c r="S511" s="424"/>
      <c r="T511" s="434" t="s">
        <v>461</v>
      </c>
      <c r="U511" s="434" t="s">
        <v>462</v>
      </c>
      <c r="V511" s="436" t="n">
        <f aca="false">AY511</f>
        <v>0</v>
      </c>
    </row>
    <row r="512" customFormat="false" ht="13.5" hidden="false" customHeight="false" outlineLevel="0" collapsed="false">
      <c r="A512" s="424"/>
      <c r="B512" s="424"/>
      <c r="C512" s="424"/>
      <c r="D512" s="424"/>
      <c r="E512" s="424"/>
      <c r="F512" s="424"/>
      <c r="G512" s="424"/>
      <c r="H512" s="424"/>
      <c r="I512" s="424"/>
      <c r="J512" s="424"/>
      <c r="K512" s="424"/>
      <c r="L512" s="424"/>
      <c r="M512" s="424"/>
      <c r="N512" s="424"/>
      <c r="O512" s="424"/>
      <c r="P512" s="438" t="s">
        <v>417</v>
      </c>
      <c r="Q512" s="435" t="n">
        <v>17</v>
      </c>
      <c r="R512" s="434" t="s">
        <v>463</v>
      </c>
      <c r="S512" s="424"/>
      <c r="T512" s="434" t="s">
        <v>464</v>
      </c>
      <c r="U512" s="434" t="s">
        <v>465</v>
      </c>
      <c r="V512" s="436" t="n">
        <f aca="false">AY512</f>
        <v>0</v>
      </c>
    </row>
    <row r="513" customFormat="false" ht="13.5" hidden="false" customHeight="false" outlineLevel="0" collapsed="false">
      <c r="A513" s="440" t="n">
        <f aca="false">B511*100000000000</f>
        <v>0</v>
      </c>
      <c r="B513" s="440" t="str">
        <f aca="false">IF(B511&gt;0,VLOOKUP(B511,$Q$7:$T$15,3),"")</f>
        <v/>
      </c>
      <c r="C513" s="440" t="str">
        <f aca="false">IF(C511&gt;0,VLOOKUP(C511,Q496:R594,2),"")</f>
        <v/>
      </c>
      <c r="D513" s="440" t="str">
        <f aca="false">IF(B508+C511&gt;0," Milyar ","")</f>
        <v/>
      </c>
      <c r="E513" s="440" t="e">
        <f aca="false">IF(E511&gt;0,VLOOKUP(E511,$Q$7:$T$15,3),"")</f>
        <v>#N/A</v>
      </c>
      <c r="F513" s="440" t="e">
        <f aca="false">IF(F511&gt;0,VLOOKUP(F511,Q496:R594,2),"")</f>
        <v>#VALUE!</v>
      </c>
      <c r="G513" s="435" t="e">
        <f aca="false">IF(F511+E511&gt;0," Juta","")</f>
        <v>#VALUE!</v>
      </c>
      <c r="H513" s="440" t="str">
        <f aca="false">IF(H511&gt;0,VLOOKUP(H511,$Q$7:$T$15,3),"")</f>
        <v> Tiga ratus</v>
      </c>
      <c r="I513" s="440" t="str">
        <f aca="false">IF(I511=1," Se",IF(I511=0,"",VLOOKUP(I511,Q496:R594,2)))</f>
        <v>  Lima puluh</v>
      </c>
      <c r="J513" s="435" t="str">
        <f aca="false">IF(I511+H511&gt;0," ribu","")</f>
        <v> ribu</v>
      </c>
      <c r="K513" s="440" t="str">
        <f aca="false">IF(K511&gt;0,VLOOKUP(K511,Q496:S504,3),"")</f>
        <v/>
      </c>
      <c r="L513" s="440" t="str">
        <f aca="false">IF(L511&gt;0,VLOOKUP(L511,Q496:R594,2),"")</f>
        <v/>
      </c>
      <c r="M513" s="440" t="str">
        <f aca="false">IF(N511&gt;0,VLOOKUP(N510,Q495:U594,5)," Rupiah ")</f>
        <v> Rupiah </v>
      </c>
      <c r="N513" s="424"/>
      <c r="O513" s="435" t="str">
        <f aca="false">IF(N511&gt;0," ====","")</f>
        <v/>
      </c>
      <c r="P513" s="435" t="str">
        <f aca="false">IF(N511&gt;0,"-","====")</f>
        <v>====</v>
      </c>
      <c r="Q513" s="435" t="n">
        <v>18</v>
      </c>
      <c r="R513" s="434" t="s">
        <v>466</v>
      </c>
      <c r="S513" s="424"/>
      <c r="T513" s="434" t="s">
        <v>467</v>
      </c>
      <c r="U513" s="434" t="s">
        <v>468</v>
      </c>
      <c r="V513" s="436" t="n">
        <f aca="false">AY513</f>
        <v>0</v>
      </c>
    </row>
    <row r="514" customFormat="false" ht="13.5" hidden="false" customHeight="false" outlineLevel="0" collapsed="false">
      <c r="A514" s="440"/>
      <c r="B514" s="435" t="str">
        <f aca="false">B513</f>
        <v/>
      </c>
      <c r="C514" s="424"/>
      <c r="D514" s="424"/>
      <c r="E514" s="424"/>
      <c r="F514" s="424"/>
      <c r="G514" s="424"/>
      <c r="H514" s="424"/>
      <c r="I514" s="424"/>
      <c r="J514" s="424"/>
      <c r="K514" s="424"/>
      <c r="L514" s="424"/>
      <c r="M514" s="424"/>
      <c r="N514" s="424"/>
      <c r="O514" s="424"/>
      <c r="P514" s="438" t="s">
        <v>417</v>
      </c>
      <c r="Q514" s="435" t="n">
        <v>19</v>
      </c>
      <c r="R514" s="434" t="s">
        <v>469</v>
      </c>
      <c r="S514" s="424"/>
      <c r="T514" s="434" t="s">
        <v>470</v>
      </c>
      <c r="U514" s="434" t="s">
        <v>471</v>
      </c>
      <c r="V514" s="436" t="n">
        <f aca="false">AY519</f>
        <v>0</v>
      </c>
    </row>
    <row r="515" customFormat="false" ht="13.5" hidden="false" customHeight="false" outlineLevel="0" collapsed="false">
      <c r="A515" s="440"/>
      <c r="B515" s="435" t="str">
        <f aca="false">C513</f>
        <v/>
      </c>
      <c r="C515" s="424"/>
      <c r="D515" s="424"/>
      <c r="E515" s="424"/>
      <c r="F515" s="424"/>
      <c r="G515" s="424"/>
      <c r="H515" s="424"/>
      <c r="I515" s="424"/>
      <c r="J515" s="424"/>
      <c r="K515" s="424"/>
      <c r="L515" s="424"/>
      <c r="M515" s="424"/>
      <c r="N515" s="424"/>
      <c r="O515" s="424"/>
      <c r="P515" s="438" t="s">
        <v>417</v>
      </c>
      <c r="Q515" s="435" t="n">
        <v>20</v>
      </c>
      <c r="R515" s="434" t="s">
        <v>472</v>
      </c>
      <c r="S515" s="424"/>
      <c r="T515" s="434" t="s">
        <v>473</v>
      </c>
      <c r="U515" s="434" t="s">
        <v>474</v>
      </c>
      <c r="V515" s="436" t="n">
        <f aca="false">AY520</f>
        <v>0</v>
      </c>
    </row>
    <row r="516" customFormat="false" ht="13.5" hidden="false" customHeight="false" outlineLevel="0" collapsed="false">
      <c r="A516" s="440"/>
      <c r="B516" s="435" t="str">
        <f aca="false">D513</f>
        <v/>
      </c>
      <c r="C516" s="424"/>
      <c r="D516" s="424"/>
      <c r="E516" s="424"/>
      <c r="F516" s="424"/>
      <c r="G516" s="424"/>
      <c r="H516" s="424"/>
      <c r="I516" s="424"/>
      <c r="J516" s="424"/>
      <c r="K516" s="424"/>
      <c r="L516" s="424"/>
      <c r="M516" s="424"/>
      <c r="N516" s="424"/>
      <c r="O516" s="424"/>
      <c r="P516" s="438" t="s">
        <v>417</v>
      </c>
      <c r="Q516" s="435" t="n">
        <v>21</v>
      </c>
      <c r="R516" s="434" t="s">
        <v>475</v>
      </c>
      <c r="S516" s="424"/>
      <c r="T516" s="434" t="s">
        <v>476</v>
      </c>
      <c r="U516" s="434" t="s">
        <v>477</v>
      </c>
      <c r="V516" s="436" t="n">
        <f aca="false">AY521</f>
        <v>0</v>
      </c>
    </row>
    <row r="517" customFormat="false" ht="13.5" hidden="false" customHeight="false" outlineLevel="0" collapsed="false">
      <c r="A517" s="440"/>
      <c r="B517" s="435" t="e">
        <f aca="false">E513</f>
        <v>#N/A</v>
      </c>
      <c r="C517" s="424"/>
      <c r="D517" s="424"/>
      <c r="E517" s="424"/>
      <c r="F517" s="424"/>
      <c r="G517" s="424"/>
      <c r="H517" s="424"/>
      <c r="I517" s="424"/>
      <c r="J517" s="424"/>
      <c r="K517" s="424"/>
      <c r="L517" s="424"/>
      <c r="M517" s="424"/>
      <c r="N517" s="424"/>
      <c r="O517" s="424"/>
      <c r="P517" s="424"/>
      <c r="Q517" s="435" t="n">
        <v>22</v>
      </c>
      <c r="R517" s="434" t="s">
        <v>478</v>
      </c>
      <c r="S517" s="424"/>
      <c r="T517" s="434" t="s">
        <v>479</v>
      </c>
      <c r="U517" s="434" t="s">
        <v>480</v>
      </c>
      <c r="V517" s="436" t="n">
        <f aca="false">AY522</f>
        <v>0</v>
      </c>
    </row>
    <row r="518" customFormat="false" ht="13.5" hidden="false" customHeight="false" outlineLevel="0" collapsed="false">
      <c r="A518" s="440"/>
      <c r="B518" s="435" t="e">
        <f aca="false">F513</f>
        <v>#VALUE!</v>
      </c>
      <c r="C518" s="424"/>
      <c r="D518" s="424"/>
      <c r="E518" s="424"/>
      <c r="F518" s="424"/>
      <c r="G518" s="424"/>
      <c r="H518" s="424"/>
      <c r="I518" s="424"/>
      <c r="J518" s="424"/>
      <c r="K518" s="424"/>
      <c r="L518" s="424"/>
      <c r="M518" s="424"/>
      <c r="N518" s="424"/>
      <c r="O518" s="424"/>
      <c r="P518" s="438" t="s">
        <v>417</v>
      </c>
      <c r="Q518" s="435" t="n">
        <v>23</v>
      </c>
      <c r="R518" s="434" t="s">
        <v>481</v>
      </c>
      <c r="S518" s="424"/>
      <c r="T518" s="434" t="s">
        <v>482</v>
      </c>
      <c r="U518" s="434" t="s">
        <v>483</v>
      </c>
      <c r="V518" s="436" t="n">
        <f aca="false">AY523</f>
        <v>0</v>
      </c>
    </row>
    <row r="519" customFormat="false" ht="13.5" hidden="false" customHeight="false" outlineLevel="0" collapsed="false">
      <c r="A519" s="424"/>
      <c r="B519" s="424"/>
      <c r="C519" s="424"/>
      <c r="D519" s="424"/>
      <c r="E519" s="424"/>
      <c r="F519" s="424"/>
      <c r="G519" s="424"/>
      <c r="H519" s="424"/>
      <c r="I519" s="424"/>
      <c r="J519" s="424"/>
      <c r="K519" s="424"/>
      <c r="L519" s="424"/>
      <c r="M519" s="424"/>
      <c r="N519" s="424"/>
      <c r="O519" s="424"/>
      <c r="P519" s="438" t="s">
        <v>417</v>
      </c>
      <c r="Q519" s="435" t="n">
        <v>24</v>
      </c>
      <c r="R519" s="434" t="s">
        <v>484</v>
      </c>
      <c r="S519" s="424"/>
      <c r="T519" s="434" t="s">
        <v>485</v>
      </c>
      <c r="U519" s="434" t="s">
        <v>486</v>
      </c>
      <c r="V519" s="436" t="n">
        <f aca="false">AY524</f>
        <v>0</v>
      </c>
    </row>
    <row r="520" customFormat="false" ht="13.5" hidden="false" customHeight="false" outlineLevel="0" collapsed="false">
      <c r="A520" s="424"/>
      <c r="B520" s="424"/>
      <c r="C520" s="424"/>
      <c r="D520" s="424"/>
      <c r="E520" s="424"/>
      <c r="F520" s="424"/>
      <c r="G520" s="424"/>
      <c r="H520" s="424"/>
      <c r="I520" s="424"/>
      <c r="J520" s="424"/>
      <c r="K520" s="424"/>
      <c r="L520" s="424"/>
      <c r="M520" s="424"/>
      <c r="N520" s="424"/>
      <c r="O520" s="424"/>
      <c r="P520" s="438" t="s">
        <v>417</v>
      </c>
      <c r="Q520" s="435" t="n">
        <v>25</v>
      </c>
      <c r="R520" s="434" t="s">
        <v>487</v>
      </c>
      <c r="S520" s="424"/>
      <c r="T520" s="434" t="s">
        <v>488</v>
      </c>
      <c r="U520" s="434" t="s">
        <v>489</v>
      </c>
      <c r="V520" s="436" t="n">
        <f aca="false">AY525</f>
        <v>0</v>
      </c>
    </row>
    <row r="521" customFormat="false" ht="13.5" hidden="false" customHeight="false" outlineLevel="0" collapsed="false">
      <c r="A521" s="424"/>
      <c r="B521" s="424"/>
      <c r="C521" s="424"/>
      <c r="D521" s="424"/>
      <c r="E521" s="424"/>
      <c r="F521" s="424"/>
      <c r="G521" s="424"/>
      <c r="H521" s="424"/>
      <c r="I521" s="424"/>
      <c r="J521" s="424"/>
      <c r="K521" s="424"/>
      <c r="L521" s="424"/>
      <c r="M521" s="424"/>
      <c r="N521" s="424"/>
      <c r="O521" s="424"/>
      <c r="P521" s="438" t="s">
        <v>417</v>
      </c>
      <c r="Q521" s="435" t="n">
        <v>26</v>
      </c>
      <c r="R521" s="434" t="s">
        <v>490</v>
      </c>
      <c r="S521" s="424"/>
      <c r="T521" s="434" t="s">
        <v>491</v>
      </c>
      <c r="U521" s="434" t="s">
        <v>492</v>
      </c>
      <c r="V521" s="436" t="n">
        <f aca="false">AY526</f>
        <v>0</v>
      </c>
    </row>
    <row r="522" customFormat="false" ht="13.5" hidden="false" customHeight="false" outlineLevel="0" collapsed="false">
      <c r="A522" s="424"/>
      <c r="B522" s="424"/>
      <c r="C522" s="424"/>
      <c r="D522" s="424"/>
      <c r="E522" s="424"/>
      <c r="F522" s="424"/>
      <c r="G522" s="424"/>
      <c r="H522" s="424"/>
      <c r="I522" s="424"/>
      <c r="J522" s="424"/>
      <c r="K522" s="424"/>
      <c r="L522" s="424"/>
      <c r="M522" s="424"/>
      <c r="N522" s="424"/>
      <c r="O522" s="424"/>
      <c r="P522" s="424"/>
      <c r="Q522" s="435" t="n">
        <v>27</v>
      </c>
      <c r="R522" s="434" t="s">
        <v>493</v>
      </c>
      <c r="S522" s="424"/>
      <c r="T522" s="434" t="s">
        <v>494</v>
      </c>
      <c r="U522" s="434" t="s">
        <v>495</v>
      </c>
      <c r="V522" s="436" t="n">
        <f aca="false">AY527</f>
        <v>0</v>
      </c>
    </row>
    <row r="523" customFormat="false" ht="13.5" hidden="false" customHeight="false" outlineLevel="0" collapsed="false">
      <c r="A523" s="424"/>
      <c r="B523" s="424"/>
      <c r="C523" s="424"/>
      <c r="D523" s="424"/>
      <c r="E523" s="424"/>
      <c r="F523" s="424"/>
      <c r="G523" s="424"/>
      <c r="H523" s="424"/>
      <c r="I523" s="424"/>
      <c r="J523" s="424"/>
      <c r="K523" s="424"/>
      <c r="L523" s="424"/>
      <c r="M523" s="424"/>
      <c r="N523" s="424"/>
      <c r="O523" s="424"/>
      <c r="P523" s="424"/>
      <c r="Q523" s="435" t="n">
        <v>28</v>
      </c>
      <c r="R523" s="434" t="s">
        <v>496</v>
      </c>
      <c r="S523" s="424"/>
      <c r="T523" s="434" t="s">
        <v>497</v>
      </c>
      <c r="U523" s="434" t="s">
        <v>498</v>
      </c>
      <c r="V523" s="436" t="n">
        <f aca="false">AY528</f>
        <v>0</v>
      </c>
    </row>
    <row r="524" customFormat="false" ht="13.5" hidden="false" customHeight="false" outlineLevel="0" collapsed="false">
      <c r="A524" s="424"/>
      <c r="B524" s="424"/>
      <c r="C524" s="424"/>
      <c r="D524" s="424"/>
      <c r="E524" s="424"/>
      <c r="F524" s="424"/>
      <c r="G524" s="424"/>
      <c r="H524" s="424"/>
      <c r="I524" s="424"/>
      <c r="J524" s="424"/>
      <c r="K524" s="424"/>
      <c r="L524" s="424"/>
      <c r="M524" s="424"/>
      <c r="N524" s="424"/>
      <c r="O524" s="424"/>
      <c r="P524" s="424"/>
      <c r="Q524" s="435" t="n">
        <v>29</v>
      </c>
      <c r="R524" s="434" t="s">
        <v>499</v>
      </c>
      <c r="S524" s="424"/>
      <c r="T524" s="434" t="s">
        <v>500</v>
      </c>
      <c r="U524" s="434" t="s">
        <v>501</v>
      </c>
      <c r="V524" s="436" t="n">
        <f aca="false">AY529</f>
        <v>0</v>
      </c>
    </row>
    <row r="525" customFormat="false" ht="13.5" hidden="false" customHeight="false" outlineLevel="0" collapsed="false">
      <c r="A525" s="424"/>
      <c r="B525" s="424"/>
      <c r="C525" s="424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35" t="n">
        <v>30</v>
      </c>
      <c r="R525" s="434" t="s">
        <v>502</v>
      </c>
      <c r="S525" s="424"/>
      <c r="T525" s="434" t="s">
        <v>503</v>
      </c>
      <c r="U525" s="434" t="s">
        <v>504</v>
      </c>
      <c r="V525" s="436" t="n">
        <f aca="false">AY530</f>
        <v>0</v>
      </c>
    </row>
    <row r="526" customFormat="false" ht="13.5" hidden="false" customHeight="false" outlineLevel="0" collapsed="false">
      <c r="A526" s="424"/>
      <c r="B526" s="424"/>
      <c r="C526" s="424"/>
      <c r="D526" s="424"/>
      <c r="E526" s="424"/>
      <c r="F526" s="424"/>
      <c r="G526" s="424"/>
      <c r="H526" s="424"/>
      <c r="I526" s="424"/>
      <c r="J526" s="424"/>
      <c r="K526" s="424"/>
      <c r="L526" s="424"/>
      <c r="M526" s="424"/>
      <c r="N526" s="424"/>
      <c r="O526" s="424"/>
      <c r="P526" s="424"/>
      <c r="Q526" s="435" t="n">
        <v>31</v>
      </c>
      <c r="R526" s="434" t="s">
        <v>505</v>
      </c>
      <c r="S526" s="424"/>
      <c r="T526" s="434" t="s">
        <v>506</v>
      </c>
      <c r="U526" s="434" t="s">
        <v>507</v>
      </c>
      <c r="V526" s="436" t="n">
        <f aca="false">AY531</f>
        <v>0</v>
      </c>
    </row>
    <row r="527" customFormat="false" ht="13.5" hidden="false" customHeight="false" outlineLevel="0" collapsed="false">
      <c r="A527" s="424"/>
      <c r="B527" s="424"/>
      <c r="C527" s="424"/>
      <c r="D527" s="424"/>
      <c r="E527" s="424"/>
      <c r="F527" s="424"/>
      <c r="G527" s="424"/>
      <c r="H527" s="424"/>
      <c r="I527" s="424"/>
      <c r="J527" s="424"/>
      <c r="K527" s="424"/>
      <c r="L527" s="424"/>
      <c r="M527" s="424"/>
      <c r="N527" s="424"/>
      <c r="O527" s="424"/>
      <c r="P527" s="424"/>
      <c r="Q527" s="435" t="n">
        <v>32</v>
      </c>
      <c r="R527" s="434" t="s">
        <v>508</v>
      </c>
      <c r="S527" s="424"/>
      <c r="T527" s="434" t="s">
        <v>509</v>
      </c>
      <c r="U527" s="434" t="s">
        <v>510</v>
      </c>
      <c r="V527" s="436" t="n">
        <f aca="false">AY532</f>
        <v>0</v>
      </c>
    </row>
    <row r="528" customFormat="false" ht="13.5" hidden="false" customHeight="false" outlineLevel="0" collapsed="false">
      <c r="A528" s="440"/>
      <c r="B528" s="435" t="e">
        <f aca="false">G513</f>
        <v>#VALUE!</v>
      </c>
      <c r="C528" s="424"/>
      <c r="D528" s="424"/>
      <c r="E528" s="424"/>
      <c r="F528" s="424"/>
      <c r="G528" s="424"/>
      <c r="H528" s="424"/>
      <c r="I528" s="424"/>
      <c r="J528" s="424"/>
      <c r="K528" s="424"/>
      <c r="L528" s="424"/>
      <c r="M528" s="424"/>
      <c r="N528" s="424"/>
      <c r="O528" s="424"/>
      <c r="P528" s="424"/>
      <c r="Q528" s="435" t="n">
        <v>33</v>
      </c>
      <c r="R528" s="434" t="s">
        <v>511</v>
      </c>
      <c r="S528" s="424"/>
      <c r="T528" s="434" t="s">
        <v>512</v>
      </c>
      <c r="U528" s="434" t="s">
        <v>513</v>
      </c>
      <c r="V528" s="436" t="n">
        <f aca="false">AY533</f>
        <v>0</v>
      </c>
    </row>
    <row r="529" customFormat="false" ht="13.5" hidden="false" customHeight="false" outlineLevel="0" collapsed="false">
      <c r="A529" s="440"/>
      <c r="B529" s="435" t="str">
        <f aca="false">H513</f>
        <v> Tiga ratus</v>
      </c>
      <c r="C529" s="424"/>
      <c r="D529" s="424"/>
      <c r="E529" s="424"/>
      <c r="F529" s="424"/>
      <c r="G529" s="424"/>
      <c r="H529" s="424"/>
      <c r="I529" s="424"/>
      <c r="J529" s="424"/>
      <c r="K529" s="424"/>
      <c r="L529" s="424"/>
      <c r="M529" s="424"/>
      <c r="N529" s="424"/>
      <c r="O529" s="424"/>
      <c r="P529" s="424"/>
      <c r="Q529" s="435" t="n">
        <v>34</v>
      </c>
      <c r="R529" s="434" t="s">
        <v>514</v>
      </c>
      <c r="S529" s="424"/>
      <c r="T529" s="434" t="s">
        <v>515</v>
      </c>
      <c r="U529" s="434" t="s">
        <v>516</v>
      </c>
      <c r="V529" s="436" t="n">
        <f aca="false">AY534</f>
        <v>0</v>
      </c>
    </row>
    <row r="530" customFormat="false" ht="13.5" hidden="false" customHeight="false" outlineLevel="0" collapsed="false">
      <c r="A530" s="440"/>
      <c r="B530" s="435" t="str">
        <f aca="false">I513</f>
        <v>  Lima puluh</v>
      </c>
      <c r="C530" s="424"/>
      <c r="D530" s="424"/>
      <c r="E530" s="424"/>
      <c r="F530" s="424"/>
      <c r="G530" s="424"/>
      <c r="H530" s="424"/>
      <c r="I530" s="424"/>
      <c r="J530" s="424"/>
      <c r="K530" s="424"/>
      <c r="L530" s="424"/>
      <c r="M530" s="424"/>
      <c r="N530" s="424"/>
      <c r="O530" s="424"/>
      <c r="P530" s="424"/>
      <c r="Q530" s="435" t="n">
        <v>35</v>
      </c>
      <c r="R530" s="434" t="s">
        <v>517</v>
      </c>
      <c r="S530" s="424"/>
      <c r="T530" s="434" t="s">
        <v>518</v>
      </c>
      <c r="U530" s="434" t="s">
        <v>519</v>
      </c>
      <c r="V530" s="436" t="n">
        <f aca="false">AY535</f>
        <v>0</v>
      </c>
    </row>
    <row r="531" customFormat="false" ht="13.5" hidden="false" customHeight="false" outlineLevel="0" collapsed="false">
      <c r="A531" s="440"/>
      <c r="B531" s="435" t="str">
        <f aca="false">J513</f>
        <v> ribu</v>
      </c>
      <c r="C531" s="424"/>
      <c r="D531" s="424"/>
      <c r="E531" s="424"/>
      <c r="F531" s="424"/>
      <c r="G531" s="424"/>
      <c r="H531" s="424"/>
      <c r="I531" s="424"/>
      <c r="J531" s="424"/>
      <c r="K531" s="424"/>
      <c r="L531" s="424"/>
      <c r="M531" s="424"/>
      <c r="N531" s="424"/>
      <c r="O531" s="424"/>
      <c r="P531" s="424"/>
      <c r="Q531" s="435" t="n">
        <v>36</v>
      </c>
      <c r="R531" s="434" t="s">
        <v>520</v>
      </c>
      <c r="S531" s="424"/>
      <c r="T531" s="434" t="s">
        <v>521</v>
      </c>
      <c r="U531" s="434" t="s">
        <v>522</v>
      </c>
      <c r="V531" s="436" t="n">
        <f aca="false">AY536</f>
        <v>0</v>
      </c>
    </row>
    <row r="532" customFormat="false" ht="13.5" hidden="false" customHeight="false" outlineLevel="0" collapsed="false">
      <c r="A532" s="440"/>
      <c r="B532" s="440" t="str">
        <f aca="false">K513</f>
        <v/>
      </c>
      <c r="C532" s="424"/>
      <c r="D532" s="424"/>
      <c r="E532" s="424"/>
      <c r="F532" s="424"/>
      <c r="G532" s="424"/>
      <c r="H532" s="424"/>
      <c r="I532" s="424"/>
      <c r="J532" s="424"/>
      <c r="K532" s="424"/>
      <c r="L532" s="424"/>
      <c r="M532" s="424"/>
      <c r="N532" s="424"/>
      <c r="O532" s="424"/>
      <c r="P532" s="424"/>
      <c r="Q532" s="435" t="n">
        <v>37</v>
      </c>
      <c r="R532" s="434" t="s">
        <v>523</v>
      </c>
      <c r="S532" s="424"/>
      <c r="T532" s="434" t="s">
        <v>524</v>
      </c>
      <c r="U532" s="434" t="s">
        <v>525</v>
      </c>
      <c r="V532" s="436" t="n">
        <f aca="false">AY537</f>
        <v>0</v>
      </c>
    </row>
    <row r="533" customFormat="false" ht="13.5" hidden="false" customHeight="false" outlineLevel="0" collapsed="false">
      <c r="A533" s="440"/>
      <c r="B533" s="435" t="str">
        <f aca="false">L513</f>
        <v/>
      </c>
      <c r="C533" s="424"/>
      <c r="D533" s="424"/>
      <c r="E533" s="424"/>
      <c r="F533" s="424"/>
      <c r="G533" s="424"/>
      <c r="H533" s="424"/>
      <c r="I533" s="424"/>
      <c r="J533" s="424"/>
      <c r="K533" s="424"/>
      <c r="L533" s="424"/>
      <c r="M533" s="424"/>
      <c r="N533" s="424"/>
      <c r="O533" s="424"/>
      <c r="P533" s="424"/>
      <c r="Q533" s="435" t="n">
        <v>38</v>
      </c>
      <c r="R533" s="434" t="s">
        <v>526</v>
      </c>
      <c r="S533" s="424"/>
      <c r="T533" s="434" t="s">
        <v>527</v>
      </c>
      <c r="U533" s="434" t="s">
        <v>528</v>
      </c>
      <c r="V533" s="436" t="n">
        <f aca="false">AY538</f>
        <v>0</v>
      </c>
    </row>
    <row r="534" customFormat="false" ht="13.5" hidden="false" customHeight="false" outlineLevel="0" collapsed="false">
      <c r="A534" s="440"/>
      <c r="B534" s="435" t="str">
        <f aca="false">M513</f>
        <v> Rupiah </v>
      </c>
      <c r="C534" s="424"/>
      <c r="D534" s="424"/>
      <c r="E534" s="424"/>
      <c r="F534" s="424"/>
      <c r="G534" s="424"/>
      <c r="H534" s="424"/>
      <c r="I534" s="424"/>
      <c r="J534" s="424"/>
      <c r="K534" s="424"/>
      <c r="L534" s="424"/>
      <c r="M534" s="424"/>
      <c r="N534" s="424"/>
      <c r="O534" s="424"/>
      <c r="P534" s="424"/>
      <c r="Q534" s="435" t="n">
        <v>39</v>
      </c>
      <c r="R534" s="434" t="s">
        <v>529</v>
      </c>
      <c r="S534" s="424"/>
      <c r="T534" s="434" t="s">
        <v>530</v>
      </c>
      <c r="U534" s="434" t="s">
        <v>531</v>
      </c>
      <c r="V534" s="436" t="n">
        <f aca="false">AY539</f>
        <v>0</v>
      </c>
    </row>
    <row r="535" customFormat="false" ht="13.5" hidden="false" customHeight="false" outlineLevel="0" collapsed="false">
      <c r="A535" s="436" t="e">
        <f aca="false">+#REF!</f>
        <v>#REF!</v>
      </c>
      <c r="B535" s="435" t="str">
        <f aca="false">O513</f>
        <v/>
      </c>
      <c r="C535" s="424"/>
      <c r="D535" s="424"/>
      <c r="E535" s="424"/>
      <c r="F535" s="424"/>
      <c r="G535" s="424"/>
      <c r="H535" s="424"/>
      <c r="I535" s="424"/>
      <c r="J535" s="424"/>
      <c r="K535" s="424"/>
      <c r="L535" s="424"/>
      <c r="M535" s="424"/>
      <c r="N535" s="424"/>
      <c r="O535" s="424"/>
      <c r="P535" s="424"/>
      <c r="Q535" s="435" t="n">
        <v>40</v>
      </c>
      <c r="R535" s="434" t="s">
        <v>532</v>
      </c>
      <c r="S535" s="424"/>
      <c r="T535" s="434" t="s">
        <v>533</v>
      </c>
      <c r="U535" s="434" t="s">
        <v>534</v>
      </c>
      <c r="V535" s="436" t="n">
        <f aca="false">AY540</f>
        <v>0</v>
      </c>
    </row>
    <row r="536" customFormat="false" ht="13.5" hidden="false" customHeight="false" outlineLevel="0" collapsed="false">
      <c r="A536" s="440"/>
      <c r="B536" s="435" t="str">
        <f aca="false">IF(N511&gt;0,"-","====")</f>
        <v>====</v>
      </c>
      <c r="C536" s="424"/>
      <c r="D536" s="424"/>
      <c r="E536" s="424"/>
      <c r="F536" s="424"/>
      <c r="G536" s="424"/>
      <c r="H536" s="424"/>
      <c r="I536" s="424"/>
      <c r="J536" s="424"/>
      <c r="K536" s="424"/>
      <c r="L536" s="424"/>
      <c r="M536" s="424"/>
      <c r="N536" s="424"/>
      <c r="O536" s="424"/>
      <c r="P536" s="424"/>
      <c r="Q536" s="435" t="n">
        <v>41</v>
      </c>
      <c r="R536" s="434" t="s">
        <v>535</v>
      </c>
      <c r="S536" s="424"/>
      <c r="T536" s="434" t="s">
        <v>536</v>
      </c>
      <c r="U536" s="434" t="s">
        <v>537</v>
      </c>
      <c r="V536" s="436" t="n">
        <f aca="false">AY541</f>
        <v>0</v>
      </c>
    </row>
    <row r="537" customFormat="false" ht="13.5" hidden="false" customHeight="false" outlineLevel="0" collapsed="false">
      <c r="A537" s="444" t="e">
        <f aca="false">B513&amp;C513&amp;D513&amp;E513&amp;F513&amp;G513&amp;H513&amp;I513&amp;J513&amp;K513&amp;L513&amp;M513&amp;O513</f>
        <v>#N/A</v>
      </c>
      <c r="B537" s="424"/>
      <c r="C537" s="424"/>
      <c r="D537" s="424"/>
      <c r="E537" s="424"/>
      <c r="F537" s="424"/>
      <c r="G537" s="424"/>
      <c r="H537" s="424"/>
      <c r="I537" s="424"/>
      <c r="J537" s="424"/>
      <c r="K537" s="424"/>
      <c r="L537" s="424"/>
      <c r="M537" s="424"/>
      <c r="N537" s="424"/>
      <c r="O537" s="424"/>
      <c r="P537" s="424"/>
      <c r="Q537" s="435" t="n">
        <v>42</v>
      </c>
      <c r="R537" s="434" t="s">
        <v>538</v>
      </c>
      <c r="S537" s="424"/>
      <c r="T537" s="434" t="s">
        <v>539</v>
      </c>
      <c r="U537" s="434" t="s">
        <v>540</v>
      </c>
      <c r="V537" s="436" t="n">
        <f aca="false">AY542</f>
        <v>0</v>
      </c>
    </row>
    <row r="538" customFormat="false" ht="13.5" hidden="false" customHeight="false" outlineLevel="0" collapsed="false">
      <c r="A538" s="440" t="str">
        <f aca="false">I513&amp;J513&amp;K513&amp;L513&amp;M513&amp;O513</f>
        <v>  Lima puluh ribu Rupiah </v>
      </c>
      <c r="B538" s="424"/>
      <c r="C538" s="424"/>
      <c r="D538" s="424"/>
      <c r="E538" s="424"/>
      <c r="F538" s="424"/>
      <c r="G538" s="424"/>
      <c r="H538" s="424"/>
      <c r="I538" s="424"/>
      <c r="J538" s="424"/>
      <c r="K538" s="424"/>
      <c r="L538" s="424"/>
      <c r="M538" s="424"/>
      <c r="N538" s="424"/>
      <c r="O538" s="424"/>
      <c r="P538" s="424"/>
      <c r="Q538" s="435" t="n">
        <v>43</v>
      </c>
      <c r="R538" s="434" t="s">
        <v>541</v>
      </c>
      <c r="S538" s="424"/>
      <c r="T538" s="434" t="s">
        <v>542</v>
      </c>
      <c r="U538" s="434" t="s">
        <v>543</v>
      </c>
      <c r="V538" s="436" t="n">
        <f aca="false">AY543</f>
        <v>0</v>
      </c>
    </row>
    <row r="539" customFormat="false" ht="13.5" hidden="false" customHeight="false" outlineLevel="0" collapsed="false">
      <c r="A539" s="440"/>
      <c r="B539" s="424"/>
      <c r="C539" s="424"/>
      <c r="D539" s="424"/>
      <c r="E539" s="424"/>
      <c r="F539" s="424"/>
      <c r="G539" s="424"/>
      <c r="H539" s="424"/>
      <c r="I539" s="424"/>
      <c r="J539" s="424"/>
      <c r="K539" s="424"/>
      <c r="L539" s="424"/>
      <c r="M539" s="424"/>
      <c r="N539" s="424"/>
      <c r="O539" s="424"/>
      <c r="P539" s="424"/>
      <c r="Q539" s="435" t="n">
        <v>44</v>
      </c>
      <c r="R539" s="434" t="s">
        <v>544</v>
      </c>
      <c r="S539" s="424"/>
      <c r="T539" s="434" t="s">
        <v>545</v>
      </c>
      <c r="U539" s="434" t="s">
        <v>546</v>
      </c>
      <c r="V539" s="436" t="n">
        <f aca="false">AY544</f>
        <v>0</v>
      </c>
    </row>
    <row r="540" customFormat="false" ht="13.5" hidden="false" customHeight="false" outlineLevel="0" collapsed="false">
      <c r="A540" s="440"/>
      <c r="B540" s="424"/>
      <c r="C540" s="424"/>
      <c r="D540" s="424"/>
      <c r="E540" s="424"/>
      <c r="F540" s="424"/>
      <c r="G540" s="424"/>
      <c r="H540" s="424"/>
      <c r="I540" s="424"/>
      <c r="J540" s="424"/>
      <c r="K540" s="424"/>
      <c r="L540" s="424"/>
      <c r="M540" s="424"/>
      <c r="N540" s="424"/>
      <c r="O540" s="424"/>
      <c r="P540" s="424"/>
      <c r="Q540" s="435" t="n">
        <v>45</v>
      </c>
      <c r="R540" s="434" t="s">
        <v>547</v>
      </c>
      <c r="S540" s="424"/>
      <c r="T540" s="434" t="s">
        <v>548</v>
      </c>
      <c r="U540" s="434" t="s">
        <v>549</v>
      </c>
      <c r="V540" s="436" t="n">
        <f aca="false">AY545</f>
        <v>0</v>
      </c>
    </row>
    <row r="541" customFormat="false" ht="13.5" hidden="false" customHeight="false" outlineLevel="0" collapsed="false">
      <c r="A541" s="440"/>
      <c r="B541" s="424"/>
      <c r="C541" s="424"/>
      <c r="D541" s="424"/>
      <c r="E541" s="424"/>
      <c r="F541" s="424"/>
      <c r="G541" s="424"/>
      <c r="H541" s="424"/>
      <c r="I541" s="424"/>
      <c r="J541" s="424"/>
      <c r="K541" s="424"/>
      <c r="L541" s="424"/>
      <c r="M541" s="424"/>
      <c r="N541" s="424"/>
      <c r="O541" s="424"/>
      <c r="P541" s="424"/>
      <c r="Q541" s="435" t="n">
        <v>46</v>
      </c>
      <c r="R541" s="434" t="s">
        <v>550</v>
      </c>
      <c r="S541" s="424"/>
      <c r="T541" s="434" t="s">
        <v>551</v>
      </c>
      <c r="U541" s="434" t="s">
        <v>552</v>
      </c>
      <c r="V541" s="436" t="n">
        <f aca="false">AY546</f>
        <v>0</v>
      </c>
    </row>
    <row r="542" customFormat="false" ht="13.5" hidden="false" customHeight="false" outlineLevel="0" collapsed="false">
      <c r="A542" s="440"/>
      <c r="B542" s="424"/>
      <c r="C542" s="424"/>
      <c r="D542" s="424"/>
      <c r="E542" s="424"/>
      <c r="F542" s="424"/>
      <c r="G542" s="424"/>
      <c r="H542" s="424"/>
      <c r="I542" s="424"/>
      <c r="J542" s="424"/>
      <c r="K542" s="424"/>
      <c r="L542" s="424"/>
      <c r="M542" s="424"/>
      <c r="N542" s="424"/>
      <c r="O542" s="424"/>
      <c r="P542" s="424"/>
      <c r="Q542" s="435" t="n">
        <v>47</v>
      </c>
      <c r="R542" s="434" t="s">
        <v>553</v>
      </c>
      <c r="S542" s="424"/>
      <c r="T542" s="434" t="s">
        <v>554</v>
      </c>
      <c r="U542" s="434" t="s">
        <v>555</v>
      </c>
      <c r="V542" s="436" t="n">
        <f aca="false">AY547</f>
        <v>0</v>
      </c>
    </row>
    <row r="543" customFormat="false" ht="13.5" hidden="false" customHeight="false" outlineLevel="0" collapsed="false">
      <c r="A543" s="424"/>
      <c r="B543" s="424"/>
      <c r="C543" s="424"/>
      <c r="D543" s="424"/>
      <c r="E543" s="424"/>
      <c r="F543" s="424"/>
      <c r="G543" s="424"/>
      <c r="H543" s="424"/>
      <c r="I543" s="424"/>
      <c r="J543" s="424"/>
      <c r="K543" s="424"/>
      <c r="L543" s="424"/>
      <c r="M543" s="424"/>
      <c r="N543" s="424"/>
      <c r="O543" s="424"/>
      <c r="P543" s="424"/>
      <c r="Q543" s="435" t="n">
        <v>48</v>
      </c>
      <c r="R543" s="434" t="s">
        <v>556</v>
      </c>
      <c r="S543" s="424"/>
      <c r="T543" s="434" t="s">
        <v>557</v>
      </c>
      <c r="U543" s="434" t="s">
        <v>558</v>
      </c>
      <c r="V543" s="436" t="n">
        <f aca="false">AY548</f>
        <v>0</v>
      </c>
    </row>
    <row r="544" customFormat="false" ht="13.5" hidden="false" customHeight="false" outlineLevel="0" collapsed="false">
      <c r="A544" s="424"/>
      <c r="B544" s="424"/>
      <c r="C544" s="424"/>
      <c r="D544" s="424"/>
      <c r="E544" s="424"/>
      <c r="F544" s="424"/>
      <c r="G544" s="424"/>
      <c r="H544" s="424"/>
      <c r="I544" s="424"/>
      <c r="J544" s="424"/>
      <c r="K544" s="424"/>
      <c r="L544" s="424"/>
      <c r="M544" s="424"/>
      <c r="N544" s="424"/>
      <c r="O544" s="424"/>
      <c r="P544" s="424"/>
      <c r="Q544" s="435" t="n">
        <v>49</v>
      </c>
      <c r="R544" s="434" t="s">
        <v>559</v>
      </c>
      <c r="S544" s="424"/>
      <c r="T544" s="434" t="s">
        <v>560</v>
      </c>
      <c r="U544" s="434" t="s">
        <v>561</v>
      </c>
      <c r="V544" s="436" t="n">
        <f aca="false">AY549</f>
        <v>0</v>
      </c>
    </row>
    <row r="545" customFormat="false" ht="13.5" hidden="false" customHeight="false" outlineLevel="0" collapsed="false">
      <c r="A545" s="424"/>
      <c r="B545" s="424"/>
      <c r="C545" s="424"/>
      <c r="D545" s="424"/>
      <c r="E545" s="424"/>
      <c r="F545" s="424"/>
      <c r="G545" s="424"/>
      <c r="H545" s="424"/>
      <c r="I545" s="424"/>
      <c r="J545" s="424"/>
      <c r="K545" s="424"/>
      <c r="L545" s="424"/>
      <c r="M545" s="424"/>
      <c r="N545" s="424"/>
      <c r="O545" s="424"/>
      <c r="P545" s="424"/>
      <c r="Q545" s="435" t="n">
        <v>50</v>
      </c>
      <c r="R545" s="434" t="s">
        <v>562</v>
      </c>
      <c r="S545" s="424"/>
      <c r="T545" s="434" t="s">
        <v>563</v>
      </c>
      <c r="U545" s="434" t="s">
        <v>564</v>
      </c>
      <c r="V545" s="436" t="n">
        <f aca="false">AY550</f>
        <v>0</v>
      </c>
    </row>
    <row r="546" customFormat="false" ht="13.5" hidden="false" customHeight="false" outlineLevel="0" collapsed="false">
      <c r="A546" s="424"/>
      <c r="B546" s="424"/>
      <c r="C546" s="424"/>
      <c r="D546" s="424"/>
      <c r="E546" s="424"/>
      <c r="F546" s="424"/>
      <c r="G546" s="424"/>
      <c r="H546" s="424"/>
      <c r="I546" s="424"/>
      <c r="J546" s="424"/>
      <c r="K546" s="424"/>
      <c r="L546" s="424"/>
      <c r="M546" s="424"/>
      <c r="N546" s="424"/>
      <c r="O546" s="424"/>
      <c r="P546" s="424"/>
      <c r="Q546" s="435" t="n">
        <v>51</v>
      </c>
      <c r="R546" s="434" t="s">
        <v>565</v>
      </c>
      <c r="S546" s="424"/>
      <c r="T546" s="434" t="s">
        <v>566</v>
      </c>
      <c r="U546" s="434" t="s">
        <v>567</v>
      </c>
      <c r="V546" s="436" t="n">
        <f aca="false">AY551</f>
        <v>0</v>
      </c>
    </row>
    <row r="547" customFormat="false" ht="13.5" hidden="false" customHeight="false" outlineLevel="0" collapsed="false">
      <c r="A547" s="424"/>
      <c r="B547" s="424"/>
      <c r="C547" s="424"/>
      <c r="D547" s="424"/>
      <c r="E547" s="424"/>
      <c r="F547" s="424"/>
      <c r="G547" s="424"/>
      <c r="H547" s="424"/>
      <c r="I547" s="424"/>
      <c r="J547" s="424"/>
      <c r="K547" s="424"/>
      <c r="L547" s="424"/>
      <c r="M547" s="424"/>
      <c r="N547" s="424"/>
      <c r="O547" s="424"/>
      <c r="P547" s="424"/>
      <c r="Q547" s="435" t="n">
        <v>52</v>
      </c>
      <c r="R547" s="434" t="s">
        <v>568</v>
      </c>
      <c r="S547" s="424"/>
      <c r="T547" s="434" t="s">
        <v>569</v>
      </c>
      <c r="U547" s="434" t="s">
        <v>570</v>
      </c>
      <c r="V547" s="436" t="n">
        <f aca="false">AY552</f>
        <v>0</v>
      </c>
    </row>
    <row r="548" customFormat="false" ht="13.5" hidden="false" customHeight="false" outlineLevel="0" collapsed="false">
      <c r="A548" s="424"/>
      <c r="B548" s="424"/>
      <c r="C548" s="424"/>
      <c r="D548" s="424"/>
      <c r="E548" s="424"/>
      <c r="F548" s="424"/>
      <c r="G548" s="424"/>
      <c r="H548" s="424"/>
      <c r="I548" s="424"/>
      <c r="J548" s="424"/>
      <c r="K548" s="424"/>
      <c r="L548" s="424"/>
      <c r="M548" s="424"/>
      <c r="N548" s="424"/>
      <c r="O548" s="424"/>
      <c r="P548" s="424"/>
      <c r="Q548" s="435" t="n">
        <v>53</v>
      </c>
      <c r="R548" s="434" t="s">
        <v>571</v>
      </c>
      <c r="S548" s="424"/>
      <c r="T548" s="434" t="s">
        <v>572</v>
      </c>
      <c r="U548" s="434" t="s">
        <v>573</v>
      </c>
      <c r="V548" s="436" t="n">
        <f aca="false">AY553</f>
        <v>0</v>
      </c>
    </row>
    <row r="549" customFormat="false" ht="13.5" hidden="false" customHeight="false" outlineLevel="0" collapsed="false">
      <c r="A549" s="424"/>
      <c r="B549" s="424"/>
      <c r="C549" s="424"/>
      <c r="D549" s="424"/>
      <c r="E549" s="424"/>
      <c r="F549" s="424"/>
      <c r="G549" s="424"/>
      <c r="H549" s="424"/>
      <c r="I549" s="424"/>
      <c r="J549" s="424"/>
      <c r="K549" s="424"/>
      <c r="L549" s="424"/>
      <c r="M549" s="424"/>
      <c r="N549" s="424"/>
      <c r="O549" s="424"/>
      <c r="P549" s="424"/>
      <c r="Q549" s="435" t="n">
        <v>54</v>
      </c>
      <c r="R549" s="434" t="s">
        <v>574</v>
      </c>
      <c r="S549" s="424"/>
      <c r="T549" s="434" t="s">
        <v>575</v>
      </c>
      <c r="U549" s="434" t="s">
        <v>576</v>
      </c>
      <c r="V549" s="436" t="n">
        <f aca="false">AY554</f>
        <v>0</v>
      </c>
    </row>
    <row r="550" customFormat="false" ht="13.5" hidden="false" customHeight="false" outlineLevel="0" collapsed="false">
      <c r="A550" s="424"/>
      <c r="B550" s="424"/>
      <c r="C550" s="424"/>
      <c r="D550" s="424"/>
      <c r="E550" s="424"/>
      <c r="F550" s="424"/>
      <c r="G550" s="424"/>
      <c r="H550" s="424"/>
      <c r="I550" s="424"/>
      <c r="J550" s="424"/>
      <c r="K550" s="424"/>
      <c r="L550" s="424"/>
      <c r="M550" s="424"/>
      <c r="N550" s="424"/>
      <c r="O550" s="424"/>
      <c r="P550" s="424"/>
      <c r="Q550" s="435" t="n">
        <v>55</v>
      </c>
      <c r="R550" s="434" t="s">
        <v>577</v>
      </c>
      <c r="S550" s="424"/>
      <c r="T550" s="434" t="s">
        <v>578</v>
      </c>
      <c r="U550" s="434" t="s">
        <v>579</v>
      </c>
      <c r="V550" s="436" t="n">
        <f aca="false">AY555</f>
        <v>0</v>
      </c>
    </row>
    <row r="551" customFormat="false" ht="13.5" hidden="false" customHeight="false" outlineLevel="0" collapsed="false">
      <c r="A551" s="424"/>
      <c r="B551" s="424"/>
      <c r="C551" s="424"/>
      <c r="D551" s="424"/>
      <c r="E551" s="424"/>
      <c r="F551" s="424"/>
      <c r="G551" s="424"/>
      <c r="H551" s="424"/>
      <c r="I551" s="424"/>
      <c r="J551" s="424"/>
      <c r="K551" s="424"/>
      <c r="L551" s="424"/>
      <c r="M551" s="424"/>
      <c r="N551" s="424"/>
      <c r="O551" s="424"/>
      <c r="P551" s="424"/>
      <c r="Q551" s="435" t="n">
        <v>56</v>
      </c>
      <c r="R551" s="434" t="s">
        <v>580</v>
      </c>
      <c r="S551" s="424"/>
      <c r="T551" s="434" t="s">
        <v>581</v>
      </c>
      <c r="U551" s="434" t="s">
        <v>582</v>
      </c>
      <c r="V551" s="436" t="n">
        <f aca="false">AY556</f>
        <v>0</v>
      </c>
    </row>
    <row r="552" customFormat="false" ht="13.5" hidden="false" customHeight="false" outlineLevel="0" collapsed="false">
      <c r="A552" s="424"/>
      <c r="B552" s="424"/>
      <c r="C552" s="424"/>
      <c r="D552" s="424"/>
      <c r="E552" s="424"/>
      <c r="F552" s="424"/>
      <c r="G552" s="424"/>
      <c r="H552" s="424"/>
      <c r="I552" s="424"/>
      <c r="J552" s="424"/>
      <c r="K552" s="424"/>
      <c r="L552" s="424"/>
      <c r="M552" s="424"/>
      <c r="N552" s="424"/>
      <c r="O552" s="424"/>
      <c r="P552" s="424"/>
      <c r="Q552" s="435" t="n">
        <v>57</v>
      </c>
      <c r="R552" s="434" t="s">
        <v>583</v>
      </c>
      <c r="S552" s="424"/>
      <c r="T552" s="434" t="s">
        <v>584</v>
      </c>
      <c r="U552" s="434" t="s">
        <v>585</v>
      </c>
      <c r="V552" s="436" t="n">
        <f aca="false">AY557</f>
        <v>0</v>
      </c>
    </row>
    <row r="553" customFormat="false" ht="13.5" hidden="false" customHeight="false" outlineLevel="0" collapsed="false">
      <c r="A553" s="424"/>
      <c r="B553" s="424"/>
      <c r="C553" s="424"/>
      <c r="D553" s="424"/>
      <c r="E553" s="424"/>
      <c r="F553" s="424"/>
      <c r="G553" s="424"/>
      <c r="H553" s="424"/>
      <c r="I553" s="424"/>
      <c r="J553" s="424"/>
      <c r="K553" s="424"/>
      <c r="L553" s="424"/>
      <c r="M553" s="424"/>
      <c r="N553" s="424"/>
      <c r="O553" s="424"/>
      <c r="P553" s="424"/>
      <c r="Q553" s="435" t="n">
        <v>58</v>
      </c>
      <c r="R553" s="434" t="s">
        <v>586</v>
      </c>
      <c r="S553" s="424"/>
      <c r="T553" s="434" t="s">
        <v>587</v>
      </c>
      <c r="U553" s="434" t="s">
        <v>588</v>
      </c>
      <c r="V553" s="436" t="n">
        <f aca="false">AY558</f>
        <v>0</v>
      </c>
    </row>
    <row r="554" customFormat="false" ht="13.5" hidden="false" customHeight="false" outlineLevel="0" collapsed="false">
      <c r="A554" s="424"/>
      <c r="B554" s="424"/>
      <c r="C554" s="424"/>
      <c r="D554" s="424"/>
      <c r="E554" s="424"/>
      <c r="F554" s="424"/>
      <c r="G554" s="424"/>
      <c r="H554" s="424"/>
      <c r="I554" s="424"/>
      <c r="J554" s="424"/>
      <c r="K554" s="424"/>
      <c r="L554" s="424"/>
      <c r="M554" s="424"/>
      <c r="N554" s="424"/>
      <c r="O554" s="424"/>
      <c r="P554" s="424"/>
      <c r="Q554" s="435" t="n">
        <v>59</v>
      </c>
      <c r="R554" s="434" t="s">
        <v>589</v>
      </c>
      <c r="S554" s="424"/>
      <c r="T554" s="434" t="s">
        <v>590</v>
      </c>
      <c r="U554" s="434" t="s">
        <v>591</v>
      </c>
      <c r="V554" s="436" t="n">
        <f aca="false">AY559</f>
        <v>0</v>
      </c>
    </row>
    <row r="555" customFormat="false" ht="13.5" hidden="false" customHeight="false" outlineLevel="0" collapsed="false">
      <c r="A555" s="424"/>
      <c r="B555" s="424"/>
      <c r="C555" s="424"/>
      <c r="D555" s="424"/>
      <c r="E555" s="424"/>
      <c r="F555" s="424"/>
      <c r="G555" s="424"/>
      <c r="H555" s="424"/>
      <c r="I555" s="424"/>
      <c r="J555" s="424"/>
      <c r="K555" s="424"/>
      <c r="L555" s="424"/>
      <c r="M555" s="424"/>
      <c r="N555" s="424"/>
      <c r="O555" s="424"/>
      <c r="P555" s="424"/>
      <c r="Q555" s="435" t="n">
        <v>60</v>
      </c>
      <c r="R555" s="434" t="s">
        <v>592</v>
      </c>
      <c r="S555" s="424"/>
      <c r="T555" s="434" t="s">
        <v>593</v>
      </c>
      <c r="U555" s="434" t="s">
        <v>594</v>
      </c>
      <c r="V555" s="436" t="n">
        <f aca="false">AY560</f>
        <v>0</v>
      </c>
    </row>
    <row r="556" customFormat="false" ht="13.5" hidden="false" customHeight="false" outlineLevel="0" collapsed="false">
      <c r="A556" s="424"/>
      <c r="B556" s="424"/>
      <c r="C556" s="424"/>
      <c r="D556" s="424"/>
      <c r="E556" s="424"/>
      <c r="F556" s="424"/>
      <c r="G556" s="424"/>
      <c r="H556" s="424"/>
      <c r="I556" s="424"/>
      <c r="J556" s="424"/>
      <c r="K556" s="424"/>
      <c r="L556" s="424"/>
      <c r="M556" s="424"/>
      <c r="N556" s="424"/>
      <c r="O556" s="424"/>
      <c r="P556" s="424"/>
      <c r="Q556" s="435" t="n">
        <v>61</v>
      </c>
      <c r="R556" s="434" t="s">
        <v>595</v>
      </c>
      <c r="S556" s="424"/>
      <c r="T556" s="434" t="s">
        <v>596</v>
      </c>
      <c r="U556" s="434" t="s">
        <v>597</v>
      </c>
      <c r="V556" s="436" t="n">
        <f aca="false">AY561</f>
        <v>0</v>
      </c>
    </row>
    <row r="557" customFormat="false" ht="13.5" hidden="false" customHeight="false" outlineLevel="0" collapsed="false">
      <c r="A557" s="424"/>
      <c r="B557" s="424"/>
      <c r="C557" s="424"/>
      <c r="D557" s="424"/>
      <c r="E557" s="424"/>
      <c r="F557" s="424"/>
      <c r="G557" s="424"/>
      <c r="H557" s="424"/>
      <c r="I557" s="424"/>
      <c r="J557" s="424"/>
      <c r="K557" s="424"/>
      <c r="L557" s="424"/>
      <c r="M557" s="424"/>
      <c r="N557" s="424"/>
      <c r="O557" s="424"/>
      <c r="P557" s="424"/>
      <c r="Q557" s="435" t="n">
        <v>62</v>
      </c>
      <c r="R557" s="434" t="s">
        <v>598</v>
      </c>
      <c r="S557" s="424"/>
      <c r="T557" s="434" t="s">
        <v>599</v>
      </c>
      <c r="U557" s="434" t="s">
        <v>600</v>
      </c>
      <c r="V557" s="436" t="n">
        <f aca="false">AY562</f>
        <v>0</v>
      </c>
    </row>
    <row r="558" customFormat="false" ht="13.5" hidden="false" customHeight="false" outlineLevel="0" collapsed="false">
      <c r="A558" s="424"/>
      <c r="B558" s="424"/>
      <c r="C558" s="424"/>
      <c r="D558" s="424"/>
      <c r="E558" s="424"/>
      <c r="F558" s="424"/>
      <c r="G558" s="424"/>
      <c r="H558" s="424"/>
      <c r="I558" s="424"/>
      <c r="J558" s="424"/>
      <c r="K558" s="424"/>
      <c r="L558" s="424"/>
      <c r="M558" s="424"/>
      <c r="N558" s="424"/>
      <c r="O558" s="424"/>
      <c r="P558" s="424"/>
      <c r="Q558" s="435" t="n">
        <v>63</v>
      </c>
      <c r="R558" s="434" t="s">
        <v>601</v>
      </c>
      <c r="S558" s="424"/>
      <c r="T558" s="434" t="s">
        <v>602</v>
      </c>
      <c r="U558" s="434" t="s">
        <v>603</v>
      </c>
      <c r="V558" s="436" t="n">
        <f aca="false">AY563</f>
        <v>0</v>
      </c>
    </row>
    <row r="559" customFormat="false" ht="13.5" hidden="false" customHeight="false" outlineLevel="0" collapsed="false">
      <c r="A559" s="424"/>
      <c r="B559" s="424"/>
      <c r="C559" s="424"/>
      <c r="D559" s="424"/>
      <c r="E559" s="424"/>
      <c r="F559" s="424"/>
      <c r="G559" s="424"/>
      <c r="H559" s="424"/>
      <c r="I559" s="424"/>
      <c r="J559" s="424"/>
      <c r="K559" s="424"/>
      <c r="L559" s="424"/>
      <c r="M559" s="424"/>
      <c r="N559" s="424"/>
      <c r="O559" s="424"/>
      <c r="P559" s="424"/>
      <c r="Q559" s="435" t="n">
        <v>64</v>
      </c>
      <c r="R559" s="434" t="s">
        <v>604</v>
      </c>
      <c r="S559" s="424"/>
      <c r="T559" s="434" t="s">
        <v>605</v>
      </c>
      <c r="U559" s="434" t="s">
        <v>606</v>
      </c>
      <c r="V559" s="436" t="n">
        <f aca="false">AY564</f>
        <v>0</v>
      </c>
    </row>
    <row r="560" customFormat="false" ht="13.5" hidden="false" customHeight="false" outlineLevel="0" collapsed="false">
      <c r="A560" s="424"/>
      <c r="B560" s="424"/>
      <c r="C560" s="424"/>
      <c r="D560" s="424"/>
      <c r="E560" s="424"/>
      <c r="F560" s="424"/>
      <c r="G560" s="424"/>
      <c r="H560" s="424"/>
      <c r="I560" s="424"/>
      <c r="J560" s="424"/>
      <c r="K560" s="424"/>
      <c r="L560" s="424"/>
      <c r="M560" s="424"/>
      <c r="N560" s="424"/>
      <c r="O560" s="424"/>
      <c r="P560" s="424"/>
      <c r="Q560" s="435" t="n">
        <v>65</v>
      </c>
      <c r="R560" s="434" t="s">
        <v>607</v>
      </c>
      <c r="S560" s="424"/>
      <c r="T560" s="434" t="s">
        <v>608</v>
      </c>
      <c r="U560" s="434" t="s">
        <v>609</v>
      </c>
      <c r="V560" s="436" t="n">
        <f aca="false">AY565</f>
        <v>0</v>
      </c>
    </row>
    <row r="561" customFormat="false" ht="13.5" hidden="false" customHeight="false" outlineLevel="0" collapsed="false">
      <c r="A561" s="424"/>
      <c r="B561" s="424"/>
      <c r="C561" s="424"/>
      <c r="D561" s="424"/>
      <c r="E561" s="424"/>
      <c r="F561" s="424"/>
      <c r="G561" s="424"/>
      <c r="H561" s="424"/>
      <c r="I561" s="424"/>
      <c r="J561" s="424"/>
      <c r="K561" s="424"/>
      <c r="L561" s="424"/>
      <c r="M561" s="424"/>
      <c r="N561" s="424"/>
      <c r="O561" s="424"/>
      <c r="P561" s="424"/>
      <c r="Q561" s="435" t="n">
        <v>66</v>
      </c>
      <c r="R561" s="434" t="s">
        <v>610</v>
      </c>
      <c r="S561" s="424"/>
      <c r="T561" s="434" t="s">
        <v>611</v>
      </c>
      <c r="U561" s="434" t="s">
        <v>612</v>
      </c>
      <c r="V561" s="436" t="n">
        <f aca="false">AY566</f>
        <v>0</v>
      </c>
    </row>
    <row r="562" customFormat="false" ht="13.5" hidden="false" customHeight="false" outlineLevel="0" collapsed="false">
      <c r="A562" s="424"/>
      <c r="B562" s="424"/>
      <c r="C562" s="424"/>
      <c r="D562" s="424"/>
      <c r="E562" s="424"/>
      <c r="F562" s="424"/>
      <c r="G562" s="424"/>
      <c r="H562" s="424"/>
      <c r="I562" s="424"/>
      <c r="J562" s="424"/>
      <c r="K562" s="424"/>
      <c r="L562" s="424"/>
      <c r="M562" s="424"/>
      <c r="N562" s="424"/>
      <c r="O562" s="424"/>
      <c r="P562" s="424"/>
      <c r="Q562" s="435" t="n">
        <v>67</v>
      </c>
      <c r="R562" s="434" t="s">
        <v>613</v>
      </c>
      <c r="S562" s="424"/>
      <c r="T562" s="434" t="s">
        <v>614</v>
      </c>
      <c r="U562" s="434" t="s">
        <v>615</v>
      </c>
      <c r="V562" s="436" t="n">
        <f aca="false">AY567</f>
        <v>0</v>
      </c>
    </row>
    <row r="563" customFormat="false" ht="13.5" hidden="false" customHeight="false" outlineLevel="0" collapsed="false">
      <c r="A563" s="424"/>
      <c r="B563" s="424"/>
      <c r="C563" s="424"/>
      <c r="D563" s="424"/>
      <c r="E563" s="424"/>
      <c r="F563" s="424"/>
      <c r="G563" s="424"/>
      <c r="H563" s="424"/>
      <c r="I563" s="424"/>
      <c r="J563" s="424"/>
      <c r="K563" s="424"/>
      <c r="L563" s="424"/>
      <c r="M563" s="424"/>
      <c r="N563" s="424"/>
      <c r="O563" s="424"/>
      <c r="P563" s="424"/>
      <c r="Q563" s="435" t="n">
        <v>68</v>
      </c>
      <c r="R563" s="434" t="s">
        <v>616</v>
      </c>
      <c r="S563" s="424"/>
      <c r="T563" s="434" t="s">
        <v>617</v>
      </c>
      <c r="U563" s="434" t="s">
        <v>618</v>
      </c>
      <c r="V563" s="436" t="n">
        <f aca="false">AY568</f>
        <v>0</v>
      </c>
    </row>
    <row r="564" customFormat="false" ht="13.5" hidden="false" customHeight="false" outlineLevel="0" collapsed="false">
      <c r="A564" s="424"/>
      <c r="B564" s="424"/>
      <c r="C564" s="424"/>
      <c r="D564" s="424"/>
      <c r="E564" s="424"/>
      <c r="F564" s="424"/>
      <c r="G564" s="424"/>
      <c r="H564" s="424"/>
      <c r="I564" s="424"/>
      <c r="J564" s="424"/>
      <c r="K564" s="424"/>
      <c r="L564" s="424"/>
      <c r="M564" s="424"/>
      <c r="N564" s="424"/>
      <c r="O564" s="424"/>
      <c r="P564" s="424"/>
      <c r="Q564" s="435" t="n">
        <v>69</v>
      </c>
      <c r="R564" s="434" t="s">
        <v>619</v>
      </c>
      <c r="S564" s="424"/>
      <c r="T564" s="434" t="s">
        <v>620</v>
      </c>
      <c r="U564" s="434" t="s">
        <v>621</v>
      </c>
      <c r="V564" s="436" t="n">
        <f aca="false">AY569</f>
        <v>0</v>
      </c>
    </row>
    <row r="565" customFormat="false" ht="13.5" hidden="false" customHeight="false" outlineLevel="0" collapsed="false">
      <c r="A565" s="424"/>
      <c r="B565" s="424"/>
      <c r="C565" s="424"/>
      <c r="D565" s="424"/>
      <c r="E565" s="424"/>
      <c r="F565" s="424"/>
      <c r="G565" s="424"/>
      <c r="H565" s="424"/>
      <c r="I565" s="424"/>
      <c r="J565" s="424"/>
      <c r="K565" s="424"/>
      <c r="L565" s="424"/>
      <c r="M565" s="424"/>
      <c r="N565" s="424"/>
      <c r="O565" s="424"/>
      <c r="P565" s="424"/>
      <c r="Q565" s="435" t="n">
        <v>70</v>
      </c>
      <c r="R565" s="434" t="s">
        <v>622</v>
      </c>
      <c r="S565" s="424"/>
      <c r="T565" s="434" t="s">
        <v>623</v>
      </c>
      <c r="U565" s="434" t="s">
        <v>624</v>
      </c>
      <c r="V565" s="436" t="n">
        <f aca="false">AY570</f>
        <v>0</v>
      </c>
    </row>
    <row r="566" customFormat="false" ht="13.5" hidden="false" customHeight="false" outlineLevel="0" collapsed="false">
      <c r="A566" s="424"/>
      <c r="B566" s="424"/>
      <c r="C566" s="424"/>
      <c r="D566" s="424"/>
      <c r="E566" s="424"/>
      <c r="F566" s="424"/>
      <c r="G566" s="424"/>
      <c r="H566" s="424"/>
      <c r="I566" s="424"/>
      <c r="J566" s="424"/>
      <c r="K566" s="424"/>
      <c r="L566" s="424"/>
      <c r="M566" s="424"/>
      <c r="N566" s="424"/>
      <c r="O566" s="424"/>
      <c r="P566" s="424"/>
      <c r="Q566" s="435" t="n">
        <v>71</v>
      </c>
      <c r="R566" s="434" t="s">
        <v>625</v>
      </c>
      <c r="S566" s="424"/>
      <c r="T566" s="434" t="s">
        <v>626</v>
      </c>
      <c r="U566" s="434" t="s">
        <v>627</v>
      </c>
      <c r="V566" s="436" t="n">
        <f aca="false">AY571</f>
        <v>0</v>
      </c>
    </row>
    <row r="567" customFormat="false" ht="13.5" hidden="false" customHeight="false" outlineLevel="0" collapsed="false">
      <c r="A567" s="424"/>
      <c r="B567" s="424"/>
      <c r="C567" s="424"/>
      <c r="D567" s="424"/>
      <c r="E567" s="424"/>
      <c r="F567" s="424"/>
      <c r="G567" s="424"/>
      <c r="H567" s="424"/>
      <c r="I567" s="424"/>
      <c r="J567" s="424"/>
      <c r="K567" s="424"/>
      <c r="L567" s="424"/>
      <c r="M567" s="424"/>
      <c r="N567" s="424"/>
      <c r="O567" s="424"/>
      <c r="P567" s="424"/>
      <c r="Q567" s="435" t="n">
        <v>72</v>
      </c>
      <c r="R567" s="434" t="s">
        <v>628</v>
      </c>
      <c r="S567" s="424"/>
      <c r="T567" s="434" t="s">
        <v>629</v>
      </c>
      <c r="U567" s="434" t="s">
        <v>630</v>
      </c>
      <c r="V567" s="436" t="n">
        <f aca="false">AY572</f>
        <v>0</v>
      </c>
    </row>
    <row r="568" customFormat="false" ht="13.5" hidden="false" customHeight="false" outlineLevel="0" collapsed="false">
      <c r="A568" s="424"/>
      <c r="B568" s="424"/>
      <c r="C568" s="424"/>
      <c r="D568" s="424"/>
      <c r="E568" s="424"/>
      <c r="F568" s="424"/>
      <c r="G568" s="424"/>
      <c r="H568" s="424"/>
      <c r="I568" s="424"/>
      <c r="J568" s="424"/>
      <c r="K568" s="424"/>
      <c r="L568" s="424"/>
      <c r="M568" s="424"/>
      <c r="N568" s="424"/>
      <c r="O568" s="424"/>
      <c r="P568" s="424"/>
      <c r="Q568" s="435" t="n">
        <v>73</v>
      </c>
      <c r="R568" s="434" t="s">
        <v>631</v>
      </c>
      <c r="S568" s="424"/>
      <c r="T568" s="434" t="s">
        <v>632</v>
      </c>
      <c r="U568" s="434" t="s">
        <v>633</v>
      </c>
      <c r="V568" s="436" t="n">
        <f aca="false">AY573</f>
        <v>0</v>
      </c>
    </row>
    <row r="569" customFormat="false" ht="13.5" hidden="false" customHeight="false" outlineLevel="0" collapsed="false">
      <c r="A569" s="424"/>
      <c r="B569" s="424"/>
      <c r="C569" s="424"/>
      <c r="D569" s="424"/>
      <c r="E569" s="424"/>
      <c r="F569" s="424"/>
      <c r="G569" s="424"/>
      <c r="H569" s="424"/>
      <c r="I569" s="424"/>
      <c r="J569" s="424"/>
      <c r="K569" s="424"/>
      <c r="L569" s="424"/>
      <c r="M569" s="424"/>
      <c r="N569" s="424"/>
      <c r="O569" s="424"/>
      <c r="P569" s="424"/>
      <c r="Q569" s="435" t="n">
        <v>74</v>
      </c>
      <c r="R569" s="434" t="s">
        <v>634</v>
      </c>
      <c r="S569" s="424"/>
      <c r="T569" s="434" t="s">
        <v>635</v>
      </c>
      <c r="U569" s="434" t="s">
        <v>636</v>
      </c>
      <c r="V569" s="436" t="n">
        <f aca="false">AY574</f>
        <v>0</v>
      </c>
    </row>
    <row r="570" customFormat="false" ht="13.5" hidden="false" customHeight="false" outlineLevel="0" collapsed="false">
      <c r="A570" s="424"/>
      <c r="B570" s="424"/>
      <c r="C570" s="424"/>
      <c r="D570" s="424"/>
      <c r="E570" s="424"/>
      <c r="F570" s="424"/>
      <c r="G570" s="424"/>
      <c r="H570" s="424"/>
      <c r="I570" s="424"/>
      <c r="J570" s="424"/>
      <c r="K570" s="424"/>
      <c r="L570" s="424"/>
      <c r="M570" s="424"/>
      <c r="N570" s="424"/>
      <c r="O570" s="424"/>
      <c r="P570" s="424"/>
      <c r="Q570" s="435" t="n">
        <v>75</v>
      </c>
      <c r="R570" s="434" t="s">
        <v>637</v>
      </c>
      <c r="S570" s="424"/>
      <c r="T570" s="434" t="s">
        <v>638</v>
      </c>
      <c r="U570" s="434" t="s">
        <v>639</v>
      </c>
      <c r="V570" s="436" t="n">
        <f aca="false">AY575</f>
        <v>0</v>
      </c>
    </row>
    <row r="571" customFormat="false" ht="13.5" hidden="false" customHeight="false" outlineLevel="0" collapsed="false">
      <c r="A571" s="424"/>
      <c r="B571" s="424"/>
      <c r="C571" s="424"/>
      <c r="D571" s="424"/>
      <c r="E571" s="424"/>
      <c r="F571" s="424"/>
      <c r="G571" s="424"/>
      <c r="H571" s="424"/>
      <c r="I571" s="424"/>
      <c r="J571" s="424"/>
      <c r="K571" s="424"/>
      <c r="L571" s="424"/>
      <c r="M571" s="424"/>
      <c r="N571" s="424"/>
      <c r="O571" s="424"/>
      <c r="P571" s="424"/>
      <c r="Q571" s="435" t="n">
        <v>76</v>
      </c>
      <c r="R571" s="434" t="s">
        <v>640</v>
      </c>
      <c r="S571" s="424"/>
      <c r="T571" s="434" t="s">
        <v>641</v>
      </c>
      <c r="U571" s="434" t="s">
        <v>642</v>
      </c>
      <c r="V571" s="436" t="n">
        <f aca="false">AY576</f>
        <v>0</v>
      </c>
    </row>
    <row r="572" customFormat="false" ht="13.5" hidden="false" customHeight="false" outlineLevel="0" collapsed="false">
      <c r="A572" s="424"/>
      <c r="B572" s="424"/>
      <c r="C572" s="424"/>
      <c r="D572" s="424"/>
      <c r="E572" s="424"/>
      <c r="F572" s="424"/>
      <c r="G572" s="424"/>
      <c r="H572" s="424"/>
      <c r="I572" s="424"/>
      <c r="J572" s="424"/>
      <c r="K572" s="424"/>
      <c r="L572" s="424"/>
      <c r="M572" s="424"/>
      <c r="N572" s="424"/>
      <c r="O572" s="424"/>
      <c r="P572" s="424"/>
      <c r="Q572" s="435" t="n">
        <v>77</v>
      </c>
      <c r="R572" s="434" t="s">
        <v>643</v>
      </c>
      <c r="S572" s="424"/>
      <c r="T572" s="434" t="s">
        <v>644</v>
      </c>
      <c r="U572" s="434" t="s">
        <v>645</v>
      </c>
      <c r="V572" s="436" t="n">
        <f aca="false">AY577</f>
        <v>0</v>
      </c>
    </row>
    <row r="573" customFormat="false" ht="13.5" hidden="false" customHeight="false" outlineLevel="0" collapsed="false">
      <c r="A573" s="424"/>
      <c r="B573" s="424"/>
      <c r="C573" s="424"/>
      <c r="D573" s="424"/>
      <c r="E573" s="424"/>
      <c r="F573" s="424"/>
      <c r="G573" s="424"/>
      <c r="H573" s="424"/>
      <c r="I573" s="424"/>
      <c r="J573" s="424"/>
      <c r="K573" s="424"/>
      <c r="L573" s="424"/>
      <c r="M573" s="424"/>
      <c r="N573" s="424"/>
      <c r="O573" s="424"/>
      <c r="P573" s="424"/>
      <c r="Q573" s="435" t="n">
        <v>78</v>
      </c>
      <c r="R573" s="434" t="s">
        <v>646</v>
      </c>
      <c r="S573" s="424"/>
      <c r="T573" s="434" t="s">
        <v>647</v>
      </c>
      <c r="U573" s="434" t="s">
        <v>648</v>
      </c>
      <c r="V573" s="436" t="n">
        <f aca="false">AY578</f>
        <v>0</v>
      </c>
    </row>
    <row r="574" customFormat="false" ht="13.5" hidden="false" customHeight="false" outlineLevel="0" collapsed="false">
      <c r="A574" s="424"/>
      <c r="B574" s="424"/>
      <c r="C574" s="424"/>
      <c r="D574" s="424"/>
      <c r="E574" s="424"/>
      <c r="F574" s="424"/>
      <c r="G574" s="424"/>
      <c r="H574" s="424"/>
      <c r="I574" s="424"/>
      <c r="J574" s="424"/>
      <c r="K574" s="424"/>
      <c r="L574" s="424"/>
      <c r="M574" s="424"/>
      <c r="N574" s="424"/>
      <c r="O574" s="424"/>
      <c r="P574" s="424"/>
      <c r="Q574" s="435" t="n">
        <v>79</v>
      </c>
      <c r="R574" s="434" t="s">
        <v>649</v>
      </c>
      <c r="S574" s="424"/>
      <c r="T574" s="434" t="s">
        <v>650</v>
      </c>
      <c r="U574" s="434" t="s">
        <v>651</v>
      </c>
      <c r="V574" s="436" t="n">
        <f aca="false">AY579</f>
        <v>0</v>
      </c>
    </row>
    <row r="575" customFormat="false" ht="13.5" hidden="false" customHeight="false" outlineLevel="0" collapsed="false">
      <c r="A575" s="424"/>
      <c r="B575" s="424"/>
      <c r="C575" s="424"/>
      <c r="D575" s="424"/>
      <c r="E575" s="424"/>
      <c r="F575" s="424"/>
      <c r="G575" s="424"/>
      <c r="H575" s="424"/>
      <c r="I575" s="424"/>
      <c r="J575" s="424"/>
      <c r="K575" s="424"/>
      <c r="L575" s="424"/>
      <c r="M575" s="424"/>
      <c r="N575" s="424"/>
      <c r="O575" s="424"/>
      <c r="P575" s="424"/>
      <c r="Q575" s="435" t="n">
        <v>80</v>
      </c>
      <c r="R575" s="434" t="s">
        <v>652</v>
      </c>
      <c r="S575" s="424"/>
      <c r="T575" s="434" t="s">
        <v>653</v>
      </c>
      <c r="U575" s="434" t="s">
        <v>654</v>
      </c>
      <c r="V575" s="436" t="n">
        <f aca="false">AY580</f>
        <v>0</v>
      </c>
    </row>
    <row r="576" customFormat="false" ht="13.5" hidden="false" customHeight="false" outlineLevel="0" collapsed="false">
      <c r="A576" s="424"/>
      <c r="B576" s="424"/>
      <c r="C576" s="424"/>
      <c r="D576" s="424"/>
      <c r="E576" s="424"/>
      <c r="F576" s="424"/>
      <c r="G576" s="424"/>
      <c r="H576" s="424"/>
      <c r="I576" s="424"/>
      <c r="J576" s="424"/>
      <c r="K576" s="424"/>
      <c r="L576" s="424"/>
      <c r="M576" s="424"/>
      <c r="N576" s="424"/>
      <c r="O576" s="424"/>
      <c r="P576" s="424"/>
      <c r="Q576" s="435" t="n">
        <v>81</v>
      </c>
      <c r="R576" s="434" t="s">
        <v>655</v>
      </c>
      <c r="S576" s="424"/>
      <c r="T576" s="434" t="s">
        <v>656</v>
      </c>
      <c r="U576" s="434" t="s">
        <v>657</v>
      </c>
      <c r="V576" s="436" t="n">
        <f aca="false">AY581</f>
        <v>0</v>
      </c>
    </row>
    <row r="577" customFormat="false" ht="13.5" hidden="false" customHeight="false" outlineLevel="0" collapsed="false">
      <c r="A577" s="424"/>
      <c r="B577" s="424"/>
      <c r="C577" s="424"/>
      <c r="D577" s="424"/>
      <c r="E577" s="424"/>
      <c r="F577" s="424"/>
      <c r="G577" s="424"/>
      <c r="H577" s="424"/>
      <c r="I577" s="424"/>
      <c r="J577" s="424"/>
      <c r="K577" s="424"/>
      <c r="L577" s="424"/>
      <c r="M577" s="424"/>
      <c r="N577" s="424"/>
      <c r="O577" s="424"/>
      <c r="P577" s="424"/>
      <c r="Q577" s="435" t="n">
        <v>82</v>
      </c>
      <c r="R577" s="434" t="s">
        <v>658</v>
      </c>
      <c r="S577" s="424"/>
      <c r="T577" s="434" t="s">
        <v>659</v>
      </c>
      <c r="U577" s="434" t="s">
        <v>660</v>
      </c>
      <c r="V577" s="436" t="n">
        <f aca="false">AY582</f>
        <v>0</v>
      </c>
    </row>
    <row r="578" customFormat="false" ht="13.5" hidden="false" customHeight="false" outlineLevel="0" collapsed="false">
      <c r="A578" s="424"/>
      <c r="B578" s="424"/>
      <c r="C578" s="424"/>
      <c r="D578" s="424"/>
      <c r="E578" s="424"/>
      <c r="F578" s="424"/>
      <c r="G578" s="424"/>
      <c r="H578" s="424"/>
      <c r="I578" s="424"/>
      <c r="J578" s="424"/>
      <c r="K578" s="424"/>
      <c r="L578" s="424"/>
      <c r="M578" s="424"/>
      <c r="N578" s="424"/>
      <c r="O578" s="424"/>
      <c r="P578" s="424"/>
      <c r="Q578" s="435" t="n">
        <v>83</v>
      </c>
      <c r="R578" s="434" t="s">
        <v>661</v>
      </c>
      <c r="S578" s="424"/>
      <c r="T578" s="434" t="s">
        <v>662</v>
      </c>
      <c r="U578" s="434" t="s">
        <v>663</v>
      </c>
      <c r="V578" s="436" t="n">
        <f aca="false">AY583</f>
        <v>0</v>
      </c>
    </row>
    <row r="579" customFormat="false" ht="13.5" hidden="false" customHeight="false" outlineLevel="0" collapsed="false">
      <c r="A579" s="424"/>
      <c r="B579" s="424"/>
      <c r="C579" s="424"/>
      <c r="D579" s="424"/>
      <c r="E579" s="424"/>
      <c r="F579" s="424"/>
      <c r="G579" s="424"/>
      <c r="H579" s="424"/>
      <c r="I579" s="424"/>
      <c r="J579" s="424"/>
      <c r="K579" s="424"/>
      <c r="L579" s="424"/>
      <c r="M579" s="424"/>
      <c r="N579" s="424"/>
      <c r="O579" s="424"/>
      <c r="P579" s="424"/>
      <c r="Q579" s="435" t="n">
        <v>84</v>
      </c>
      <c r="R579" s="434" t="s">
        <v>664</v>
      </c>
      <c r="S579" s="424"/>
      <c r="T579" s="434" t="s">
        <v>665</v>
      </c>
      <c r="U579" s="434" t="s">
        <v>666</v>
      </c>
      <c r="V579" s="436" t="n">
        <f aca="false">AY584</f>
        <v>0</v>
      </c>
    </row>
    <row r="580" customFormat="false" ht="13.5" hidden="false" customHeight="false" outlineLevel="0" collapsed="false">
      <c r="A580" s="424"/>
      <c r="B580" s="424"/>
      <c r="C580" s="424"/>
      <c r="D580" s="424"/>
      <c r="E580" s="424"/>
      <c r="F580" s="424"/>
      <c r="G580" s="424"/>
      <c r="H580" s="424"/>
      <c r="I580" s="424"/>
      <c r="J580" s="424"/>
      <c r="K580" s="424"/>
      <c r="L580" s="424"/>
      <c r="M580" s="424"/>
      <c r="N580" s="424"/>
      <c r="O580" s="424"/>
      <c r="P580" s="424"/>
      <c r="Q580" s="435" t="n">
        <v>85</v>
      </c>
      <c r="R580" s="434" t="s">
        <v>667</v>
      </c>
      <c r="S580" s="424"/>
      <c r="T580" s="434" t="s">
        <v>668</v>
      </c>
      <c r="U580" s="434" t="s">
        <v>669</v>
      </c>
      <c r="V580" s="436" t="n">
        <f aca="false">AY585</f>
        <v>0</v>
      </c>
    </row>
    <row r="581" customFormat="false" ht="13.5" hidden="false" customHeight="false" outlineLevel="0" collapsed="false">
      <c r="A581" s="424"/>
      <c r="B581" s="424"/>
      <c r="C581" s="424"/>
      <c r="D581" s="424"/>
      <c r="E581" s="424"/>
      <c r="F581" s="424"/>
      <c r="G581" s="424"/>
      <c r="H581" s="424"/>
      <c r="I581" s="424"/>
      <c r="J581" s="424"/>
      <c r="K581" s="424"/>
      <c r="L581" s="424"/>
      <c r="M581" s="424"/>
      <c r="N581" s="424"/>
      <c r="O581" s="424"/>
      <c r="P581" s="424"/>
      <c r="Q581" s="435" t="n">
        <v>86</v>
      </c>
      <c r="R581" s="434" t="s">
        <v>670</v>
      </c>
      <c r="S581" s="424"/>
      <c r="T581" s="434" t="s">
        <v>671</v>
      </c>
      <c r="U581" s="434" t="s">
        <v>672</v>
      </c>
      <c r="V581" s="436" t="n">
        <f aca="false">AY586</f>
        <v>0</v>
      </c>
    </row>
    <row r="582" customFormat="false" ht="13.5" hidden="false" customHeight="false" outlineLevel="0" collapsed="false">
      <c r="A582" s="424"/>
      <c r="B582" s="424"/>
      <c r="C582" s="424"/>
      <c r="D582" s="424"/>
      <c r="E582" s="424"/>
      <c r="F582" s="424"/>
      <c r="G582" s="424"/>
      <c r="H582" s="424"/>
      <c r="I582" s="424"/>
      <c r="J582" s="424"/>
      <c r="K582" s="424"/>
      <c r="L582" s="424"/>
      <c r="M582" s="424"/>
      <c r="N582" s="424"/>
      <c r="O582" s="424"/>
      <c r="P582" s="424"/>
      <c r="Q582" s="435" t="n">
        <v>87</v>
      </c>
      <c r="R582" s="434" t="s">
        <v>673</v>
      </c>
      <c r="S582" s="424"/>
      <c r="T582" s="434" t="s">
        <v>674</v>
      </c>
      <c r="U582" s="434" t="s">
        <v>675</v>
      </c>
      <c r="V582" s="436" t="n">
        <f aca="false">AY587</f>
        <v>0</v>
      </c>
    </row>
    <row r="583" customFormat="false" ht="13.5" hidden="false" customHeight="false" outlineLevel="0" collapsed="false">
      <c r="A583" s="424"/>
      <c r="B583" s="424"/>
      <c r="C583" s="424"/>
      <c r="D583" s="424"/>
      <c r="E583" s="424"/>
      <c r="F583" s="424"/>
      <c r="G583" s="424"/>
      <c r="H583" s="424"/>
      <c r="I583" s="424"/>
      <c r="J583" s="424"/>
      <c r="K583" s="424"/>
      <c r="L583" s="424"/>
      <c r="M583" s="424"/>
      <c r="N583" s="424"/>
      <c r="O583" s="424"/>
      <c r="P583" s="424"/>
      <c r="Q583" s="435" t="n">
        <v>88</v>
      </c>
      <c r="R583" s="434" t="s">
        <v>676</v>
      </c>
      <c r="S583" s="424"/>
      <c r="T583" s="434" t="s">
        <v>677</v>
      </c>
      <c r="U583" s="434" t="s">
        <v>678</v>
      </c>
      <c r="V583" s="436" t="n">
        <f aca="false">AY588</f>
        <v>0</v>
      </c>
    </row>
    <row r="584" customFormat="false" ht="13.5" hidden="false" customHeight="false" outlineLevel="0" collapsed="false">
      <c r="A584" s="424"/>
      <c r="B584" s="424"/>
      <c r="C584" s="424"/>
      <c r="D584" s="424"/>
      <c r="E584" s="424"/>
      <c r="F584" s="424"/>
      <c r="G584" s="424"/>
      <c r="H584" s="424"/>
      <c r="I584" s="424"/>
      <c r="J584" s="424"/>
      <c r="K584" s="424"/>
      <c r="L584" s="424"/>
      <c r="M584" s="424"/>
      <c r="N584" s="424"/>
      <c r="O584" s="424"/>
      <c r="P584" s="424"/>
      <c r="Q584" s="435" t="n">
        <v>89</v>
      </c>
      <c r="R584" s="434" t="s">
        <v>679</v>
      </c>
      <c r="S584" s="424"/>
      <c r="T584" s="434" t="s">
        <v>680</v>
      </c>
      <c r="U584" s="434" t="s">
        <v>681</v>
      </c>
      <c r="V584" s="436" t="n">
        <f aca="false">AY589</f>
        <v>0</v>
      </c>
    </row>
    <row r="585" customFormat="false" ht="13.5" hidden="false" customHeight="false" outlineLevel="0" collapsed="false">
      <c r="A585" s="424"/>
      <c r="B585" s="424"/>
      <c r="C585" s="424"/>
      <c r="D585" s="424"/>
      <c r="E585" s="424"/>
      <c r="F585" s="424"/>
      <c r="G585" s="424"/>
      <c r="H585" s="424"/>
      <c r="I585" s="424"/>
      <c r="J585" s="424"/>
      <c r="K585" s="424"/>
      <c r="L585" s="424"/>
      <c r="M585" s="424"/>
      <c r="N585" s="424"/>
      <c r="O585" s="424"/>
      <c r="P585" s="424"/>
      <c r="Q585" s="435" t="n">
        <v>90</v>
      </c>
      <c r="R585" s="434" t="s">
        <v>682</v>
      </c>
      <c r="S585" s="424"/>
      <c r="T585" s="434" t="s">
        <v>683</v>
      </c>
      <c r="U585" s="434" t="s">
        <v>684</v>
      </c>
      <c r="V585" s="436" t="n">
        <f aca="false">AY590</f>
        <v>0</v>
      </c>
    </row>
    <row r="586" customFormat="false" ht="13.5" hidden="false" customHeight="false" outlineLevel="0" collapsed="false">
      <c r="A586" s="424"/>
      <c r="B586" s="424"/>
      <c r="C586" s="424"/>
      <c r="D586" s="424"/>
      <c r="E586" s="424"/>
      <c r="F586" s="424"/>
      <c r="G586" s="424"/>
      <c r="H586" s="424"/>
      <c r="I586" s="424"/>
      <c r="J586" s="424"/>
      <c r="K586" s="424"/>
      <c r="L586" s="424"/>
      <c r="M586" s="424"/>
      <c r="N586" s="424"/>
      <c r="O586" s="424"/>
      <c r="P586" s="424"/>
      <c r="Q586" s="435" t="n">
        <v>91</v>
      </c>
      <c r="R586" s="434" t="s">
        <v>685</v>
      </c>
      <c r="S586" s="424"/>
      <c r="T586" s="434" t="s">
        <v>686</v>
      </c>
      <c r="U586" s="434" t="s">
        <v>687</v>
      </c>
      <c r="V586" s="436" t="n">
        <f aca="false">AY591</f>
        <v>0</v>
      </c>
    </row>
    <row r="587" customFormat="false" ht="13.5" hidden="false" customHeight="false" outlineLevel="0" collapsed="false">
      <c r="A587" s="424"/>
      <c r="B587" s="424"/>
      <c r="C587" s="424"/>
      <c r="D587" s="424"/>
      <c r="E587" s="424"/>
      <c r="F587" s="424"/>
      <c r="G587" s="424"/>
      <c r="H587" s="424"/>
      <c r="I587" s="424"/>
      <c r="J587" s="424"/>
      <c r="K587" s="424"/>
      <c r="L587" s="424"/>
      <c r="M587" s="424"/>
      <c r="N587" s="424"/>
      <c r="O587" s="424"/>
      <c r="P587" s="424"/>
      <c r="Q587" s="435" t="n">
        <v>92</v>
      </c>
      <c r="R587" s="434" t="s">
        <v>688</v>
      </c>
      <c r="S587" s="424"/>
      <c r="T587" s="434" t="s">
        <v>689</v>
      </c>
      <c r="U587" s="434" t="s">
        <v>690</v>
      </c>
      <c r="V587" s="436" t="n">
        <f aca="false">AY592</f>
        <v>0</v>
      </c>
    </row>
    <row r="588" customFormat="false" ht="13.5" hidden="false" customHeight="false" outlineLevel="0" collapsed="false">
      <c r="A588" s="424"/>
      <c r="B588" s="424"/>
      <c r="C588" s="424"/>
      <c r="D588" s="424"/>
      <c r="E588" s="424"/>
      <c r="F588" s="424"/>
      <c r="G588" s="424"/>
      <c r="H588" s="424"/>
      <c r="I588" s="424"/>
      <c r="J588" s="424"/>
      <c r="K588" s="424"/>
      <c r="L588" s="424"/>
      <c r="M588" s="424"/>
      <c r="N588" s="424"/>
      <c r="O588" s="424"/>
      <c r="P588" s="424"/>
      <c r="Q588" s="435" t="n">
        <v>93</v>
      </c>
      <c r="R588" s="434" t="s">
        <v>691</v>
      </c>
      <c r="S588" s="424"/>
      <c r="T588" s="434" t="s">
        <v>692</v>
      </c>
      <c r="U588" s="434" t="s">
        <v>693</v>
      </c>
      <c r="V588" s="436" t="n">
        <f aca="false">AY593</f>
        <v>0</v>
      </c>
    </row>
    <row r="589" customFormat="false" ht="13.5" hidden="false" customHeight="false" outlineLevel="0" collapsed="false">
      <c r="A589" s="424"/>
      <c r="B589" s="424"/>
      <c r="C589" s="424"/>
      <c r="D589" s="424"/>
      <c r="E589" s="424"/>
      <c r="F589" s="424"/>
      <c r="G589" s="424"/>
      <c r="H589" s="424"/>
      <c r="I589" s="424"/>
      <c r="J589" s="424"/>
      <c r="K589" s="424"/>
      <c r="L589" s="424"/>
      <c r="M589" s="424"/>
      <c r="N589" s="424"/>
      <c r="O589" s="424"/>
      <c r="P589" s="424"/>
      <c r="Q589" s="435" t="n">
        <v>94</v>
      </c>
      <c r="R589" s="434" t="s">
        <v>694</v>
      </c>
      <c r="S589" s="424"/>
      <c r="T589" s="434" t="s">
        <v>695</v>
      </c>
      <c r="U589" s="434" t="s">
        <v>696</v>
      </c>
      <c r="V589" s="436" t="n">
        <f aca="false">AY594</f>
        <v>0</v>
      </c>
    </row>
    <row r="590" customFormat="false" ht="13.5" hidden="false" customHeight="false" outlineLevel="0" collapsed="false">
      <c r="A590" s="424"/>
      <c r="B590" s="424"/>
      <c r="C590" s="424"/>
      <c r="D590" s="424"/>
      <c r="E590" s="424"/>
      <c r="F590" s="424"/>
      <c r="G590" s="424"/>
      <c r="H590" s="424"/>
      <c r="I590" s="424"/>
      <c r="J590" s="424"/>
      <c r="K590" s="424"/>
      <c r="L590" s="424"/>
      <c r="M590" s="424"/>
      <c r="N590" s="424"/>
      <c r="O590" s="424"/>
      <c r="P590" s="424"/>
      <c r="Q590" s="435" t="n">
        <v>95</v>
      </c>
      <c r="R590" s="434" t="s">
        <v>697</v>
      </c>
      <c r="S590" s="424"/>
      <c r="T590" s="434" t="s">
        <v>698</v>
      </c>
      <c r="U590" s="434" t="s">
        <v>699</v>
      </c>
      <c r="V590" s="436" t="n">
        <f aca="false">AY595</f>
        <v>0</v>
      </c>
    </row>
    <row r="591" customFormat="false" ht="13.5" hidden="false" customHeight="false" outlineLevel="0" collapsed="false">
      <c r="A591" s="424"/>
      <c r="B591" s="424"/>
      <c r="C591" s="424"/>
      <c r="D591" s="424"/>
      <c r="E591" s="424"/>
      <c r="F591" s="424"/>
      <c r="G591" s="424"/>
      <c r="H591" s="424"/>
      <c r="I591" s="424"/>
      <c r="J591" s="424"/>
      <c r="K591" s="424"/>
      <c r="L591" s="424"/>
      <c r="M591" s="424"/>
      <c r="N591" s="424"/>
      <c r="O591" s="424"/>
      <c r="P591" s="424"/>
      <c r="Q591" s="435" t="n">
        <v>96</v>
      </c>
      <c r="R591" s="434" t="s">
        <v>700</v>
      </c>
      <c r="S591" s="424"/>
      <c r="T591" s="434" t="s">
        <v>701</v>
      </c>
      <c r="U591" s="434" t="s">
        <v>702</v>
      </c>
      <c r="V591" s="436" t="n">
        <f aca="false">AY596</f>
        <v>0</v>
      </c>
    </row>
    <row r="592" customFormat="false" ht="13.5" hidden="false" customHeight="false" outlineLevel="0" collapsed="false">
      <c r="A592" s="424"/>
      <c r="B592" s="424"/>
      <c r="C592" s="424"/>
      <c r="D592" s="424"/>
      <c r="E592" s="424"/>
      <c r="F592" s="424"/>
      <c r="G592" s="424"/>
      <c r="H592" s="424"/>
      <c r="I592" s="424"/>
      <c r="J592" s="424"/>
      <c r="K592" s="424"/>
      <c r="L592" s="424"/>
      <c r="M592" s="424"/>
      <c r="N592" s="424"/>
      <c r="O592" s="424"/>
      <c r="P592" s="424"/>
      <c r="Q592" s="435" t="n">
        <v>97</v>
      </c>
      <c r="R592" s="434" t="s">
        <v>703</v>
      </c>
      <c r="S592" s="424"/>
      <c r="T592" s="434" t="s">
        <v>704</v>
      </c>
      <c r="U592" s="434" t="s">
        <v>705</v>
      </c>
      <c r="V592" s="436" t="n">
        <f aca="false">AY597</f>
        <v>0</v>
      </c>
    </row>
    <row r="593" customFormat="false" ht="13.5" hidden="false" customHeight="false" outlineLevel="0" collapsed="false">
      <c r="A593" s="424"/>
      <c r="B593" s="424"/>
      <c r="C593" s="424"/>
      <c r="D593" s="424"/>
      <c r="E593" s="424"/>
      <c r="F593" s="424"/>
      <c r="G593" s="424"/>
      <c r="H593" s="424"/>
      <c r="I593" s="424"/>
      <c r="J593" s="424"/>
      <c r="K593" s="424"/>
      <c r="L593" s="424"/>
      <c r="M593" s="424"/>
      <c r="N593" s="424"/>
      <c r="O593" s="424"/>
      <c r="P593" s="424"/>
      <c r="Q593" s="435" t="n">
        <v>98</v>
      </c>
      <c r="R593" s="434" t="s">
        <v>706</v>
      </c>
      <c r="S593" s="424"/>
      <c r="T593" s="434" t="s">
        <v>707</v>
      </c>
      <c r="U593" s="434" t="s">
        <v>708</v>
      </c>
      <c r="V593" s="436" t="n">
        <f aca="false">AY598</f>
        <v>0</v>
      </c>
    </row>
    <row r="594" customFormat="false" ht="13.5" hidden="false" customHeight="false" outlineLevel="0" collapsed="false">
      <c r="A594" s="424"/>
      <c r="B594" s="424"/>
      <c r="C594" s="424"/>
      <c r="D594" s="424"/>
      <c r="E594" s="424"/>
      <c r="F594" s="424"/>
      <c r="G594" s="424"/>
      <c r="H594" s="424"/>
      <c r="I594" s="424"/>
      <c r="J594" s="424"/>
      <c r="K594" s="424"/>
      <c r="L594" s="424"/>
      <c r="M594" s="424"/>
      <c r="N594" s="424"/>
      <c r="O594" s="424"/>
      <c r="P594" s="424"/>
      <c r="Q594" s="435" t="n">
        <v>99</v>
      </c>
      <c r="R594" s="434" t="s">
        <v>709</v>
      </c>
      <c r="S594" s="424"/>
      <c r="T594" s="434" t="s">
        <v>710</v>
      </c>
      <c r="U594" s="434" t="s">
        <v>711</v>
      </c>
      <c r="V594" s="436" t="n">
        <f aca="false">AY599</f>
        <v>0</v>
      </c>
    </row>
    <row r="595" customFormat="false" ht="13.5" hidden="false" customHeight="false" outlineLevel="0" collapsed="false">
      <c r="A595" s="424"/>
      <c r="B595" s="424"/>
      <c r="C595" s="424"/>
      <c r="D595" s="424"/>
      <c r="E595" s="424"/>
      <c r="F595" s="424"/>
      <c r="G595" s="424"/>
      <c r="H595" s="424"/>
      <c r="I595" s="424"/>
      <c r="J595" s="424"/>
      <c r="K595" s="424"/>
      <c r="L595" s="424"/>
      <c r="M595" s="424"/>
      <c r="N595" s="424"/>
      <c r="O595" s="424"/>
      <c r="P595" s="424"/>
      <c r="Q595" s="424"/>
      <c r="R595" s="424"/>
      <c r="S595" s="424"/>
      <c r="T595" s="424"/>
      <c r="U595" s="424"/>
      <c r="V595" s="436" t="n">
        <f aca="false">AY600</f>
        <v>0</v>
      </c>
    </row>
    <row r="596" customFormat="false" ht="13.5" hidden="false" customHeight="false" outlineLevel="0" collapsed="false">
      <c r="A596" s="424"/>
      <c r="B596" s="424"/>
      <c r="C596" s="424"/>
      <c r="D596" s="424"/>
      <c r="E596" s="424"/>
      <c r="F596" s="424"/>
      <c r="G596" s="424"/>
      <c r="H596" s="424"/>
      <c r="I596" s="424"/>
      <c r="J596" s="424"/>
      <c r="K596" s="424"/>
      <c r="L596" s="424"/>
      <c r="M596" s="424"/>
      <c r="N596" s="424"/>
      <c r="O596" s="424"/>
      <c r="P596" s="424"/>
      <c r="Q596" s="424"/>
      <c r="R596" s="424"/>
      <c r="S596" s="424"/>
      <c r="T596" s="424"/>
      <c r="U596" s="424"/>
      <c r="V596" s="436" t="n">
        <f aca="false">AY601</f>
        <v>0</v>
      </c>
    </row>
    <row r="597" customFormat="false" ht="13.5" hidden="false" customHeight="false" outlineLevel="0" collapsed="false">
      <c r="A597" s="424"/>
      <c r="B597" s="424"/>
      <c r="C597" s="424"/>
      <c r="D597" s="424"/>
      <c r="E597" s="424"/>
      <c r="F597" s="424"/>
      <c r="G597" s="424"/>
      <c r="H597" s="424"/>
      <c r="I597" s="424"/>
      <c r="J597" s="424"/>
      <c r="K597" s="424"/>
      <c r="L597" s="424"/>
      <c r="M597" s="424"/>
      <c r="N597" s="424"/>
      <c r="O597" s="424"/>
      <c r="P597" s="424"/>
      <c r="Q597" s="424"/>
      <c r="R597" s="424"/>
      <c r="S597" s="424"/>
      <c r="T597" s="424"/>
      <c r="U597" s="424"/>
      <c r="V597" s="436" t="n">
        <f aca="false">AY602</f>
        <v>0</v>
      </c>
    </row>
    <row r="598" customFormat="false" ht="13.5" hidden="false" customHeight="false" outlineLevel="0" collapsed="false">
      <c r="A598" s="424"/>
      <c r="B598" s="424"/>
      <c r="C598" s="424"/>
      <c r="D598" s="424"/>
      <c r="E598" s="424"/>
      <c r="F598" s="424"/>
      <c r="G598" s="424"/>
      <c r="H598" s="424"/>
      <c r="I598" s="424"/>
      <c r="J598" s="424"/>
      <c r="K598" s="424"/>
      <c r="L598" s="424"/>
      <c r="M598" s="424"/>
      <c r="N598" s="424"/>
      <c r="O598" s="424"/>
      <c r="P598" s="424"/>
      <c r="Q598" s="424"/>
      <c r="R598" s="424"/>
      <c r="S598" s="424"/>
      <c r="T598" s="424"/>
      <c r="U598" s="424"/>
      <c r="V598" s="436" t="n">
        <f aca="false">AY603</f>
        <v>0</v>
      </c>
    </row>
    <row r="599" customFormat="false" ht="13.5" hidden="false" customHeight="false" outlineLevel="0" collapsed="false">
      <c r="A599" s="424"/>
      <c r="B599" s="424"/>
      <c r="C599" s="424"/>
      <c r="D599" s="424"/>
      <c r="E599" s="424"/>
      <c r="F599" s="424"/>
      <c r="G599" s="424"/>
      <c r="H599" s="424"/>
      <c r="I599" s="424"/>
      <c r="J599" s="424"/>
      <c r="K599" s="424"/>
      <c r="L599" s="424"/>
      <c r="M599" s="424"/>
      <c r="N599" s="424"/>
      <c r="O599" s="424"/>
      <c r="P599" s="424"/>
      <c r="Q599" s="424"/>
      <c r="R599" s="424"/>
      <c r="S599" s="424"/>
      <c r="T599" s="424"/>
      <c r="U599" s="424"/>
      <c r="V599" s="436" t="n">
        <f aca="false">AY604</f>
        <v>0</v>
      </c>
    </row>
    <row r="600" customFormat="false" ht="13.5" hidden="false" customHeight="false" outlineLevel="0" collapsed="false">
      <c r="A600" s="424"/>
      <c r="B600" s="424"/>
      <c r="C600" s="424"/>
      <c r="D600" s="424"/>
      <c r="E600" s="424"/>
      <c r="F600" s="424"/>
      <c r="G600" s="424"/>
      <c r="H600" s="424"/>
      <c r="I600" s="424"/>
      <c r="J600" s="424"/>
      <c r="K600" s="424"/>
      <c r="L600" s="424"/>
      <c r="M600" s="424"/>
      <c r="N600" s="424"/>
      <c r="O600" s="424"/>
      <c r="P600" s="424"/>
      <c r="Q600" s="424"/>
      <c r="R600" s="424"/>
      <c r="S600" s="424"/>
      <c r="T600" s="424"/>
      <c r="U600" s="424"/>
      <c r="V600" s="436" t="n">
        <f aca="false">AY605</f>
        <v>0</v>
      </c>
    </row>
    <row r="601" customFormat="false" ht="13.5" hidden="false" customHeight="false" outlineLevel="0" collapsed="false">
      <c r="A601" s="424"/>
      <c r="B601" s="424"/>
      <c r="C601" s="424"/>
      <c r="D601" s="424"/>
      <c r="E601" s="424"/>
      <c r="F601" s="424"/>
      <c r="G601" s="424"/>
      <c r="H601" s="424"/>
      <c r="I601" s="424"/>
      <c r="J601" s="424"/>
      <c r="K601" s="424"/>
      <c r="L601" s="424"/>
      <c r="M601" s="424"/>
      <c r="N601" s="424"/>
      <c r="O601" s="424"/>
      <c r="P601" s="424"/>
      <c r="Q601" s="424"/>
      <c r="R601" s="424"/>
      <c r="S601" s="424"/>
      <c r="T601" s="424"/>
      <c r="U601" s="424"/>
      <c r="V601" s="436" t="n">
        <f aca="false">AY606</f>
        <v>0</v>
      </c>
    </row>
    <row r="602" customFormat="false" ht="13.5" hidden="false" customHeight="false" outlineLevel="0" collapsed="false">
      <c r="A602" s="424"/>
      <c r="B602" s="424"/>
      <c r="C602" s="424"/>
      <c r="D602" s="424"/>
      <c r="E602" s="424"/>
      <c r="F602" s="424"/>
      <c r="G602" s="424"/>
      <c r="H602" s="424"/>
      <c r="I602" s="424"/>
      <c r="J602" s="424"/>
      <c r="K602" s="424"/>
      <c r="L602" s="424"/>
      <c r="M602" s="424"/>
      <c r="N602" s="424"/>
      <c r="O602" s="424"/>
      <c r="P602" s="424"/>
      <c r="Q602" s="424"/>
      <c r="R602" s="424"/>
      <c r="S602" s="424"/>
      <c r="T602" s="424"/>
      <c r="U602" s="424"/>
      <c r="V602" s="436" t="n">
        <f aca="false">AY607</f>
        <v>0</v>
      </c>
    </row>
    <row r="603" customFormat="false" ht="13.5" hidden="false" customHeight="false" outlineLevel="0" collapsed="false">
      <c r="A603" s="424"/>
      <c r="B603" s="424"/>
      <c r="C603" s="424"/>
      <c r="D603" s="424"/>
      <c r="E603" s="424"/>
      <c r="F603" s="424"/>
      <c r="G603" s="424"/>
      <c r="H603" s="424"/>
      <c r="I603" s="424"/>
      <c r="J603" s="424"/>
      <c r="K603" s="424"/>
      <c r="L603" s="424"/>
      <c r="M603" s="424"/>
      <c r="N603" s="424"/>
      <c r="O603" s="424"/>
      <c r="P603" s="424"/>
      <c r="Q603" s="424"/>
      <c r="R603" s="424"/>
      <c r="S603" s="424"/>
      <c r="T603" s="424"/>
      <c r="U603" s="424"/>
      <c r="V603" s="436" t="n">
        <f aca="false">AY608</f>
        <v>0</v>
      </c>
    </row>
    <row r="604" customFormat="false" ht="13.5" hidden="false" customHeight="false" outlineLevel="0" collapsed="false">
      <c r="A604" s="424"/>
      <c r="B604" s="424"/>
      <c r="C604" s="424"/>
      <c r="D604" s="424"/>
      <c r="E604" s="424"/>
      <c r="F604" s="424"/>
      <c r="G604" s="424"/>
      <c r="H604" s="424"/>
      <c r="I604" s="424"/>
      <c r="J604" s="424"/>
      <c r="K604" s="424"/>
      <c r="L604" s="424"/>
      <c r="M604" s="424"/>
      <c r="N604" s="424"/>
      <c r="O604" s="424"/>
      <c r="P604" s="424"/>
      <c r="Q604" s="424"/>
      <c r="R604" s="424"/>
      <c r="S604" s="424"/>
      <c r="T604" s="424"/>
      <c r="U604" s="424"/>
      <c r="V604" s="436" t="n">
        <f aca="false">AY609</f>
        <v>0</v>
      </c>
    </row>
    <row r="605" customFormat="false" ht="13.5" hidden="false" customHeight="false" outlineLevel="0" collapsed="false">
      <c r="A605" s="424"/>
      <c r="B605" s="424"/>
      <c r="C605" s="424"/>
      <c r="D605" s="424"/>
      <c r="E605" s="424"/>
      <c r="F605" s="424"/>
      <c r="G605" s="424"/>
      <c r="H605" s="424"/>
      <c r="I605" s="424"/>
      <c r="J605" s="424"/>
      <c r="K605" s="424"/>
      <c r="L605" s="424"/>
      <c r="M605" s="424"/>
      <c r="N605" s="424"/>
      <c r="O605" s="424"/>
      <c r="P605" s="424"/>
      <c r="Q605" s="424"/>
      <c r="R605" s="424"/>
      <c r="S605" s="424"/>
      <c r="T605" s="424"/>
      <c r="U605" s="424"/>
      <c r="V605" s="436" t="n">
        <f aca="false">AY610</f>
        <v>0</v>
      </c>
    </row>
    <row r="606" customFormat="false" ht="13.5" hidden="false" customHeight="false" outlineLevel="0" collapsed="false">
      <c r="A606" s="424"/>
      <c r="B606" s="424"/>
      <c r="C606" s="424"/>
      <c r="D606" s="424"/>
      <c r="E606" s="424"/>
      <c r="F606" s="424"/>
      <c r="G606" s="424"/>
      <c r="H606" s="424"/>
      <c r="I606" s="424"/>
      <c r="J606" s="424"/>
      <c r="K606" s="424"/>
      <c r="L606" s="424"/>
      <c r="M606" s="424"/>
      <c r="N606" s="424"/>
      <c r="O606" s="424"/>
      <c r="P606" s="424"/>
      <c r="Q606" s="424"/>
      <c r="R606" s="424"/>
      <c r="S606" s="424"/>
      <c r="T606" s="424"/>
      <c r="U606" s="424"/>
      <c r="V606" s="436" t="n">
        <f aca="false">AY611</f>
        <v>0</v>
      </c>
    </row>
    <row r="607" customFormat="false" ht="13.5" hidden="false" customHeight="false" outlineLevel="0" collapsed="false">
      <c r="A607" s="424"/>
      <c r="B607" s="424"/>
      <c r="C607" s="424"/>
      <c r="D607" s="424"/>
      <c r="E607" s="424"/>
      <c r="F607" s="424"/>
      <c r="G607" s="424"/>
      <c r="H607" s="424"/>
      <c r="I607" s="424"/>
      <c r="J607" s="424"/>
      <c r="K607" s="424"/>
      <c r="L607" s="424"/>
      <c r="M607" s="424"/>
      <c r="N607" s="424"/>
      <c r="O607" s="424"/>
      <c r="P607" s="424"/>
      <c r="Q607" s="424"/>
      <c r="R607" s="424"/>
      <c r="S607" s="424"/>
      <c r="T607" s="424"/>
      <c r="U607" s="424"/>
      <c r="V607" s="436" t="n">
        <f aca="false">AY612</f>
        <v>0</v>
      </c>
    </row>
    <row r="608" customFormat="false" ht="13.5" hidden="false" customHeight="false" outlineLevel="0" collapsed="false">
      <c r="A608" s="424"/>
      <c r="B608" s="424"/>
      <c r="C608" s="424"/>
      <c r="D608" s="424"/>
      <c r="E608" s="424"/>
      <c r="F608" s="424"/>
      <c r="G608" s="424"/>
      <c r="H608" s="424"/>
      <c r="I608" s="424"/>
      <c r="J608" s="424"/>
      <c r="K608" s="424"/>
      <c r="L608" s="424"/>
      <c r="M608" s="424"/>
      <c r="N608" s="424"/>
      <c r="O608" s="424"/>
      <c r="P608" s="424"/>
      <c r="Q608" s="424"/>
      <c r="R608" s="424"/>
      <c r="S608" s="424"/>
      <c r="T608" s="424"/>
      <c r="U608" s="424"/>
      <c r="V608" s="436" t="n">
        <f aca="false">AY613</f>
        <v>0</v>
      </c>
    </row>
    <row r="609" customFormat="false" ht="13.5" hidden="false" customHeight="false" outlineLevel="0" collapsed="false">
      <c r="A609" s="424"/>
      <c r="B609" s="424"/>
      <c r="C609" s="424"/>
      <c r="D609" s="424"/>
      <c r="E609" s="424"/>
      <c r="F609" s="424"/>
      <c r="G609" s="424"/>
      <c r="H609" s="424"/>
      <c r="I609" s="424"/>
      <c r="J609" s="424"/>
      <c r="K609" s="424"/>
      <c r="L609" s="424"/>
      <c r="M609" s="424"/>
      <c r="N609" s="424"/>
      <c r="O609" s="424"/>
      <c r="P609" s="424"/>
      <c r="Q609" s="424"/>
      <c r="R609" s="424"/>
      <c r="S609" s="424"/>
      <c r="T609" s="424"/>
      <c r="U609" s="424"/>
      <c r="V609" s="436" t="n">
        <f aca="false">AY614</f>
        <v>0</v>
      </c>
    </row>
    <row r="610" customFormat="false" ht="13.5" hidden="false" customHeight="false" outlineLevel="0" collapsed="false">
      <c r="A610" s="424"/>
      <c r="B610" s="424"/>
      <c r="C610" s="424"/>
      <c r="D610" s="424"/>
      <c r="E610" s="424"/>
      <c r="F610" s="424"/>
      <c r="G610" s="424"/>
      <c r="H610" s="424"/>
      <c r="I610" s="424"/>
      <c r="J610" s="424"/>
      <c r="K610" s="424"/>
      <c r="L610" s="424"/>
      <c r="M610" s="424"/>
      <c r="N610" s="424"/>
      <c r="O610" s="424"/>
      <c r="P610" s="424"/>
      <c r="Q610" s="424"/>
      <c r="R610" s="424"/>
      <c r="S610" s="424"/>
      <c r="T610" s="424"/>
      <c r="U610" s="424"/>
      <c r="V610" s="436" t="n">
        <f aca="false">AY615</f>
        <v>0</v>
      </c>
    </row>
    <row r="611" customFormat="false" ht="13.5" hidden="false" customHeight="false" outlineLevel="0" collapsed="false">
      <c r="A611" s="424"/>
      <c r="B611" s="424"/>
      <c r="C611" s="424"/>
      <c r="D611" s="424"/>
      <c r="E611" s="424"/>
      <c r="F611" s="424"/>
      <c r="G611" s="424"/>
      <c r="H611" s="424"/>
      <c r="I611" s="424"/>
      <c r="J611" s="424"/>
      <c r="K611" s="424"/>
      <c r="L611" s="424"/>
      <c r="M611" s="424"/>
      <c r="N611" s="424"/>
      <c r="O611" s="424"/>
      <c r="P611" s="424"/>
      <c r="Q611" s="424"/>
      <c r="R611" s="424"/>
      <c r="S611" s="424"/>
      <c r="T611" s="424"/>
      <c r="U611" s="424"/>
      <c r="V611" s="436" t="n">
        <f aca="false">AY616</f>
        <v>0</v>
      </c>
    </row>
    <row r="612" customFormat="false" ht="13.5" hidden="false" customHeight="false" outlineLevel="0" collapsed="false">
      <c r="A612" s="424"/>
      <c r="B612" s="424"/>
      <c r="C612" s="424"/>
      <c r="D612" s="424"/>
      <c r="E612" s="424"/>
      <c r="F612" s="424"/>
      <c r="G612" s="424"/>
      <c r="H612" s="424"/>
      <c r="I612" s="424"/>
      <c r="J612" s="424"/>
      <c r="K612" s="424"/>
      <c r="L612" s="424"/>
      <c r="M612" s="424"/>
      <c r="N612" s="424"/>
      <c r="O612" s="424"/>
      <c r="P612" s="424"/>
      <c r="Q612" s="424"/>
      <c r="R612" s="424"/>
      <c r="S612" s="424"/>
      <c r="T612" s="424"/>
      <c r="U612" s="424"/>
      <c r="V612" s="436" t="n">
        <f aca="false">AY617</f>
        <v>0</v>
      </c>
    </row>
    <row r="613" customFormat="false" ht="13.5" hidden="false" customHeight="false" outlineLevel="0" collapsed="false">
      <c r="A613" s="424"/>
      <c r="B613" s="424"/>
      <c r="C613" s="424"/>
      <c r="D613" s="424"/>
      <c r="E613" s="424"/>
      <c r="F613" s="424"/>
      <c r="G613" s="424"/>
      <c r="H613" s="424"/>
      <c r="I613" s="424"/>
      <c r="J613" s="424"/>
      <c r="K613" s="424"/>
      <c r="L613" s="424"/>
      <c r="M613" s="424"/>
      <c r="N613" s="424"/>
      <c r="O613" s="424"/>
      <c r="P613" s="424"/>
      <c r="Q613" s="424"/>
      <c r="R613" s="424"/>
      <c r="S613" s="424"/>
      <c r="T613" s="424"/>
      <c r="U613" s="424"/>
      <c r="V613" s="424"/>
    </row>
    <row r="614" customFormat="false" ht="13.5" hidden="false" customHeight="false" outlineLevel="0" collapsed="false">
      <c r="A614" s="424"/>
      <c r="B614" s="424"/>
      <c r="C614" s="424"/>
      <c r="D614" s="424"/>
      <c r="E614" s="424"/>
      <c r="F614" s="424"/>
      <c r="G614" s="424"/>
      <c r="H614" s="424"/>
      <c r="I614" s="424"/>
      <c r="J614" s="424"/>
      <c r="K614" s="424"/>
      <c r="L614" s="424"/>
      <c r="M614" s="424"/>
      <c r="N614" s="424"/>
      <c r="O614" s="424"/>
      <c r="P614" s="424"/>
      <c r="Q614" s="424"/>
      <c r="R614" s="424"/>
      <c r="S614" s="424"/>
      <c r="T614" s="424"/>
      <c r="U614" s="424"/>
      <c r="V614" s="424"/>
    </row>
    <row r="615" customFormat="false" ht="13.5" hidden="false" customHeight="false" outlineLevel="0" collapsed="false">
      <c r="A615" s="424"/>
      <c r="B615" s="424"/>
      <c r="C615" s="424"/>
      <c r="D615" s="424"/>
      <c r="E615" s="424"/>
      <c r="F615" s="424"/>
      <c r="G615" s="424"/>
      <c r="H615" s="424"/>
      <c r="I615" s="424"/>
      <c r="J615" s="424"/>
      <c r="K615" s="424"/>
      <c r="L615" s="424"/>
      <c r="M615" s="424"/>
      <c r="N615" s="424"/>
      <c r="O615" s="424"/>
      <c r="P615" s="424"/>
      <c r="Q615" s="424"/>
      <c r="R615" s="434" t="s">
        <v>400</v>
      </c>
      <c r="S615" s="424"/>
      <c r="T615" s="424"/>
      <c r="U615" s="424"/>
      <c r="V615" s="435" t="n">
        <f aca="false">SUM(V617:V649)</f>
        <v>0</v>
      </c>
    </row>
    <row r="616" customFormat="false" ht="13.5" hidden="false" customHeight="false" outlineLevel="0" collapsed="false">
      <c r="A616" s="424"/>
      <c r="B616" s="424"/>
      <c r="C616" s="424"/>
      <c r="D616" s="424"/>
      <c r="E616" s="424"/>
      <c r="F616" s="424"/>
      <c r="G616" s="424"/>
      <c r="H616" s="424"/>
      <c r="I616" s="424"/>
      <c r="J616" s="424"/>
      <c r="K616" s="424"/>
      <c r="L616" s="424"/>
      <c r="M616" s="424"/>
      <c r="N616" s="424"/>
      <c r="O616" s="424"/>
      <c r="P616" s="424"/>
      <c r="Q616" s="435" t="n">
        <v>0</v>
      </c>
      <c r="R616" s="424"/>
      <c r="S616" s="435" t="n">
        <v>0</v>
      </c>
      <c r="T616" s="424"/>
      <c r="U616" s="424"/>
      <c r="V616" s="436" t="n">
        <f aca="false">AY616</f>
        <v>0</v>
      </c>
    </row>
    <row r="617" customFormat="false" ht="13.5" hidden="false" customHeight="false" outlineLevel="0" collapsed="false">
      <c r="A617" s="424"/>
      <c r="B617" s="424"/>
      <c r="C617" s="424"/>
      <c r="D617" s="424"/>
      <c r="E617" s="424"/>
      <c r="F617" s="424"/>
      <c r="G617" s="424"/>
      <c r="H617" s="424"/>
      <c r="I617" s="424"/>
      <c r="J617" s="424"/>
      <c r="K617" s="424"/>
      <c r="L617" s="424"/>
      <c r="M617" s="424"/>
      <c r="N617" s="424"/>
      <c r="O617" s="424"/>
      <c r="P617" s="424"/>
      <c r="Q617" s="435" t="n">
        <v>1</v>
      </c>
      <c r="R617" s="434" t="s">
        <v>401</v>
      </c>
      <c r="S617" s="434" t="s">
        <v>402</v>
      </c>
      <c r="T617" s="434" t="s">
        <v>403</v>
      </c>
      <c r="U617" s="434" t="s">
        <v>404</v>
      </c>
      <c r="V617" s="436" t="n">
        <f aca="false">AY617</f>
        <v>0</v>
      </c>
    </row>
    <row r="618" customFormat="false" ht="13.5" hidden="false" customHeight="false" outlineLevel="0" collapsed="false">
      <c r="A618" s="424"/>
      <c r="B618" s="424"/>
      <c r="C618" s="424"/>
      <c r="D618" s="424"/>
      <c r="E618" s="424"/>
      <c r="F618" s="424"/>
      <c r="G618" s="424"/>
      <c r="H618" s="424"/>
      <c r="I618" s="424"/>
      <c r="J618" s="424"/>
      <c r="K618" s="424"/>
      <c r="L618" s="424"/>
      <c r="M618" s="424"/>
      <c r="N618" s="424"/>
      <c r="O618" s="424"/>
      <c r="P618" s="424"/>
      <c r="Q618" s="435" t="n">
        <v>2</v>
      </c>
      <c r="R618" s="434" t="s">
        <v>405</v>
      </c>
      <c r="S618" s="434" t="s">
        <v>406</v>
      </c>
      <c r="T618" s="434" t="s">
        <v>407</v>
      </c>
      <c r="U618" s="434" t="s">
        <v>408</v>
      </c>
      <c r="V618" s="436" t="n">
        <f aca="false">AY618</f>
        <v>0</v>
      </c>
    </row>
    <row r="619" customFormat="false" ht="13.5" hidden="false" customHeight="false" outlineLevel="0" collapsed="false">
      <c r="A619" s="424"/>
      <c r="B619" s="424"/>
      <c r="C619" s="424"/>
      <c r="D619" s="424"/>
      <c r="E619" s="424"/>
      <c r="F619" s="424"/>
      <c r="G619" s="424"/>
      <c r="H619" s="424"/>
      <c r="I619" s="424"/>
      <c r="J619" s="424"/>
      <c r="K619" s="424"/>
      <c r="L619" s="424"/>
      <c r="M619" s="424"/>
      <c r="N619" s="424"/>
      <c r="O619" s="424"/>
      <c r="P619" s="424"/>
      <c r="Q619" s="435" t="n">
        <v>3</v>
      </c>
      <c r="R619" s="434" t="s">
        <v>409</v>
      </c>
      <c r="S619" s="434" t="s">
        <v>410</v>
      </c>
      <c r="T619" s="434" t="s">
        <v>411</v>
      </c>
      <c r="U619" s="434" t="s">
        <v>412</v>
      </c>
      <c r="V619" s="436" t="n">
        <f aca="false">AY619</f>
        <v>0</v>
      </c>
    </row>
    <row r="620" customFormat="false" ht="13.5" hidden="false" customHeight="false" outlineLevel="0" collapsed="false">
      <c r="A620" s="424"/>
      <c r="B620" s="424"/>
      <c r="C620" s="424"/>
      <c r="D620" s="424"/>
      <c r="E620" s="424"/>
      <c r="F620" s="424"/>
      <c r="G620" s="424"/>
      <c r="H620" s="424"/>
      <c r="I620" s="424"/>
      <c r="J620" s="424"/>
      <c r="K620" s="424"/>
      <c r="L620" s="424"/>
      <c r="M620" s="424"/>
      <c r="N620" s="424"/>
      <c r="O620" s="424"/>
      <c r="P620" s="424"/>
      <c r="Q620" s="435" t="n">
        <v>4</v>
      </c>
      <c r="R620" s="434" t="s">
        <v>413</v>
      </c>
      <c r="S620" s="434" t="s">
        <v>414</v>
      </c>
      <c r="T620" s="434" t="s">
        <v>415</v>
      </c>
      <c r="U620" s="434" t="s">
        <v>416</v>
      </c>
      <c r="V620" s="436" t="n">
        <f aca="false">AY620</f>
        <v>0</v>
      </c>
    </row>
    <row r="621" customFormat="false" ht="13.5" hidden="false" customHeight="false" outlineLevel="0" collapsed="false">
      <c r="A621" s="424"/>
      <c r="B621" s="424"/>
      <c r="C621" s="424"/>
      <c r="D621" s="424"/>
      <c r="E621" s="424"/>
      <c r="F621" s="424"/>
      <c r="G621" s="424"/>
      <c r="H621" s="424"/>
      <c r="I621" s="424"/>
      <c r="J621" s="424"/>
      <c r="K621" s="424"/>
      <c r="L621" s="424"/>
      <c r="M621" s="424"/>
      <c r="N621" s="424"/>
      <c r="O621" s="424"/>
      <c r="P621" s="438" t="s">
        <v>417</v>
      </c>
      <c r="Q621" s="435" t="n">
        <v>5</v>
      </c>
      <c r="R621" s="434" t="s">
        <v>418</v>
      </c>
      <c r="S621" s="434" t="s">
        <v>419</v>
      </c>
      <c r="T621" s="434" t="s">
        <v>420</v>
      </c>
      <c r="U621" s="434" t="s">
        <v>421</v>
      </c>
      <c r="V621" s="436" t="n">
        <f aca="false">AY621</f>
        <v>0</v>
      </c>
    </row>
    <row r="622" customFormat="false" ht="13.5" hidden="false" customHeight="false" outlineLevel="0" collapsed="false">
      <c r="A622" s="424"/>
      <c r="B622" s="424"/>
      <c r="C622" s="424"/>
      <c r="D622" s="424"/>
      <c r="E622" s="424"/>
      <c r="F622" s="424"/>
      <c r="G622" s="424"/>
      <c r="H622" s="424"/>
      <c r="I622" s="424"/>
      <c r="J622" s="424"/>
      <c r="K622" s="424"/>
      <c r="L622" s="424"/>
      <c r="M622" s="424"/>
      <c r="N622" s="424"/>
      <c r="O622" s="424"/>
      <c r="P622" s="438" t="s">
        <v>417</v>
      </c>
      <c r="Q622" s="435" t="n">
        <v>6</v>
      </c>
      <c r="R622" s="434" t="s">
        <v>422</v>
      </c>
      <c r="S622" s="434" t="s">
        <v>423</v>
      </c>
      <c r="T622" s="434" t="s">
        <v>424</v>
      </c>
      <c r="U622" s="434" t="s">
        <v>425</v>
      </c>
      <c r="V622" s="436" t="n">
        <f aca="false">AY622</f>
        <v>0</v>
      </c>
    </row>
    <row r="623" customFormat="false" ht="13.5" hidden="false" customHeight="false" outlineLevel="0" collapsed="false">
      <c r="A623" s="424"/>
      <c r="B623" s="424"/>
      <c r="C623" s="424"/>
      <c r="D623" s="424"/>
      <c r="E623" s="424"/>
      <c r="F623" s="424"/>
      <c r="G623" s="424"/>
      <c r="H623" s="424"/>
      <c r="I623" s="424"/>
      <c r="J623" s="424"/>
      <c r="K623" s="424"/>
      <c r="L623" s="424"/>
      <c r="M623" s="424"/>
      <c r="N623" s="424"/>
      <c r="O623" s="424"/>
      <c r="P623" s="438" t="s">
        <v>417</v>
      </c>
      <c r="Q623" s="435" t="n">
        <v>7</v>
      </c>
      <c r="R623" s="434" t="s">
        <v>426</v>
      </c>
      <c r="S623" s="434" t="s">
        <v>427</v>
      </c>
      <c r="T623" s="434" t="s">
        <v>428</v>
      </c>
      <c r="U623" s="434" t="s">
        <v>429</v>
      </c>
      <c r="V623" s="436" t="n">
        <f aca="false">AY623</f>
        <v>0</v>
      </c>
    </row>
    <row r="624" customFormat="false" ht="13.5" hidden="false" customHeight="false" outlineLevel="0" collapsed="false">
      <c r="A624" s="424"/>
      <c r="B624" s="424"/>
      <c r="C624" s="424"/>
      <c r="D624" s="424"/>
      <c r="E624" s="424"/>
      <c r="F624" s="424"/>
      <c r="G624" s="424"/>
      <c r="H624" s="424"/>
      <c r="I624" s="424"/>
      <c r="J624" s="424"/>
      <c r="K624" s="424"/>
      <c r="L624" s="424"/>
      <c r="M624" s="424"/>
      <c r="N624" s="424"/>
      <c r="O624" s="424"/>
      <c r="P624" s="438" t="s">
        <v>417</v>
      </c>
      <c r="Q624" s="435" t="n">
        <v>8</v>
      </c>
      <c r="R624" s="434" t="s">
        <v>430</v>
      </c>
      <c r="S624" s="434" t="s">
        <v>431</v>
      </c>
      <c r="T624" s="434" t="s">
        <v>432</v>
      </c>
      <c r="U624" s="434" t="s">
        <v>433</v>
      </c>
      <c r="V624" s="436" t="n">
        <f aca="false">AY624</f>
        <v>0</v>
      </c>
    </row>
    <row r="625" customFormat="false" ht="13.5" hidden="false" customHeight="false" outlineLevel="0" collapsed="false">
      <c r="A625" s="424"/>
      <c r="B625" s="424"/>
      <c r="C625" s="424"/>
      <c r="D625" s="424"/>
      <c r="E625" s="424"/>
      <c r="F625" s="424"/>
      <c r="G625" s="424"/>
      <c r="H625" s="424"/>
      <c r="I625" s="424"/>
      <c r="J625" s="424"/>
      <c r="K625" s="424"/>
      <c r="L625" s="424"/>
      <c r="M625" s="424"/>
      <c r="N625" s="424"/>
      <c r="O625" s="424"/>
      <c r="P625" s="438" t="s">
        <v>417</v>
      </c>
      <c r="Q625" s="435" t="n">
        <v>9</v>
      </c>
      <c r="R625" s="434" t="s">
        <v>434</v>
      </c>
      <c r="S625" s="434" t="s">
        <v>435</v>
      </c>
      <c r="T625" s="434" t="s">
        <v>436</v>
      </c>
      <c r="U625" s="434" t="s">
        <v>437</v>
      </c>
      <c r="V625" s="436" t="n">
        <f aca="false">AY625</f>
        <v>0</v>
      </c>
    </row>
    <row r="626" customFormat="false" ht="13.5" hidden="false" customHeight="false" outlineLevel="0" collapsed="false">
      <c r="A626" s="424"/>
      <c r="B626" s="424"/>
      <c r="C626" s="424"/>
      <c r="D626" s="424"/>
      <c r="E626" s="424"/>
      <c r="F626" s="424"/>
      <c r="G626" s="424"/>
      <c r="H626" s="424"/>
      <c r="I626" s="424"/>
      <c r="J626" s="424"/>
      <c r="K626" s="424"/>
      <c r="L626" s="424"/>
      <c r="M626" s="424"/>
      <c r="N626" s="424"/>
      <c r="O626" s="424"/>
      <c r="P626" s="438" t="s">
        <v>417</v>
      </c>
      <c r="Q626" s="435" t="n">
        <v>10</v>
      </c>
      <c r="R626" s="434" t="s">
        <v>438</v>
      </c>
      <c r="S626" s="424"/>
      <c r="T626" s="434" t="s">
        <v>439</v>
      </c>
      <c r="U626" s="434" t="s">
        <v>440</v>
      </c>
      <c r="V626" s="436" t="n">
        <f aca="false">AY626</f>
        <v>0</v>
      </c>
    </row>
    <row r="627" customFormat="false" ht="13.5" hidden="false" customHeight="false" outlineLevel="0" collapsed="false">
      <c r="A627" s="424"/>
      <c r="B627" s="424"/>
      <c r="C627" s="424"/>
      <c r="D627" s="424"/>
      <c r="E627" s="424"/>
      <c r="F627" s="435" t="n">
        <f aca="false">TRUNC(+A629/1000000)</f>
        <v>2</v>
      </c>
      <c r="G627" s="424"/>
      <c r="H627" s="424"/>
      <c r="I627" s="424"/>
      <c r="J627" s="424"/>
      <c r="K627" s="424"/>
      <c r="L627" s="424"/>
      <c r="M627" s="424"/>
      <c r="N627" s="424"/>
      <c r="O627" s="424"/>
      <c r="P627" s="438" t="s">
        <v>417</v>
      </c>
      <c r="Q627" s="435" t="n">
        <v>11</v>
      </c>
      <c r="R627" s="434" t="s">
        <v>441</v>
      </c>
      <c r="S627" s="424"/>
      <c r="T627" s="434" t="s">
        <v>442</v>
      </c>
      <c r="U627" s="434" t="s">
        <v>443</v>
      </c>
      <c r="V627" s="436" t="n">
        <f aca="false">AY627</f>
        <v>0</v>
      </c>
    </row>
    <row r="628" customFormat="false" ht="13.5" hidden="false" customHeight="false" outlineLevel="0" collapsed="false">
      <c r="A628" s="424"/>
      <c r="B628" s="424"/>
      <c r="C628" s="424"/>
      <c r="D628" s="424"/>
      <c r="E628" s="424"/>
      <c r="F628" s="435" t="e">
        <f aca="false">(+B632*100000+C632*1000+E632*100)</f>
        <v>#VALUE!</v>
      </c>
      <c r="G628" s="424"/>
      <c r="H628" s="424"/>
      <c r="I628" s="424"/>
      <c r="J628" s="424"/>
      <c r="K628" s="424"/>
      <c r="L628" s="434" t="s">
        <v>444</v>
      </c>
      <c r="M628" s="424"/>
      <c r="N628" s="424"/>
      <c r="O628" s="424"/>
      <c r="P628" s="438" t="s">
        <v>417</v>
      </c>
      <c r="Q628" s="435" t="n">
        <v>12</v>
      </c>
      <c r="R628" s="434" t="s">
        <v>445</v>
      </c>
      <c r="S628" s="424"/>
      <c r="T628" s="434" t="s">
        <v>446</v>
      </c>
      <c r="U628" s="434" t="s">
        <v>447</v>
      </c>
      <c r="V628" s="436" t="n">
        <f aca="false">AY628</f>
        <v>0</v>
      </c>
    </row>
    <row r="629" customFormat="false" ht="13.5" hidden="false" customHeight="false" outlineLevel="0" collapsed="false">
      <c r="A629" s="436" t="n">
        <f aca="false">TRUNC(+A630)</f>
        <v>2000000</v>
      </c>
      <c r="B629" s="424"/>
      <c r="C629" s="424"/>
      <c r="D629" s="424"/>
      <c r="E629" s="440" t="n">
        <f aca="false">TRUNC(+A629/100000000)</f>
        <v>0</v>
      </c>
      <c r="F629" s="424"/>
      <c r="G629" s="424"/>
      <c r="H629" s="424"/>
      <c r="I629" s="424"/>
      <c r="J629" s="424"/>
      <c r="K629" s="424"/>
      <c r="L629" s="424"/>
      <c r="M629" s="424"/>
      <c r="N629" s="424"/>
      <c r="O629" s="424"/>
      <c r="P629" s="438" t="s">
        <v>417</v>
      </c>
      <c r="Q629" s="435" t="n">
        <v>13</v>
      </c>
      <c r="R629" s="434" t="s">
        <v>448</v>
      </c>
      <c r="S629" s="424"/>
      <c r="T629" s="434" t="s">
        <v>449</v>
      </c>
      <c r="U629" s="434" t="s">
        <v>450</v>
      </c>
      <c r="V629" s="436" t="n">
        <f aca="false">AY629</f>
        <v>0</v>
      </c>
    </row>
    <row r="630" customFormat="false" ht="13.5" hidden="false" customHeight="false" outlineLevel="0" collapsed="false">
      <c r="A630" s="441" t="n">
        <f aca="false">'[2]Pola Penjaminan'!E15</f>
        <v>2000000</v>
      </c>
      <c r="B630" s="434" t="s">
        <v>451</v>
      </c>
      <c r="C630" s="434" t="s">
        <v>452</v>
      </c>
      <c r="D630" s="424"/>
      <c r="E630" s="434" t="s">
        <v>452</v>
      </c>
      <c r="F630" s="424"/>
      <c r="G630" s="424"/>
      <c r="H630" s="424"/>
      <c r="I630" s="440" t="n">
        <f aca="false">TRUNC((+A629-(+F627*1000000))/1000)</f>
        <v>0</v>
      </c>
      <c r="J630" s="424"/>
      <c r="K630" s="440" t="n">
        <f aca="false">(TRUNC((+A629-(+F627*1000000))/1))-I630*1000</f>
        <v>0</v>
      </c>
      <c r="L630" s="424"/>
      <c r="M630" s="424"/>
      <c r="N630" s="424"/>
      <c r="O630" s="424"/>
      <c r="P630" s="438" t="s">
        <v>417</v>
      </c>
      <c r="Q630" s="435" t="n">
        <v>14</v>
      </c>
      <c r="R630" s="434" t="s">
        <v>453</v>
      </c>
      <c r="S630" s="424"/>
      <c r="T630" s="434" t="s">
        <v>454</v>
      </c>
      <c r="U630" s="434" t="s">
        <v>455</v>
      </c>
      <c r="V630" s="436" t="n">
        <f aca="false">AY630</f>
        <v>0</v>
      </c>
    </row>
    <row r="631" customFormat="false" ht="13.5" hidden="false" customHeight="false" outlineLevel="0" collapsed="false">
      <c r="A631" s="424"/>
      <c r="B631" s="442" t="s">
        <v>712</v>
      </c>
      <c r="C631" s="442" t="s">
        <v>712</v>
      </c>
      <c r="D631" s="424"/>
      <c r="E631" s="442" t="s">
        <v>712</v>
      </c>
      <c r="F631" s="424"/>
      <c r="G631" s="424"/>
      <c r="H631" s="424"/>
      <c r="I631" s="424"/>
      <c r="J631" s="424"/>
      <c r="K631" s="424"/>
      <c r="L631" s="424"/>
      <c r="M631" s="424"/>
      <c r="N631" s="440" t="n">
        <f aca="false">ROUND(((+A630-A629)*100),1)</f>
        <v>0</v>
      </c>
      <c r="O631" s="424"/>
      <c r="P631" s="438" t="s">
        <v>417</v>
      </c>
      <c r="Q631" s="435" t="n">
        <v>15</v>
      </c>
      <c r="R631" s="434" t="s">
        <v>457</v>
      </c>
      <c r="S631" s="424"/>
      <c r="T631" s="434" t="s">
        <v>458</v>
      </c>
      <c r="U631" s="434" t="s">
        <v>459</v>
      </c>
      <c r="V631" s="436" t="n">
        <f aca="false">AY631</f>
        <v>0</v>
      </c>
    </row>
    <row r="632" customFormat="false" ht="13.5" hidden="false" customHeight="false" outlineLevel="0" collapsed="false">
      <c r="A632" s="424"/>
      <c r="B632" s="440" t="n">
        <f aca="false">TRUNC(+A630/100000000000)</f>
        <v>0</v>
      </c>
      <c r="C632" s="440" t="n">
        <f aca="false">(TRUNC(+A629/1000000000))-B632*100</f>
        <v>0</v>
      </c>
      <c r="D632" s="424"/>
      <c r="E632" s="435" t="str">
        <f aca="false">IF(E629&gt;0,TRUNC(+E629-B632*1000-C632*10),"")</f>
        <v/>
      </c>
      <c r="F632" s="435" t="e">
        <f aca="false">F627-F628</f>
        <v>#VALUE!</v>
      </c>
      <c r="G632" s="435" t="e">
        <f aca="false">G634</f>
        <v>#VALUE!</v>
      </c>
      <c r="H632" s="440" t="n">
        <f aca="false">TRUNC((+A629-(+F627*1000000))/100000)</f>
        <v>0</v>
      </c>
      <c r="I632" s="440" t="n">
        <f aca="false">I630-H632*100</f>
        <v>0</v>
      </c>
      <c r="J632" s="424"/>
      <c r="K632" s="440" t="n">
        <f aca="false">TRUNC(+K630/100)</f>
        <v>0</v>
      </c>
      <c r="L632" s="440" t="n">
        <f aca="false">K630-K632*100</f>
        <v>0</v>
      </c>
      <c r="M632" s="440" t="str">
        <f aca="false">IF(N632&gt;0," &amp; Sen ","")</f>
        <v/>
      </c>
      <c r="N632" s="435" t="n">
        <f aca="false">N631</f>
        <v>0</v>
      </c>
      <c r="O632" s="424"/>
      <c r="P632" s="438" t="s">
        <v>417</v>
      </c>
      <c r="Q632" s="435" t="n">
        <v>16</v>
      </c>
      <c r="R632" s="434" t="s">
        <v>460</v>
      </c>
      <c r="S632" s="424"/>
      <c r="T632" s="434" t="s">
        <v>461</v>
      </c>
      <c r="U632" s="434" t="s">
        <v>462</v>
      </c>
      <c r="V632" s="436" t="n">
        <f aca="false">AY632</f>
        <v>0</v>
      </c>
    </row>
    <row r="633" customFormat="false" ht="13.5" hidden="false" customHeight="false" outlineLevel="0" collapsed="false">
      <c r="A633" s="424"/>
      <c r="B633" s="424"/>
      <c r="C633" s="424"/>
      <c r="D633" s="424"/>
      <c r="E633" s="424"/>
      <c r="F633" s="424"/>
      <c r="G633" s="424"/>
      <c r="H633" s="424"/>
      <c r="I633" s="424"/>
      <c r="J633" s="424"/>
      <c r="K633" s="424"/>
      <c r="L633" s="424"/>
      <c r="M633" s="424"/>
      <c r="N633" s="424"/>
      <c r="O633" s="424"/>
      <c r="P633" s="438" t="s">
        <v>417</v>
      </c>
      <c r="Q633" s="435" t="n">
        <v>17</v>
      </c>
      <c r="R633" s="434" t="s">
        <v>463</v>
      </c>
      <c r="S633" s="424"/>
      <c r="T633" s="434" t="s">
        <v>464</v>
      </c>
      <c r="U633" s="434" t="s">
        <v>465</v>
      </c>
      <c r="V633" s="436" t="n">
        <f aca="false">AY633</f>
        <v>0</v>
      </c>
    </row>
    <row r="634" customFormat="false" ht="13.5" hidden="false" customHeight="false" outlineLevel="0" collapsed="false">
      <c r="A634" s="440" t="n">
        <f aca="false">B632*100000000000</f>
        <v>0</v>
      </c>
      <c r="B634" s="440" t="str">
        <f aca="false">IF(B632&gt;0,VLOOKUP(B632,$Q$7:$T$15,3),"")</f>
        <v/>
      </c>
      <c r="C634" s="440" t="str">
        <f aca="false">IF(C632&gt;0,VLOOKUP(C632,Q617:R715,2),"")</f>
        <v/>
      </c>
      <c r="D634" s="440" t="str">
        <f aca="false">IF(B629+C632&gt;0," Milyar ","")</f>
        <v/>
      </c>
      <c r="E634" s="440" t="e">
        <f aca="false">IF(E632&gt;0,VLOOKUP(E632,$Q$7:$T$15,3),"")</f>
        <v>#N/A</v>
      </c>
      <c r="F634" s="440" t="e">
        <f aca="false">IF(F632&gt;0,VLOOKUP(F632,Q617:R715,2),"")</f>
        <v>#VALUE!</v>
      </c>
      <c r="G634" s="435" t="e">
        <f aca="false">IF(F632+E632&gt;0," Juta","")</f>
        <v>#VALUE!</v>
      </c>
      <c r="H634" s="440" t="str">
        <f aca="false">IF(H632&gt;0,VLOOKUP(H632,$Q$7:$T$15,3),"")</f>
        <v/>
      </c>
      <c r="I634" s="440" t="str">
        <f aca="false">IF(I632=1," Se",IF(I632=0,"",VLOOKUP(I632,Q617:R715,2)))</f>
        <v/>
      </c>
      <c r="J634" s="435" t="str">
        <f aca="false">IF(I632+H632&gt;0," ribu","")</f>
        <v/>
      </c>
      <c r="K634" s="440" t="str">
        <f aca="false">IF(K632&gt;0,VLOOKUP(K632,Q617:S625,3),"")</f>
        <v/>
      </c>
      <c r="L634" s="440" t="str">
        <f aca="false">IF(L632&gt;0,VLOOKUP(L632,Q617:R715,2),"")</f>
        <v/>
      </c>
      <c r="M634" s="440" t="str">
        <f aca="false">IF(N632&gt;0,VLOOKUP(N631,Q616:U715,5)," Rupiah ")</f>
        <v> Rupiah </v>
      </c>
      <c r="N634" s="424"/>
      <c r="O634" s="435" t="str">
        <f aca="false">IF(N632&gt;0," ====","")</f>
        <v/>
      </c>
      <c r="P634" s="435" t="str">
        <f aca="false">IF(N632&gt;0,"-","====")</f>
        <v>====</v>
      </c>
      <c r="Q634" s="435" t="n">
        <v>18</v>
      </c>
      <c r="R634" s="434" t="s">
        <v>466</v>
      </c>
      <c r="S634" s="424"/>
      <c r="T634" s="434" t="s">
        <v>467</v>
      </c>
      <c r="U634" s="434" t="s">
        <v>468</v>
      </c>
      <c r="V634" s="436" t="n">
        <f aca="false">AY634</f>
        <v>0</v>
      </c>
    </row>
    <row r="635" customFormat="false" ht="13.5" hidden="false" customHeight="false" outlineLevel="0" collapsed="false">
      <c r="A635" s="440"/>
      <c r="B635" s="435" t="str">
        <f aca="false">B634</f>
        <v/>
      </c>
      <c r="C635" s="424"/>
      <c r="D635" s="424"/>
      <c r="E635" s="424"/>
      <c r="F635" s="424"/>
      <c r="G635" s="424"/>
      <c r="H635" s="424"/>
      <c r="I635" s="424"/>
      <c r="J635" s="424"/>
      <c r="K635" s="424"/>
      <c r="L635" s="424"/>
      <c r="M635" s="424"/>
      <c r="N635" s="424"/>
      <c r="O635" s="424"/>
      <c r="P635" s="438" t="s">
        <v>417</v>
      </c>
      <c r="Q635" s="435" t="n">
        <v>19</v>
      </c>
      <c r="R635" s="434" t="s">
        <v>469</v>
      </c>
      <c r="S635" s="424"/>
      <c r="T635" s="434" t="s">
        <v>470</v>
      </c>
      <c r="U635" s="434" t="s">
        <v>471</v>
      </c>
      <c r="V635" s="436" t="n">
        <f aca="false">AY640</f>
        <v>0</v>
      </c>
    </row>
    <row r="636" customFormat="false" ht="13.5" hidden="false" customHeight="false" outlineLevel="0" collapsed="false">
      <c r="A636" s="440"/>
      <c r="B636" s="435" t="str">
        <f aca="false">C634</f>
        <v/>
      </c>
      <c r="C636" s="424"/>
      <c r="D636" s="424"/>
      <c r="E636" s="424"/>
      <c r="F636" s="424"/>
      <c r="G636" s="424"/>
      <c r="H636" s="424"/>
      <c r="I636" s="424"/>
      <c r="J636" s="424"/>
      <c r="K636" s="424"/>
      <c r="L636" s="424"/>
      <c r="M636" s="424"/>
      <c r="N636" s="424"/>
      <c r="O636" s="424"/>
      <c r="P636" s="438" t="s">
        <v>417</v>
      </c>
      <c r="Q636" s="435" t="n">
        <v>20</v>
      </c>
      <c r="R636" s="434" t="s">
        <v>472</v>
      </c>
      <c r="S636" s="424"/>
      <c r="T636" s="434" t="s">
        <v>473</v>
      </c>
      <c r="U636" s="434" t="s">
        <v>474</v>
      </c>
      <c r="V636" s="436" t="n">
        <f aca="false">AY641</f>
        <v>0</v>
      </c>
    </row>
    <row r="637" customFormat="false" ht="13.5" hidden="false" customHeight="false" outlineLevel="0" collapsed="false">
      <c r="A637" s="440"/>
      <c r="B637" s="435" t="str">
        <f aca="false">D634</f>
        <v/>
      </c>
      <c r="C637" s="424"/>
      <c r="D637" s="424"/>
      <c r="E637" s="424"/>
      <c r="F637" s="424"/>
      <c r="G637" s="424"/>
      <c r="H637" s="424"/>
      <c r="I637" s="424"/>
      <c r="J637" s="424"/>
      <c r="K637" s="424"/>
      <c r="L637" s="424"/>
      <c r="M637" s="424"/>
      <c r="N637" s="424"/>
      <c r="O637" s="424"/>
      <c r="P637" s="438" t="s">
        <v>417</v>
      </c>
      <c r="Q637" s="435" t="n">
        <v>21</v>
      </c>
      <c r="R637" s="434" t="s">
        <v>475</v>
      </c>
      <c r="S637" s="424"/>
      <c r="T637" s="434" t="s">
        <v>476</v>
      </c>
      <c r="U637" s="434" t="s">
        <v>477</v>
      </c>
      <c r="V637" s="436" t="n">
        <f aca="false">AY642</f>
        <v>0</v>
      </c>
    </row>
    <row r="638" customFormat="false" ht="13.5" hidden="false" customHeight="false" outlineLevel="0" collapsed="false">
      <c r="A638" s="440"/>
      <c r="B638" s="435" t="e">
        <f aca="false">E634</f>
        <v>#N/A</v>
      </c>
      <c r="C638" s="424"/>
      <c r="D638" s="424"/>
      <c r="E638" s="424"/>
      <c r="F638" s="424"/>
      <c r="G638" s="424"/>
      <c r="H638" s="424"/>
      <c r="I638" s="424"/>
      <c r="J638" s="424"/>
      <c r="K638" s="424"/>
      <c r="L638" s="424"/>
      <c r="M638" s="424"/>
      <c r="N638" s="424"/>
      <c r="O638" s="424"/>
      <c r="P638" s="424"/>
      <c r="Q638" s="435" t="n">
        <v>22</v>
      </c>
      <c r="R638" s="434" t="s">
        <v>478</v>
      </c>
      <c r="S638" s="424"/>
      <c r="T638" s="434" t="s">
        <v>479</v>
      </c>
      <c r="U638" s="434" t="s">
        <v>480</v>
      </c>
      <c r="V638" s="436" t="n">
        <f aca="false">AY643</f>
        <v>0</v>
      </c>
    </row>
    <row r="639" customFormat="false" ht="13.5" hidden="false" customHeight="false" outlineLevel="0" collapsed="false">
      <c r="A639" s="440"/>
      <c r="B639" s="435" t="e">
        <f aca="false">F634</f>
        <v>#VALUE!</v>
      </c>
      <c r="C639" s="424"/>
      <c r="D639" s="424"/>
      <c r="E639" s="424"/>
      <c r="F639" s="424"/>
      <c r="G639" s="424"/>
      <c r="H639" s="424"/>
      <c r="I639" s="424"/>
      <c r="J639" s="424"/>
      <c r="K639" s="424"/>
      <c r="L639" s="424"/>
      <c r="M639" s="424"/>
      <c r="N639" s="424"/>
      <c r="O639" s="424"/>
      <c r="P639" s="438" t="s">
        <v>417</v>
      </c>
      <c r="Q639" s="435" t="n">
        <v>23</v>
      </c>
      <c r="R639" s="434" t="s">
        <v>481</v>
      </c>
      <c r="S639" s="424"/>
      <c r="T639" s="434" t="s">
        <v>482</v>
      </c>
      <c r="U639" s="434" t="s">
        <v>483</v>
      </c>
      <c r="V639" s="436" t="n">
        <f aca="false">AY644</f>
        <v>0</v>
      </c>
    </row>
    <row r="640" customFormat="false" ht="13.5" hidden="false" customHeight="false" outlineLevel="0" collapsed="false">
      <c r="A640" s="424"/>
      <c r="B640" s="424"/>
      <c r="C640" s="424"/>
      <c r="D640" s="424"/>
      <c r="E640" s="424"/>
      <c r="F640" s="424"/>
      <c r="G640" s="424"/>
      <c r="H640" s="424"/>
      <c r="I640" s="424"/>
      <c r="J640" s="424"/>
      <c r="K640" s="424"/>
      <c r="L640" s="424"/>
      <c r="M640" s="424"/>
      <c r="N640" s="424"/>
      <c r="O640" s="424"/>
      <c r="P640" s="438" t="s">
        <v>417</v>
      </c>
      <c r="Q640" s="435" t="n">
        <v>24</v>
      </c>
      <c r="R640" s="434" t="s">
        <v>484</v>
      </c>
      <c r="S640" s="424"/>
      <c r="T640" s="434" t="s">
        <v>485</v>
      </c>
      <c r="U640" s="434" t="s">
        <v>486</v>
      </c>
      <c r="V640" s="436" t="n">
        <f aca="false">AY645</f>
        <v>0</v>
      </c>
    </row>
    <row r="641" customFormat="false" ht="13.5" hidden="false" customHeight="false" outlineLevel="0" collapsed="false">
      <c r="A641" s="424"/>
      <c r="B641" s="424"/>
      <c r="C641" s="424"/>
      <c r="D641" s="424"/>
      <c r="E641" s="424"/>
      <c r="F641" s="424"/>
      <c r="G641" s="424"/>
      <c r="H641" s="424"/>
      <c r="I641" s="424"/>
      <c r="J641" s="424"/>
      <c r="K641" s="424"/>
      <c r="L641" s="424"/>
      <c r="M641" s="424"/>
      <c r="N641" s="424"/>
      <c r="O641" s="424"/>
      <c r="P641" s="438" t="s">
        <v>417</v>
      </c>
      <c r="Q641" s="435" t="n">
        <v>25</v>
      </c>
      <c r="R641" s="434" t="s">
        <v>487</v>
      </c>
      <c r="S641" s="424"/>
      <c r="T641" s="434" t="s">
        <v>488</v>
      </c>
      <c r="U641" s="434" t="s">
        <v>489</v>
      </c>
      <c r="V641" s="436" t="n">
        <f aca="false">AY646</f>
        <v>0</v>
      </c>
    </row>
    <row r="642" customFormat="false" ht="13.5" hidden="false" customHeight="false" outlineLevel="0" collapsed="false">
      <c r="A642" s="424"/>
      <c r="B642" s="424"/>
      <c r="C642" s="424"/>
      <c r="D642" s="424"/>
      <c r="E642" s="424"/>
      <c r="F642" s="424"/>
      <c r="G642" s="424"/>
      <c r="H642" s="424"/>
      <c r="I642" s="424"/>
      <c r="J642" s="424"/>
      <c r="K642" s="424"/>
      <c r="L642" s="424"/>
      <c r="M642" s="424"/>
      <c r="N642" s="424"/>
      <c r="O642" s="424"/>
      <c r="P642" s="438" t="s">
        <v>417</v>
      </c>
      <c r="Q642" s="435" t="n">
        <v>26</v>
      </c>
      <c r="R642" s="434" t="s">
        <v>490</v>
      </c>
      <c r="S642" s="424"/>
      <c r="T642" s="434" t="s">
        <v>491</v>
      </c>
      <c r="U642" s="434" t="s">
        <v>492</v>
      </c>
      <c r="V642" s="436" t="n">
        <f aca="false">AY647</f>
        <v>0</v>
      </c>
    </row>
    <row r="643" customFormat="false" ht="13.5" hidden="false" customHeight="false" outlineLevel="0" collapsed="false">
      <c r="A643" s="424"/>
      <c r="B643" s="424"/>
      <c r="C643" s="424"/>
      <c r="D643" s="424"/>
      <c r="E643" s="424"/>
      <c r="F643" s="424"/>
      <c r="G643" s="424"/>
      <c r="H643" s="424"/>
      <c r="I643" s="424"/>
      <c r="J643" s="424"/>
      <c r="K643" s="424"/>
      <c r="L643" s="424"/>
      <c r="M643" s="424"/>
      <c r="N643" s="424"/>
      <c r="O643" s="424"/>
      <c r="P643" s="424"/>
      <c r="Q643" s="435" t="n">
        <v>27</v>
      </c>
      <c r="R643" s="434" t="s">
        <v>493</v>
      </c>
      <c r="S643" s="424"/>
      <c r="T643" s="434" t="s">
        <v>494</v>
      </c>
      <c r="U643" s="434" t="s">
        <v>495</v>
      </c>
      <c r="V643" s="436" t="n">
        <f aca="false">AY648</f>
        <v>0</v>
      </c>
    </row>
    <row r="644" customFormat="false" ht="13.5" hidden="false" customHeight="false" outlineLevel="0" collapsed="false">
      <c r="A644" s="424"/>
      <c r="B644" s="424"/>
      <c r="C644" s="424"/>
      <c r="D644" s="424"/>
      <c r="E644" s="424"/>
      <c r="F644" s="424"/>
      <c r="G644" s="424"/>
      <c r="H644" s="424"/>
      <c r="I644" s="424"/>
      <c r="J644" s="424"/>
      <c r="K644" s="424"/>
      <c r="L644" s="424"/>
      <c r="M644" s="424"/>
      <c r="N644" s="424"/>
      <c r="O644" s="424"/>
      <c r="P644" s="424"/>
      <c r="Q644" s="435" t="n">
        <v>28</v>
      </c>
      <c r="R644" s="434" t="s">
        <v>496</v>
      </c>
      <c r="S644" s="424"/>
      <c r="T644" s="434" t="s">
        <v>497</v>
      </c>
      <c r="U644" s="434" t="s">
        <v>498</v>
      </c>
      <c r="V644" s="436" t="n">
        <f aca="false">AY649</f>
        <v>0</v>
      </c>
    </row>
    <row r="645" customFormat="false" ht="13.5" hidden="false" customHeight="false" outlineLevel="0" collapsed="false">
      <c r="A645" s="424"/>
      <c r="B645" s="424"/>
      <c r="C645" s="424"/>
      <c r="D645" s="424"/>
      <c r="E645" s="424"/>
      <c r="F645" s="424"/>
      <c r="G645" s="424"/>
      <c r="H645" s="424"/>
      <c r="I645" s="424"/>
      <c r="J645" s="424"/>
      <c r="K645" s="424"/>
      <c r="L645" s="424"/>
      <c r="M645" s="424"/>
      <c r="N645" s="424"/>
      <c r="O645" s="424"/>
      <c r="P645" s="424"/>
      <c r="Q645" s="435" t="n">
        <v>29</v>
      </c>
      <c r="R645" s="434" t="s">
        <v>499</v>
      </c>
      <c r="S645" s="424"/>
      <c r="T645" s="434" t="s">
        <v>500</v>
      </c>
      <c r="U645" s="434" t="s">
        <v>501</v>
      </c>
      <c r="V645" s="436" t="n">
        <f aca="false">AY650</f>
        <v>0</v>
      </c>
    </row>
    <row r="646" customFormat="false" ht="13.5" hidden="false" customHeight="false" outlineLevel="0" collapsed="false">
      <c r="A646" s="424"/>
      <c r="B646" s="424"/>
      <c r="C646" s="424"/>
      <c r="D646" s="424"/>
      <c r="E646" s="424"/>
      <c r="F646" s="424"/>
      <c r="G646" s="424"/>
      <c r="H646" s="424"/>
      <c r="I646" s="424"/>
      <c r="J646" s="424"/>
      <c r="K646" s="424"/>
      <c r="L646" s="424"/>
      <c r="M646" s="424"/>
      <c r="N646" s="424"/>
      <c r="O646" s="424"/>
      <c r="P646" s="424"/>
      <c r="Q646" s="435" t="n">
        <v>30</v>
      </c>
      <c r="R646" s="434" t="s">
        <v>502</v>
      </c>
      <c r="S646" s="424"/>
      <c r="T646" s="434" t="s">
        <v>503</v>
      </c>
      <c r="U646" s="434" t="s">
        <v>504</v>
      </c>
      <c r="V646" s="436" t="n">
        <f aca="false">AY651</f>
        <v>0</v>
      </c>
    </row>
    <row r="647" customFormat="false" ht="13.5" hidden="false" customHeight="false" outlineLevel="0" collapsed="false">
      <c r="A647" s="424"/>
      <c r="B647" s="424"/>
      <c r="C647" s="424"/>
      <c r="D647" s="424"/>
      <c r="E647" s="424"/>
      <c r="F647" s="424"/>
      <c r="G647" s="424"/>
      <c r="H647" s="424"/>
      <c r="I647" s="424"/>
      <c r="J647" s="424"/>
      <c r="K647" s="424"/>
      <c r="L647" s="424"/>
      <c r="M647" s="424"/>
      <c r="N647" s="424"/>
      <c r="O647" s="424"/>
      <c r="P647" s="424"/>
      <c r="Q647" s="435" t="n">
        <v>31</v>
      </c>
      <c r="R647" s="434" t="s">
        <v>505</v>
      </c>
      <c r="S647" s="424"/>
      <c r="T647" s="434" t="s">
        <v>506</v>
      </c>
      <c r="U647" s="434" t="s">
        <v>507</v>
      </c>
      <c r="V647" s="436" t="n">
        <f aca="false">AY652</f>
        <v>0</v>
      </c>
    </row>
    <row r="648" customFormat="false" ht="13.5" hidden="false" customHeight="false" outlineLevel="0" collapsed="false">
      <c r="A648" s="424"/>
      <c r="B648" s="424"/>
      <c r="C648" s="424"/>
      <c r="D648" s="424"/>
      <c r="E648" s="424"/>
      <c r="F648" s="424"/>
      <c r="G648" s="424"/>
      <c r="H648" s="424"/>
      <c r="I648" s="424"/>
      <c r="J648" s="424"/>
      <c r="K648" s="424"/>
      <c r="L648" s="424"/>
      <c r="M648" s="424"/>
      <c r="N648" s="424"/>
      <c r="O648" s="424"/>
      <c r="P648" s="424"/>
      <c r="Q648" s="435" t="n">
        <v>32</v>
      </c>
      <c r="R648" s="434" t="s">
        <v>508</v>
      </c>
      <c r="S648" s="424"/>
      <c r="T648" s="434" t="s">
        <v>509</v>
      </c>
      <c r="U648" s="434" t="s">
        <v>510</v>
      </c>
      <c r="V648" s="436" t="n">
        <f aca="false">AY653</f>
        <v>0</v>
      </c>
    </row>
    <row r="649" customFormat="false" ht="13.5" hidden="false" customHeight="false" outlineLevel="0" collapsed="false">
      <c r="A649" s="440"/>
      <c r="B649" s="435" t="e">
        <f aca="false">G634</f>
        <v>#VALUE!</v>
      </c>
      <c r="C649" s="424"/>
      <c r="D649" s="424"/>
      <c r="E649" s="424"/>
      <c r="F649" s="424"/>
      <c r="G649" s="424"/>
      <c r="H649" s="424"/>
      <c r="I649" s="424"/>
      <c r="J649" s="424"/>
      <c r="K649" s="424"/>
      <c r="L649" s="424"/>
      <c r="M649" s="424"/>
      <c r="N649" s="424"/>
      <c r="O649" s="424"/>
      <c r="P649" s="424"/>
      <c r="Q649" s="435" t="n">
        <v>33</v>
      </c>
      <c r="R649" s="434" t="s">
        <v>511</v>
      </c>
      <c r="S649" s="424"/>
      <c r="T649" s="434" t="s">
        <v>512</v>
      </c>
      <c r="U649" s="434" t="s">
        <v>513</v>
      </c>
      <c r="V649" s="436" t="n">
        <f aca="false">AY654</f>
        <v>0</v>
      </c>
    </row>
    <row r="650" customFormat="false" ht="13.5" hidden="false" customHeight="false" outlineLevel="0" collapsed="false">
      <c r="A650" s="440"/>
      <c r="B650" s="435" t="str">
        <f aca="false">H634</f>
        <v/>
      </c>
      <c r="C650" s="424"/>
      <c r="D650" s="424"/>
      <c r="E650" s="424"/>
      <c r="F650" s="424"/>
      <c r="G650" s="424"/>
      <c r="H650" s="424"/>
      <c r="I650" s="424"/>
      <c r="J650" s="424"/>
      <c r="K650" s="424"/>
      <c r="L650" s="424"/>
      <c r="M650" s="424"/>
      <c r="N650" s="424"/>
      <c r="O650" s="424"/>
      <c r="P650" s="424"/>
      <c r="Q650" s="435" t="n">
        <v>34</v>
      </c>
      <c r="R650" s="434" t="s">
        <v>514</v>
      </c>
      <c r="S650" s="424"/>
      <c r="T650" s="434" t="s">
        <v>515</v>
      </c>
      <c r="U650" s="434" t="s">
        <v>516</v>
      </c>
      <c r="V650" s="436" t="n">
        <f aca="false">AY655</f>
        <v>0</v>
      </c>
    </row>
    <row r="651" customFormat="false" ht="13.5" hidden="false" customHeight="false" outlineLevel="0" collapsed="false">
      <c r="A651" s="440"/>
      <c r="B651" s="435" t="str">
        <f aca="false">I634</f>
        <v/>
      </c>
      <c r="C651" s="424"/>
      <c r="D651" s="424"/>
      <c r="E651" s="424"/>
      <c r="F651" s="424"/>
      <c r="G651" s="424"/>
      <c r="H651" s="424"/>
      <c r="I651" s="424"/>
      <c r="J651" s="424"/>
      <c r="K651" s="424"/>
      <c r="L651" s="424"/>
      <c r="M651" s="424"/>
      <c r="N651" s="424"/>
      <c r="O651" s="424"/>
      <c r="P651" s="424"/>
      <c r="Q651" s="435" t="n">
        <v>35</v>
      </c>
      <c r="R651" s="434" t="s">
        <v>517</v>
      </c>
      <c r="S651" s="424"/>
      <c r="T651" s="434" t="s">
        <v>518</v>
      </c>
      <c r="U651" s="434" t="s">
        <v>519</v>
      </c>
      <c r="V651" s="436" t="n">
        <f aca="false">AY656</f>
        <v>0</v>
      </c>
    </row>
    <row r="652" customFormat="false" ht="13.5" hidden="false" customHeight="false" outlineLevel="0" collapsed="false">
      <c r="A652" s="440"/>
      <c r="B652" s="435" t="str">
        <f aca="false">J634</f>
        <v/>
      </c>
      <c r="C652" s="424"/>
      <c r="D652" s="424"/>
      <c r="E652" s="424"/>
      <c r="F652" s="424"/>
      <c r="G652" s="424"/>
      <c r="H652" s="424"/>
      <c r="I652" s="424"/>
      <c r="J652" s="424"/>
      <c r="K652" s="424"/>
      <c r="L652" s="424"/>
      <c r="M652" s="424"/>
      <c r="N652" s="424"/>
      <c r="O652" s="424"/>
      <c r="P652" s="424"/>
      <c r="Q652" s="435" t="n">
        <v>36</v>
      </c>
      <c r="R652" s="434" t="s">
        <v>520</v>
      </c>
      <c r="S652" s="424"/>
      <c r="T652" s="434" t="s">
        <v>521</v>
      </c>
      <c r="U652" s="434" t="s">
        <v>522</v>
      </c>
      <c r="V652" s="436" t="n">
        <f aca="false">AY657</f>
        <v>0</v>
      </c>
    </row>
    <row r="653" customFormat="false" ht="13.5" hidden="false" customHeight="false" outlineLevel="0" collapsed="false">
      <c r="A653" s="440"/>
      <c r="B653" s="440" t="str">
        <f aca="false">K634</f>
        <v/>
      </c>
      <c r="C653" s="424"/>
      <c r="D653" s="424"/>
      <c r="E653" s="424"/>
      <c r="F653" s="424"/>
      <c r="G653" s="424"/>
      <c r="H653" s="424"/>
      <c r="I653" s="424"/>
      <c r="J653" s="424"/>
      <c r="K653" s="424"/>
      <c r="L653" s="424"/>
      <c r="M653" s="424"/>
      <c r="N653" s="424"/>
      <c r="O653" s="424"/>
      <c r="P653" s="424"/>
      <c r="Q653" s="435" t="n">
        <v>37</v>
      </c>
      <c r="R653" s="434" t="s">
        <v>523</v>
      </c>
      <c r="S653" s="424"/>
      <c r="T653" s="434" t="s">
        <v>524</v>
      </c>
      <c r="U653" s="434" t="s">
        <v>525</v>
      </c>
      <c r="V653" s="436" t="n">
        <f aca="false">AY658</f>
        <v>0</v>
      </c>
    </row>
    <row r="654" customFormat="false" ht="13.5" hidden="false" customHeight="false" outlineLevel="0" collapsed="false">
      <c r="A654" s="440"/>
      <c r="B654" s="435" t="str">
        <f aca="false">L634</f>
        <v/>
      </c>
      <c r="C654" s="424"/>
      <c r="D654" s="424"/>
      <c r="E654" s="424"/>
      <c r="F654" s="424"/>
      <c r="G654" s="424"/>
      <c r="H654" s="424"/>
      <c r="I654" s="424"/>
      <c r="J654" s="424"/>
      <c r="K654" s="424"/>
      <c r="L654" s="424"/>
      <c r="M654" s="424"/>
      <c r="N654" s="424"/>
      <c r="O654" s="424"/>
      <c r="P654" s="424"/>
      <c r="Q654" s="435" t="n">
        <v>38</v>
      </c>
      <c r="R654" s="434" t="s">
        <v>526</v>
      </c>
      <c r="S654" s="424"/>
      <c r="T654" s="434" t="s">
        <v>527</v>
      </c>
      <c r="U654" s="434" t="s">
        <v>528</v>
      </c>
      <c r="V654" s="436" t="n">
        <f aca="false">AY659</f>
        <v>0</v>
      </c>
    </row>
    <row r="655" customFormat="false" ht="13.5" hidden="false" customHeight="false" outlineLevel="0" collapsed="false">
      <c r="A655" s="440"/>
      <c r="B655" s="435" t="str">
        <f aca="false">M634</f>
        <v> Rupiah </v>
      </c>
      <c r="C655" s="424"/>
      <c r="D655" s="424"/>
      <c r="E655" s="424"/>
      <c r="F655" s="424"/>
      <c r="G655" s="424"/>
      <c r="H655" s="424"/>
      <c r="I655" s="424"/>
      <c r="J655" s="424"/>
      <c r="K655" s="424"/>
      <c r="L655" s="424"/>
      <c r="M655" s="424"/>
      <c r="N655" s="424"/>
      <c r="O655" s="424"/>
      <c r="P655" s="424"/>
      <c r="Q655" s="435" t="n">
        <v>39</v>
      </c>
      <c r="R655" s="434" t="s">
        <v>529</v>
      </c>
      <c r="S655" s="424"/>
      <c r="T655" s="434" t="s">
        <v>530</v>
      </c>
      <c r="U655" s="434" t="s">
        <v>531</v>
      </c>
      <c r="V655" s="436" t="n">
        <f aca="false">AY660</f>
        <v>0</v>
      </c>
    </row>
    <row r="656" customFormat="false" ht="13.5" hidden="false" customHeight="false" outlineLevel="0" collapsed="false">
      <c r="A656" s="436" t="e">
        <f aca="false">+#REF!</f>
        <v>#REF!</v>
      </c>
      <c r="B656" s="435" t="str">
        <f aca="false">O634</f>
        <v/>
      </c>
      <c r="C656" s="424"/>
      <c r="D656" s="424"/>
      <c r="E656" s="424"/>
      <c r="F656" s="424"/>
      <c r="G656" s="424"/>
      <c r="H656" s="424"/>
      <c r="I656" s="424"/>
      <c r="J656" s="424"/>
      <c r="K656" s="424"/>
      <c r="L656" s="424"/>
      <c r="M656" s="424"/>
      <c r="N656" s="424"/>
      <c r="O656" s="424"/>
      <c r="P656" s="424"/>
      <c r="Q656" s="435" t="n">
        <v>40</v>
      </c>
      <c r="R656" s="434" t="s">
        <v>532</v>
      </c>
      <c r="S656" s="424"/>
      <c r="T656" s="434" t="s">
        <v>533</v>
      </c>
      <c r="U656" s="434" t="s">
        <v>534</v>
      </c>
      <c r="V656" s="436" t="n">
        <f aca="false">AY661</f>
        <v>0</v>
      </c>
    </row>
    <row r="657" customFormat="false" ht="13.5" hidden="false" customHeight="false" outlineLevel="0" collapsed="false">
      <c r="A657" s="440"/>
      <c r="B657" s="435" t="str">
        <f aca="false">IF(N632&gt;0,"-","====")</f>
        <v>====</v>
      </c>
      <c r="C657" s="424"/>
      <c r="D657" s="424"/>
      <c r="E657" s="424"/>
      <c r="F657" s="424"/>
      <c r="G657" s="424"/>
      <c r="H657" s="424"/>
      <c r="I657" s="424"/>
      <c r="J657" s="424"/>
      <c r="K657" s="424"/>
      <c r="L657" s="424"/>
      <c r="M657" s="424"/>
      <c r="N657" s="424"/>
      <c r="O657" s="424"/>
      <c r="P657" s="424"/>
      <c r="Q657" s="435" t="n">
        <v>41</v>
      </c>
      <c r="R657" s="434" t="s">
        <v>535</v>
      </c>
      <c r="S657" s="424"/>
      <c r="T657" s="434" t="s">
        <v>536</v>
      </c>
      <c r="U657" s="434" t="s">
        <v>537</v>
      </c>
      <c r="V657" s="436" t="n">
        <f aca="false">AY662</f>
        <v>0</v>
      </c>
    </row>
    <row r="658" customFormat="false" ht="13.5" hidden="false" customHeight="false" outlineLevel="0" collapsed="false">
      <c r="A658" s="444" t="e">
        <f aca="false">B634&amp;C634&amp;D634&amp;E634&amp;F634&amp;G634&amp;H634&amp;I634&amp;J634&amp;K634&amp;L634&amp;M634&amp;O634</f>
        <v>#N/A</v>
      </c>
      <c r="B658" s="424"/>
      <c r="C658" s="424"/>
      <c r="D658" s="424"/>
      <c r="E658" s="424"/>
      <c r="F658" s="424"/>
      <c r="G658" s="424"/>
      <c r="H658" s="424"/>
      <c r="I658" s="424"/>
      <c r="J658" s="424"/>
      <c r="K658" s="424"/>
      <c r="L658" s="424"/>
      <c r="M658" s="424"/>
      <c r="N658" s="424"/>
      <c r="O658" s="424"/>
      <c r="P658" s="424"/>
      <c r="Q658" s="435" t="n">
        <v>42</v>
      </c>
      <c r="R658" s="434" t="s">
        <v>538</v>
      </c>
      <c r="S658" s="424"/>
      <c r="T658" s="434" t="s">
        <v>539</v>
      </c>
      <c r="U658" s="434" t="s">
        <v>540</v>
      </c>
      <c r="V658" s="436" t="n">
        <f aca="false">AY663</f>
        <v>0</v>
      </c>
    </row>
    <row r="659" customFormat="false" ht="13.5" hidden="false" customHeight="false" outlineLevel="0" collapsed="false">
      <c r="A659" s="440" t="str">
        <f aca="false">I634&amp;J634&amp;K634&amp;L634&amp;M634&amp;O634</f>
        <v> Rupiah </v>
      </c>
      <c r="B659" s="424"/>
      <c r="C659" s="424"/>
      <c r="D659" s="424"/>
      <c r="E659" s="424"/>
      <c r="F659" s="424"/>
      <c r="G659" s="424"/>
      <c r="H659" s="424"/>
      <c r="I659" s="424"/>
      <c r="J659" s="424"/>
      <c r="K659" s="424"/>
      <c r="L659" s="424"/>
      <c r="M659" s="424"/>
      <c r="N659" s="424"/>
      <c r="O659" s="424"/>
      <c r="P659" s="424"/>
      <c r="Q659" s="435" t="n">
        <v>43</v>
      </c>
      <c r="R659" s="434" t="s">
        <v>541</v>
      </c>
      <c r="S659" s="424"/>
      <c r="T659" s="434" t="s">
        <v>542</v>
      </c>
      <c r="U659" s="434" t="s">
        <v>543</v>
      </c>
      <c r="V659" s="436" t="n">
        <f aca="false">AY664</f>
        <v>0</v>
      </c>
    </row>
    <row r="660" customFormat="false" ht="13.5" hidden="false" customHeight="false" outlineLevel="0" collapsed="false">
      <c r="A660" s="440"/>
      <c r="B660" s="424"/>
      <c r="C660" s="424"/>
      <c r="D660" s="424"/>
      <c r="E660" s="424"/>
      <c r="F660" s="424"/>
      <c r="G660" s="424"/>
      <c r="H660" s="424"/>
      <c r="I660" s="424"/>
      <c r="J660" s="424"/>
      <c r="K660" s="424"/>
      <c r="L660" s="424"/>
      <c r="M660" s="424"/>
      <c r="N660" s="424"/>
      <c r="O660" s="424"/>
      <c r="P660" s="424"/>
      <c r="Q660" s="435" t="n">
        <v>44</v>
      </c>
      <c r="R660" s="434" t="s">
        <v>544</v>
      </c>
      <c r="S660" s="424"/>
      <c r="T660" s="434" t="s">
        <v>545</v>
      </c>
      <c r="U660" s="434" t="s">
        <v>546</v>
      </c>
      <c r="V660" s="436" t="n">
        <f aca="false">AY665</f>
        <v>0</v>
      </c>
    </row>
    <row r="661" customFormat="false" ht="13.5" hidden="false" customHeight="false" outlineLevel="0" collapsed="false">
      <c r="A661" s="440"/>
      <c r="B661" s="424"/>
      <c r="C661" s="424"/>
      <c r="D661" s="424"/>
      <c r="E661" s="424"/>
      <c r="F661" s="424"/>
      <c r="G661" s="424"/>
      <c r="H661" s="424"/>
      <c r="I661" s="424"/>
      <c r="J661" s="424"/>
      <c r="K661" s="424"/>
      <c r="L661" s="424"/>
      <c r="M661" s="424"/>
      <c r="N661" s="424"/>
      <c r="O661" s="424"/>
      <c r="P661" s="424"/>
      <c r="Q661" s="435" t="n">
        <v>45</v>
      </c>
      <c r="R661" s="434" t="s">
        <v>547</v>
      </c>
      <c r="S661" s="424"/>
      <c r="T661" s="434" t="s">
        <v>548</v>
      </c>
      <c r="U661" s="434" t="s">
        <v>549</v>
      </c>
      <c r="V661" s="436" t="n">
        <f aca="false">AY666</f>
        <v>0</v>
      </c>
    </row>
    <row r="662" customFormat="false" ht="13.5" hidden="false" customHeight="false" outlineLevel="0" collapsed="false">
      <c r="A662" s="440"/>
      <c r="B662" s="424"/>
      <c r="C662" s="424"/>
      <c r="D662" s="424"/>
      <c r="E662" s="424"/>
      <c r="F662" s="424"/>
      <c r="G662" s="424"/>
      <c r="H662" s="424"/>
      <c r="I662" s="424"/>
      <c r="J662" s="424"/>
      <c r="K662" s="424"/>
      <c r="L662" s="424"/>
      <c r="M662" s="424"/>
      <c r="N662" s="424"/>
      <c r="O662" s="424"/>
      <c r="P662" s="424"/>
      <c r="Q662" s="435" t="n">
        <v>46</v>
      </c>
      <c r="R662" s="434" t="s">
        <v>550</v>
      </c>
      <c r="S662" s="424"/>
      <c r="T662" s="434" t="s">
        <v>551</v>
      </c>
      <c r="U662" s="434" t="s">
        <v>552</v>
      </c>
      <c r="V662" s="436" t="n">
        <f aca="false">AY667</f>
        <v>0</v>
      </c>
    </row>
    <row r="663" customFormat="false" ht="13.5" hidden="false" customHeight="false" outlineLevel="0" collapsed="false">
      <c r="A663" s="440"/>
      <c r="B663" s="424"/>
      <c r="C663" s="424"/>
      <c r="D663" s="424"/>
      <c r="E663" s="424"/>
      <c r="F663" s="424"/>
      <c r="G663" s="424"/>
      <c r="H663" s="424"/>
      <c r="I663" s="424"/>
      <c r="J663" s="424"/>
      <c r="K663" s="424"/>
      <c r="L663" s="424"/>
      <c r="M663" s="424"/>
      <c r="N663" s="424"/>
      <c r="O663" s="424"/>
      <c r="P663" s="424"/>
      <c r="Q663" s="435" t="n">
        <v>47</v>
      </c>
      <c r="R663" s="434" t="s">
        <v>553</v>
      </c>
      <c r="S663" s="424"/>
      <c r="T663" s="434" t="s">
        <v>554</v>
      </c>
      <c r="U663" s="434" t="s">
        <v>555</v>
      </c>
      <c r="V663" s="436" t="n">
        <f aca="false">AY668</f>
        <v>0</v>
      </c>
    </row>
    <row r="664" customFormat="false" ht="13.5" hidden="false" customHeight="false" outlineLevel="0" collapsed="false">
      <c r="A664" s="424"/>
      <c r="B664" s="424"/>
      <c r="C664" s="424"/>
      <c r="D664" s="424"/>
      <c r="E664" s="424"/>
      <c r="F664" s="424"/>
      <c r="G664" s="424"/>
      <c r="H664" s="424"/>
      <c r="I664" s="424"/>
      <c r="J664" s="424"/>
      <c r="K664" s="424"/>
      <c r="L664" s="424"/>
      <c r="M664" s="424"/>
      <c r="N664" s="424"/>
      <c r="O664" s="424"/>
      <c r="P664" s="424"/>
      <c r="Q664" s="435" t="n">
        <v>48</v>
      </c>
      <c r="R664" s="434" t="s">
        <v>556</v>
      </c>
      <c r="S664" s="424"/>
      <c r="T664" s="434" t="s">
        <v>557</v>
      </c>
      <c r="U664" s="434" t="s">
        <v>558</v>
      </c>
      <c r="V664" s="436" t="n">
        <f aca="false">AY669</f>
        <v>0</v>
      </c>
    </row>
    <row r="665" customFormat="false" ht="13.5" hidden="false" customHeight="false" outlineLevel="0" collapsed="false">
      <c r="A665" s="424"/>
      <c r="B665" s="424"/>
      <c r="C665" s="424"/>
      <c r="D665" s="424"/>
      <c r="E665" s="424"/>
      <c r="F665" s="424"/>
      <c r="G665" s="424"/>
      <c r="H665" s="424"/>
      <c r="I665" s="424"/>
      <c r="J665" s="424"/>
      <c r="K665" s="424"/>
      <c r="L665" s="424"/>
      <c r="M665" s="424"/>
      <c r="N665" s="424"/>
      <c r="O665" s="424"/>
      <c r="P665" s="424"/>
      <c r="Q665" s="435" t="n">
        <v>49</v>
      </c>
      <c r="R665" s="434" t="s">
        <v>559</v>
      </c>
      <c r="S665" s="424"/>
      <c r="T665" s="434" t="s">
        <v>560</v>
      </c>
      <c r="U665" s="434" t="s">
        <v>561</v>
      </c>
      <c r="V665" s="436" t="n">
        <f aca="false">AY670</f>
        <v>0</v>
      </c>
    </row>
    <row r="666" customFormat="false" ht="13.5" hidden="false" customHeight="false" outlineLevel="0" collapsed="false">
      <c r="A666" s="424"/>
      <c r="B666" s="424"/>
      <c r="C666" s="424"/>
      <c r="D666" s="424"/>
      <c r="E666" s="424"/>
      <c r="F666" s="424"/>
      <c r="G666" s="424"/>
      <c r="H666" s="424"/>
      <c r="I666" s="424"/>
      <c r="J666" s="424"/>
      <c r="K666" s="424"/>
      <c r="L666" s="424"/>
      <c r="M666" s="424"/>
      <c r="N666" s="424"/>
      <c r="O666" s="424"/>
      <c r="P666" s="424"/>
      <c r="Q666" s="435" t="n">
        <v>50</v>
      </c>
      <c r="R666" s="434" t="s">
        <v>562</v>
      </c>
      <c r="S666" s="424"/>
      <c r="T666" s="434" t="s">
        <v>563</v>
      </c>
      <c r="U666" s="434" t="s">
        <v>564</v>
      </c>
      <c r="V666" s="436" t="n">
        <f aca="false">AY671</f>
        <v>0</v>
      </c>
    </row>
    <row r="667" customFormat="false" ht="13.5" hidden="false" customHeight="false" outlineLevel="0" collapsed="false">
      <c r="A667" s="424"/>
      <c r="B667" s="424"/>
      <c r="C667" s="424"/>
      <c r="D667" s="424"/>
      <c r="E667" s="424"/>
      <c r="F667" s="424"/>
      <c r="G667" s="424"/>
      <c r="H667" s="424"/>
      <c r="I667" s="424"/>
      <c r="J667" s="424"/>
      <c r="K667" s="424"/>
      <c r="L667" s="424"/>
      <c r="M667" s="424"/>
      <c r="N667" s="424"/>
      <c r="O667" s="424"/>
      <c r="P667" s="424"/>
      <c r="Q667" s="435" t="n">
        <v>51</v>
      </c>
      <c r="R667" s="434" t="s">
        <v>565</v>
      </c>
      <c r="S667" s="424"/>
      <c r="T667" s="434" t="s">
        <v>566</v>
      </c>
      <c r="U667" s="434" t="s">
        <v>567</v>
      </c>
      <c r="V667" s="436" t="n">
        <f aca="false">AY672</f>
        <v>0</v>
      </c>
    </row>
    <row r="668" customFormat="false" ht="13.5" hidden="false" customHeight="false" outlineLevel="0" collapsed="false">
      <c r="A668" s="424"/>
      <c r="B668" s="424"/>
      <c r="C668" s="424"/>
      <c r="D668" s="424"/>
      <c r="E668" s="424"/>
      <c r="F668" s="424"/>
      <c r="G668" s="424"/>
      <c r="H668" s="424"/>
      <c r="I668" s="424"/>
      <c r="J668" s="424"/>
      <c r="K668" s="424"/>
      <c r="L668" s="424"/>
      <c r="M668" s="424"/>
      <c r="N668" s="424"/>
      <c r="O668" s="424"/>
      <c r="P668" s="424"/>
      <c r="Q668" s="435" t="n">
        <v>52</v>
      </c>
      <c r="R668" s="434" t="s">
        <v>568</v>
      </c>
      <c r="S668" s="424"/>
      <c r="T668" s="434" t="s">
        <v>569</v>
      </c>
      <c r="U668" s="434" t="s">
        <v>570</v>
      </c>
      <c r="V668" s="436" t="n">
        <f aca="false">AY673</f>
        <v>0</v>
      </c>
    </row>
    <row r="669" customFormat="false" ht="13.5" hidden="false" customHeight="false" outlineLevel="0" collapsed="false">
      <c r="A669" s="424"/>
      <c r="B669" s="424"/>
      <c r="C669" s="424"/>
      <c r="D669" s="424"/>
      <c r="E669" s="424"/>
      <c r="F669" s="424"/>
      <c r="G669" s="424"/>
      <c r="H669" s="424"/>
      <c r="I669" s="424"/>
      <c r="J669" s="424"/>
      <c r="K669" s="424"/>
      <c r="L669" s="424"/>
      <c r="M669" s="424"/>
      <c r="N669" s="424"/>
      <c r="O669" s="424"/>
      <c r="P669" s="424"/>
      <c r="Q669" s="435" t="n">
        <v>53</v>
      </c>
      <c r="R669" s="434" t="s">
        <v>571</v>
      </c>
      <c r="S669" s="424"/>
      <c r="T669" s="434" t="s">
        <v>572</v>
      </c>
      <c r="U669" s="434" t="s">
        <v>573</v>
      </c>
      <c r="V669" s="436" t="n">
        <f aca="false">AY674</f>
        <v>0</v>
      </c>
    </row>
    <row r="670" customFormat="false" ht="13.5" hidden="false" customHeight="false" outlineLevel="0" collapsed="false">
      <c r="A670" s="424"/>
      <c r="B670" s="424"/>
      <c r="C670" s="424"/>
      <c r="D670" s="424"/>
      <c r="E670" s="424"/>
      <c r="F670" s="424"/>
      <c r="G670" s="424"/>
      <c r="H670" s="424"/>
      <c r="I670" s="424"/>
      <c r="J670" s="424"/>
      <c r="K670" s="424"/>
      <c r="L670" s="424"/>
      <c r="M670" s="424"/>
      <c r="N670" s="424"/>
      <c r="O670" s="424"/>
      <c r="P670" s="424"/>
      <c r="Q670" s="435" t="n">
        <v>54</v>
      </c>
      <c r="R670" s="434" t="s">
        <v>574</v>
      </c>
      <c r="S670" s="424"/>
      <c r="T670" s="434" t="s">
        <v>575</v>
      </c>
      <c r="U670" s="434" t="s">
        <v>576</v>
      </c>
      <c r="V670" s="436" t="n">
        <f aca="false">AY675</f>
        <v>0</v>
      </c>
    </row>
    <row r="671" customFormat="false" ht="13.5" hidden="false" customHeight="false" outlineLevel="0" collapsed="false">
      <c r="A671" s="424"/>
      <c r="B671" s="424"/>
      <c r="C671" s="424"/>
      <c r="D671" s="424"/>
      <c r="E671" s="424"/>
      <c r="F671" s="424"/>
      <c r="G671" s="424"/>
      <c r="H671" s="424"/>
      <c r="I671" s="424"/>
      <c r="J671" s="424"/>
      <c r="K671" s="424"/>
      <c r="L671" s="424"/>
      <c r="M671" s="424"/>
      <c r="N671" s="424"/>
      <c r="O671" s="424"/>
      <c r="P671" s="424"/>
      <c r="Q671" s="435" t="n">
        <v>55</v>
      </c>
      <c r="R671" s="434" t="s">
        <v>577</v>
      </c>
      <c r="S671" s="424"/>
      <c r="T671" s="434" t="s">
        <v>578</v>
      </c>
      <c r="U671" s="434" t="s">
        <v>579</v>
      </c>
      <c r="V671" s="436" t="n">
        <f aca="false">AY676</f>
        <v>0</v>
      </c>
    </row>
    <row r="672" customFormat="false" ht="13.5" hidden="false" customHeight="false" outlineLevel="0" collapsed="false">
      <c r="A672" s="424"/>
      <c r="B672" s="424"/>
      <c r="C672" s="424"/>
      <c r="D672" s="424"/>
      <c r="E672" s="424"/>
      <c r="F672" s="424"/>
      <c r="G672" s="424"/>
      <c r="H672" s="424"/>
      <c r="I672" s="424"/>
      <c r="J672" s="424"/>
      <c r="K672" s="424"/>
      <c r="L672" s="424"/>
      <c r="M672" s="424"/>
      <c r="N672" s="424"/>
      <c r="O672" s="424"/>
      <c r="P672" s="424"/>
      <c r="Q672" s="435" t="n">
        <v>56</v>
      </c>
      <c r="R672" s="434" t="s">
        <v>580</v>
      </c>
      <c r="S672" s="424"/>
      <c r="T672" s="434" t="s">
        <v>581</v>
      </c>
      <c r="U672" s="434" t="s">
        <v>582</v>
      </c>
      <c r="V672" s="436" t="n">
        <f aca="false">AY677</f>
        <v>0</v>
      </c>
    </row>
    <row r="673" customFormat="false" ht="13.5" hidden="false" customHeight="false" outlineLevel="0" collapsed="false">
      <c r="A673" s="424"/>
      <c r="B673" s="424"/>
      <c r="C673" s="424"/>
      <c r="D673" s="424"/>
      <c r="E673" s="424"/>
      <c r="F673" s="424"/>
      <c r="G673" s="424"/>
      <c r="H673" s="424"/>
      <c r="I673" s="424"/>
      <c r="J673" s="424"/>
      <c r="K673" s="424"/>
      <c r="L673" s="424"/>
      <c r="M673" s="424"/>
      <c r="N673" s="424"/>
      <c r="O673" s="424"/>
      <c r="P673" s="424"/>
      <c r="Q673" s="435" t="n">
        <v>57</v>
      </c>
      <c r="R673" s="434" t="s">
        <v>583</v>
      </c>
      <c r="S673" s="424"/>
      <c r="T673" s="434" t="s">
        <v>584</v>
      </c>
      <c r="U673" s="434" t="s">
        <v>585</v>
      </c>
      <c r="V673" s="436" t="n">
        <f aca="false">AY678</f>
        <v>0</v>
      </c>
    </row>
    <row r="674" customFormat="false" ht="13.5" hidden="false" customHeight="false" outlineLevel="0" collapsed="false">
      <c r="A674" s="424"/>
      <c r="B674" s="424"/>
      <c r="C674" s="424"/>
      <c r="D674" s="424"/>
      <c r="E674" s="424"/>
      <c r="F674" s="424"/>
      <c r="G674" s="424"/>
      <c r="H674" s="424"/>
      <c r="I674" s="424"/>
      <c r="J674" s="424"/>
      <c r="K674" s="424"/>
      <c r="L674" s="424"/>
      <c r="M674" s="424"/>
      <c r="N674" s="424"/>
      <c r="O674" s="424"/>
      <c r="P674" s="424"/>
      <c r="Q674" s="435" t="n">
        <v>58</v>
      </c>
      <c r="R674" s="434" t="s">
        <v>586</v>
      </c>
      <c r="S674" s="424"/>
      <c r="T674" s="434" t="s">
        <v>587</v>
      </c>
      <c r="U674" s="434" t="s">
        <v>588</v>
      </c>
      <c r="V674" s="436" t="n">
        <f aca="false">AY679</f>
        <v>0</v>
      </c>
    </row>
    <row r="675" customFormat="false" ht="13.5" hidden="false" customHeight="false" outlineLevel="0" collapsed="false">
      <c r="A675" s="424"/>
      <c r="B675" s="424"/>
      <c r="C675" s="424"/>
      <c r="D675" s="424"/>
      <c r="E675" s="424"/>
      <c r="F675" s="424"/>
      <c r="G675" s="424"/>
      <c r="H675" s="424"/>
      <c r="I675" s="424"/>
      <c r="J675" s="424"/>
      <c r="K675" s="424"/>
      <c r="L675" s="424"/>
      <c r="M675" s="424"/>
      <c r="N675" s="424"/>
      <c r="O675" s="424"/>
      <c r="P675" s="424"/>
      <c r="Q675" s="435" t="n">
        <v>59</v>
      </c>
      <c r="R675" s="434" t="s">
        <v>589</v>
      </c>
      <c r="S675" s="424"/>
      <c r="T675" s="434" t="s">
        <v>590</v>
      </c>
      <c r="U675" s="434" t="s">
        <v>591</v>
      </c>
      <c r="V675" s="436" t="n">
        <f aca="false">AY680</f>
        <v>0</v>
      </c>
    </row>
    <row r="676" customFormat="false" ht="13.5" hidden="false" customHeight="false" outlineLevel="0" collapsed="false">
      <c r="A676" s="424"/>
      <c r="B676" s="424"/>
      <c r="C676" s="424"/>
      <c r="D676" s="424"/>
      <c r="E676" s="424"/>
      <c r="F676" s="424"/>
      <c r="G676" s="424"/>
      <c r="H676" s="424"/>
      <c r="I676" s="424"/>
      <c r="J676" s="424"/>
      <c r="K676" s="424"/>
      <c r="L676" s="424"/>
      <c r="M676" s="424"/>
      <c r="N676" s="424"/>
      <c r="O676" s="424"/>
      <c r="P676" s="424"/>
      <c r="Q676" s="435" t="n">
        <v>60</v>
      </c>
      <c r="R676" s="434" t="s">
        <v>592</v>
      </c>
      <c r="S676" s="424"/>
      <c r="T676" s="434" t="s">
        <v>593</v>
      </c>
      <c r="U676" s="434" t="s">
        <v>594</v>
      </c>
      <c r="V676" s="436" t="n">
        <f aca="false">AY681</f>
        <v>0</v>
      </c>
    </row>
    <row r="677" customFormat="false" ht="13.5" hidden="false" customHeight="false" outlineLevel="0" collapsed="false">
      <c r="A677" s="424"/>
      <c r="B677" s="424"/>
      <c r="C677" s="424"/>
      <c r="D677" s="424"/>
      <c r="E677" s="424"/>
      <c r="F677" s="424"/>
      <c r="G677" s="424"/>
      <c r="H677" s="424"/>
      <c r="I677" s="424"/>
      <c r="J677" s="424"/>
      <c r="K677" s="424"/>
      <c r="L677" s="424"/>
      <c r="M677" s="424"/>
      <c r="N677" s="424"/>
      <c r="O677" s="424"/>
      <c r="P677" s="424"/>
      <c r="Q677" s="435" t="n">
        <v>61</v>
      </c>
      <c r="R677" s="434" t="s">
        <v>595</v>
      </c>
      <c r="S677" s="424"/>
      <c r="T677" s="434" t="s">
        <v>596</v>
      </c>
      <c r="U677" s="434" t="s">
        <v>597</v>
      </c>
      <c r="V677" s="436" t="n">
        <f aca="false">AY682</f>
        <v>0</v>
      </c>
    </row>
    <row r="678" customFormat="false" ht="13.5" hidden="false" customHeight="false" outlineLevel="0" collapsed="false">
      <c r="A678" s="424"/>
      <c r="B678" s="424"/>
      <c r="C678" s="424"/>
      <c r="D678" s="424"/>
      <c r="E678" s="424"/>
      <c r="F678" s="424"/>
      <c r="G678" s="424"/>
      <c r="H678" s="424"/>
      <c r="I678" s="424"/>
      <c r="J678" s="424"/>
      <c r="K678" s="424"/>
      <c r="L678" s="424"/>
      <c r="M678" s="424"/>
      <c r="N678" s="424"/>
      <c r="O678" s="424"/>
      <c r="P678" s="424"/>
      <c r="Q678" s="435" t="n">
        <v>62</v>
      </c>
      <c r="R678" s="434" t="s">
        <v>598</v>
      </c>
      <c r="S678" s="424"/>
      <c r="T678" s="434" t="s">
        <v>599</v>
      </c>
      <c r="U678" s="434" t="s">
        <v>600</v>
      </c>
      <c r="V678" s="436" t="n">
        <f aca="false">AY683</f>
        <v>0</v>
      </c>
    </row>
    <row r="679" customFormat="false" ht="13.5" hidden="false" customHeight="false" outlineLevel="0" collapsed="false">
      <c r="A679" s="424"/>
      <c r="B679" s="424"/>
      <c r="C679" s="424"/>
      <c r="D679" s="424"/>
      <c r="E679" s="424"/>
      <c r="F679" s="424"/>
      <c r="G679" s="424"/>
      <c r="H679" s="424"/>
      <c r="I679" s="424"/>
      <c r="J679" s="424"/>
      <c r="K679" s="424"/>
      <c r="L679" s="424"/>
      <c r="M679" s="424"/>
      <c r="N679" s="424"/>
      <c r="O679" s="424"/>
      <c r="P679" s="424"/>
      <c r="Q679" s="435" t="n">
        <v>63</v>
      </c>
      <c r="R679" s="434" t="s">
        <v>601</v>
      </c>
      <c r="S679" s="424"/>
      <c r="T679" s="434" t="s">
        <v>602</v>
      </c>
      <c r="U679" s="434" t="s">
        <v>603</v>
      </c>
      <c r="V679" s="436" t="n">
        <f aca="false">AY684</f>
        <v>0</v>
      </c>
    </row>
    <row r="680" customFormat="false" ht="13.5" hidden="false" customHeight="false" outlineLevel="0" collapsed="false">
      <c r="A680" s="424"/>
      <c r="B680" s="424"/>
      <c r="C680" s="424"/>
      <c r="D680" s="424"/>
      <c r="E680" s="424"/>
      <c r="F680" s="424"/>
      <c r="G680" s="424"/>
      <c r="H680" s="424"/>
      <c r="I680" s="424"/>
      <c r="J680" s="424"/>
      <c r="K680" s="424"/>
      <c r="L680" s="424"/>
      <c r="M680" s="424"/>
      <c r="N680" s="424"/>
      <c r="O680" s="424"/>
      <c r="P680" s="424"/>
      <c r="Q680" s="435" t="n">
        <v>64</v>
      </c>
      <c r="R680" s="434" t="s">
        <v>604</v>
      </c>
      <c r="S680" s="424"/>
      <c r="T680" s="434" t="s">
        <v>605</v>
      </c>
      <c r="U680" s="434" t="s">
        <v>606</v>
      </c>
      <c r="V680" s="436" t="n">
        <f aca="false">AY685</f>
        <v>0</v>
      </c>
    </row>
    <row r="681" customFormat="false" ht="13.5" hidden="false" customHeight="false" outlineLevel="0" collapsed="false">
      <c r="A681" s="424"/>
      <c r="B681" s="424"/>
      <c r="C681" s="424"/>
      <c r="D681" s="424"/>
      <c r="E681" s="424"/>
      <c r="F681" s="424"/>
      <c r="G681" s="424"/>
      <c r="H681" s="424"/>
      <c r="I681" s="424"/>
      <c r="J681" s="424"/>
      <c r="K681" s="424"/>
      <c r="L681" s="424"/>
      <c r="M681" s="424"/>
      <c r="N681" s="424"/>
      <c r="O681" s="424"/>
      <c r="P681" s="424"/>
      <c r="Q681" s="435" t="n">
        <v>65</v>
      </c>
      <c r="R681" s="434" t="s">
        <v>607</v>
      </c>
      <c r="S681" s="424"/>
      <c r="T681" s="434" t="s">
        <v>608</v>
      </c>
      <c r="U681" s="434" t="s">
        <v>609</v>
      </c>
      <c r="V681" s="436" t="n">
        <f aca="false">AY686</f>
        <v>0</v>
      </c>
    </row>
    <row r="682" customFormat="false" ht="13.5" hidden="false" customHeight="false" outlineLevel="0" collapsed="false">
      <c r="A682" s="424"/>
      <c r="B682" s="424"/>
      <c r="C682" s="424"/>
      <c r="D682" s="424"/>
      <c r="E682" s="424"/>
      <c r="F682" s="424"/>
      <c r="G682" s="424"/>
      <c r="H682" s="424"/>
      <c r="I682" s="424"/>
      <c r="J682" s="424"/>
      <c r="K682" s="424"/>
      <c r="L682" s="424"/>
      <c r="M682" s="424"/>
      <c r="N682" s="424"/>
      <c r="O682" s="424"/>
      <c r="P682" s="424"/>
      <c r="Q682" s="435" t="n">
        <v>66</v>
      </c>
      <c r="R682" s="434" t="s">
        <v>610</v>
      </c>
      <c r="S682" s="424"/>
      <c r="T682" s="434" t="s">
        <v>611</v>
      </c>
      <c r="U682" s="434" t="s">
        <v>612</v>
      </c>
      <c r="V682" s="436" t="n">
        <f aca="false">AY687</f>
        <v>0</v>
      </c>
    </row>
    <row r="683" customFormat="false" ht="13.5" hidden="false" customHeight="false" outlineLevel="0" collapsed="false">
      <c r="A683" s="424"/>
      <c r="B683" s="424"/>
      <c r="C683" s="424"/>
      <c r="D683" s="424"/>
      <c r="E683" s="424"/>
      <c r="F683" s="424"/>
      <c r="G683" s="424"/>
      <c r="H683" s="424"/>
      <c r="I683" s="424"/>
      <c r="J683" s="424"/>
      <c r="K683" s="424"/>
      <c r="L683" s="424"/>
      <c r="M683" s="424"/>
      <c r="N683" s="424"/>
      <c r="O683" s="424"/>
      <c r="P683" s="424"/>
      <c r="Q683" s="435" t="n">
        <v>67</v>
      </c>
      <c r="R683" s="434" t="s">
        <v>613</v>
      </c>
      <c r="S683" s="424"/>
      <c r="T683" s="434" t="s">
        <v>614</v>
      </c>
      <c r="U683" s="434" t="s">
        <v>615</v>
      </c>
      <c r="V683" s="436" t="n">
        <f aca="false">AY688</f>
        <v>0</v>
      </c>
    </row>
    <row r="684" customFormat="false" ht="13.5" hidden="false" customHeight="false" outlineLevel="0" collapsed="false">
      <c r="A684" s="424"/>
      <c r="B684" s="424"/>
      <c r="C684" s="424"/>
      <c r="D684" s="424"/>
      <c r="E684" s="424"/>
      <c r="F684" s="424"/>
      <c r="G684" s="424"/>
      <c r="H684" s="424"/>
      <c r="I684" s="424"/>
      <c r="J684" s="424"/>
      <c r="K684" s="424"/>
      <c r="L684" s="424"/>
      <c r="M684" s="424"/>
      <c r="N684" s="424"/>
      <c r="O684" s="424"/>
      <c r="P684" s="424"/>
      <c r="Q684" s="435" t="n">
        <v>68</v>
      </c>
      <c r="R684" s="434" t="s">
        <v>616</v>
      </c>
      <c r="S684" s="424"/>
      <c r="T684" s="434" t="s">
        <v>617</v>
      </c>
      <c r="U684" s="434" t="s">
        <v>618</v>
      </c>
      <c r="V684" s="436" t="n">
        <f aca="false">AY689</f>
        <v>0</v>
      </c>
    </row>
    <row r="685" customFormat="false" ht="13.5" hidden="false" customHeight="false" outlineLevel="0" collapsed="false">
      <c r="A685" s="424"/>
      <c r="B685" s="424"/>
      <c r="C685" s="424"/>
      <c r="D685" s="424"/>
      <c r="E685" s="424"/>
      <c r="F685" s="424"/>
      <c r="G685" s="424"/>
      <c r="H685" s="424"/>
      <c r="I685" s="424"/>
      <c r="J685" s="424"/>
      <c r="K685" s="424"/>
      <c r="L685" s="424"/>
      <c r="M685" s="424"/>
      <c r="N685" s="424"/>
      <c r="O685" s="424"/>
      <c r="P685" s="424"/>
      <c r="Q685" s="435" t="n">
        <v>69</v>
      </c>
      <c r="R685" s="434" t="s">
        <v>619</v>
      </c>
      <c r="S685" s="424"/>
      <c r="T685" s="434" t="s">
        <v>620</v>
      </c>
      <c r="U685" s="434" t="s">
        <v>621</v>
      </c>
      <c r="V685" s="436" t="n">
        <f aca="false">AY690</f>
        <v>0</v>
      </c>
    </row>
    <row r="686" customFormat="false" ht="13.5" hidden="false" customHeight="false" outlineLevel="0" collapsed="false">
      <c r="A686" s="424"/>
      <c r="B686" s="424"/>
      <c r="C686" s="424"/>
      <c r="D686" s="424"/>
      <c r="E686" s="424"/>
      <c r="F686" s="424"/>
      <c r="G686" s="424"/>
      <c r="H686" s="424"/>
      <c r="I686" s="424"/>
      <c r="J686" s="424"/>
      <c r="K686" s="424"/>
      <c r="L686" s="424"/>
      <c r="M686" s="424"/>
      <c r="N686" s="424"/>
      <c r="O686" s="424"/>
      <c r="P686" s="424"/>
      <c r="Q686" s="435" t="n">
        <v>70</v>
      </c>
      <c r="R686" s="434" t="s">
        <v>622</v>
      </c>
      <c r="S686" s="424"/>
      <c r="T686" s="434" t="s">
        <v>623</v>
      </c>
      <c r="U686" s="434" t="s">
        <v>624</v>
      </c>
      <c r="V686" s="436" t="n">
        <f aca="false">AY691</f>
        <v>0</v>
      </c>
    </row>
    <row r="687" customFormat="false" ht="13.5" hidden="false" customHeight="false" outlineLevel="0" collapsed="false">
      <c r="A687" s="424"/>
      <c r="B687" s="424"/>
      <c r="C687" s="424"/>
      <c r="D687" s="424"/>
      <c r="E687" s="424"/>
      <c r="F687" s="424"/>
      <c r="G687" s="424"/>
      <c r="H687" s="424"/>
      <c r="I687" s="424"/>
      <c r="J687" s="424"/>
      <c r="K687" s="424"/>
      <c r="L687" s="424"/>
      <c r="M687" s="424"/>
      <c r="N687" s="424"/>
      <c r="O687" s="424"/>
      <c r="P687" s="424"/>
      <c r="Q687" s="435" t="n">
        <v>71</v>
      </c>
      <c r="R687" s="434" t="s">
        <v>625</v>
      </c>
      <c r="S687" s="424"/>
      <c r="T687" s="434" t="s">
        <v>626</v>
      </c>
      <c r="U687" s="434" t="s">
        <v>627</v>
      </c>
      <c r="V687" s="436" t="n">
        <f aca="false">AY692</f>
        <v>0</v>
      </c>
    </row>
    <row r="688" customFormat="false" ht="13.5" hidden="false" customHeight="false" outlineLevel="0" collapsed="false">
      <c r="A688" s="424"/>
      <c r="B688" s="424"/>
      <c r="C688" s="424"/>
      <c r="D688" s="424"/>
      <c r="E688" s="424"/>
      <c r="F688" s="424"/>
      <c r="G688" s="424"/>
      <c r="H688" s="424"/>
      <c r="I688" s="424"/>
      <c r="J688" s="424"/>
      <c r="K688" s="424"/>
      <c r="L688" s="424"/>
      <c r="M688" s="424"/>
      <c r="N688" s="424"/>
      <c r="O688" s="424"/>
      <c r="P688" s="424"/>
      <c r="Q688" s="435" t="n">
        <v>72</v>
      </c>
      <c r="R688" s="434" t="s">
        <v>628</v>
      </c>
      <c r="S688" s="424"/>
      <c r="T688" s="434" t="s">
        <v>629</v>
      </c>
      <c r="U688" s="434" t="s">
        <v>630</v>
      </c>
      <c r="V688" s="436" t="n">
        <f aca="false">AY693</f>
        <v>0</v>
      </c>
    </row>
    <row r="689" customFormat="false" ht="13.5" hidden="false" customHeight="false" outlineLevel="0" collapsed="false">
      <c r="A689" s="424"/>
      <c r="B689" s="424"/>
      <c r="C689" s="424"/>
      <c r="D689" s="424"/>
      <c r="E689" s="424"/>
      <c r="F689" s="424"/>
      <c r="G689" s="424"/>
      <c r="H689" s="424"/>
      <c r="I689" s="424"/>
      <c r="J689" s="424"/>
      <c r="K689" s="424"/>
      <c r="L689" s="424"/>
      <c r="M689" s="424"/>
      <c r="N689" s="424"/>
      <c r="O689" s="424"/>
      <c r="P689" s="424"/>
      <c r="Q689" s="435" t="n">
        <v>73</v>
      </c>
      <c r="R689" s="434" t="s">
        <v>631</v>
      </c>
      <c r="S689" s="424"/>
      <c r="T689" s="434" t="s">
        <v>632</v>
      </c>
      <c r="U689" s="434" t="s">
        <v>633</v>
      </c>
      <c r="V689" s="436" t="n">
        <f aca="false">AY694</f>
        <v>0</v>
      </c>
    </row>
    <row r="690" customFormat="false" ht="13.5" hidden="false" customHeight="false" outlineLevel="0" collapsed="false">
      <c r="A690" s="424"/>
      <c r="B690" s="424"/>
      <c r="C690" s="424"/>
      <c r="D690" s="424"/>
      <c r="E690" s="424"/>
      <c r="F690" s="424"/>
      <c r="G690" s="424"/>
      <c r="H690" s="424"/>
      <c r="I690" s="424"/>
      <c r="J690" s="424"/>
      <c r="K690" s="424"/>
      <c r="L690" s="424"/>
      <c r="M690" s="424"/>
      <c r="N690" s="424"/>
      <c r="O690" s="424"/>
      <c r="P690" s="424"/>
      <c r="Q690" s="435" t="n">
        <v>74</v>
      </c>
      <c r="R690" s="434" t="s">
        <v>634</v>
      </c>
      <c r="S690" s="424"/>
      <c r="T690" s="434" t="s">
        <v>635</v>
      </c>
      <c r="U690" s="434" t="s">
        <v>636</v>
      </c>
      <c r="V690" s="436" t="n">
        <f aca="false">AY695</f>
        <v>0</v>
      </c>
    </row>
    <row r="691" customFormat="false" ht="13.5" hidden="false" customHeight="false" outlineLevel="0" collapsed="false">
      <c r="A691" s="424"/>
      <c r="B691" s="424"/>
      <c r="C691" s="424"/>
      <c r="D691" s="424"/>
      <c r="E691" s="424"/>
      <c r="F691" s="424"/>
      <c r="G691" s="424"/>
      <c r="H691" s="424"/>
      <c r="I691" s="424"/>
      <c r="J691" s="424"/>
      <c r="K691" s="424"/>
      <c r="L691" s="424"/>
      <c r="M691" s="424"/>
      <c r="N691" s="424"/>
      <c r="O691" s="424"/>
      <c r="P691" s="424"/>
      <c r="Q691" s="435" t="n">
        <v>75</v>
      </c>
      <c r="R691" s="434" t="s">
        <v>637</v>
      </c>
      <c r="S691" s="424"/>
      <c r="T691" s="434" t="s">
        <v>638</v>
      </c>
      <c r="U691" s="434" t="s">
        <v>639</v>
      </c>
      <c r="V691" s="436" t="n">
        <f aca="false">AY696</f>
        <v>0</v>
      </c>
    </row>
    <row r="692" customFormat="false" ht="13.5" hidden="false" customHeight="false" outlineLevel="0" collapsed="false">
      <c r="A692" s="424"/>
      <c r="B692" s="424"/>
      <c r="C692" s="424"/>
      <c r="D692" s="424"/>
      <c r="E692" s="424"/>
      <c r="F692" s="424"/>
      <c r="G692" s="424"/>
      <c r="H692" s="424"/>
      <c r="I692" s="424"/>
      <c r="J692" s="424"/>
      <c r="K692" s="424"/>
      <c r="L692" s="424"/>
      <c r="M692" s="424"/>
      <c r="N692" s="424"/>
      <c r="O692" s="424"/>
      <c r="P692" s="424"/>
      <c r="Q692" s="435" t="n">
        <v>76</v>
      </c>
      <c r="R692" s="434" t="s">
        <v>640</v>
      </c>
      <c r="S692" s="424"/>
      <c r="T692" s="434" t="s">
        <v>641</v>
      </c>
      <c r="U692" s="434" t="s">
        <v>642</v>
      </c>
      <c r="V692" s="436" t="n">
        <f aca="false">AY697</f>
        <v>0</v>
      </c>
    </row>
    <row r="693" customFormat="false" ht="13.5" hidden="false" customHeight="false" outlineLevel="0" collapsed="false">
      <c r="A693" s="424"/>
      <c r="B693" s="424"/>
      <c r="C693" s="424"/>
      <c r="D693" s="424"/>
      <c r="E693" s="424"/>
      <c r="F693" s="424"/>
      <c r="G693" s="424"/>
      <c r="H693" s="424"/>
      <c r="I693" s="424"/>
      <c r="J693" s="424"/>
      <c r="K693" s="424"/>
      <c r="L693" s="424"/>
      <c r="M693" s="424"/>
      <c r="N693" s="424"/>
      <c r="O693" s="424"/>
      <c r="P693" s="424"/>
      <c r="Q693" s="435" t="n">
        <v>77</v>
      </c>
      <c r="R693" s="434" t="s">
        <v>643</v>
      </c>
      <c r="S693" s="424"/>
      <c r="T693" s="434" t="s">
        <v>644</v>
      </c>
      <c r="U693" s="434" t="s">
        <v>645</v>
      </c>
      <c r="V693" s="436" t="n">
        <f aca="false">AY698</f>
        <v>0</v>
      </c>
    </row>
    <row r="694" customFormat="false" ht="13.5" hidden="false" customHeight="false" outlineLevel="0" collapsed="false">
      <c r="A694" s="424"/>
      <c r="B694" s="424"/>
      <c r="C694" s="424"/>
      <c r="D694" s="424"/>
      <c r="E694" s="424"/>
      <c r="F694" s="424"/>
      <c r="G694" s="424"/>
      <c r="H694" s="424"/>
      <c r="I694" s="424"/>
      <c r="J694" s="424"/>
      <c r="K694" s="424"/>
      <c r="L694" s="424"/>
      <c r="M694" s="424"/>
      <c r="N694" s="424"/>
      <c r="O694" s="424"/>
      <c r="P694" s="424"/>
      <c r="Q694" s="435" t="n">
        <v>78</v>
      </c>
      <c r="R694" s="434" t="s">
        <v>646</v>
      </c>
      <c r="S694" s="424"/>
      <c r="T694" s="434" t="s">
        <v>647</v>
      </c>
      <c r="U694" s="434" t="s">
        <v>648</v>
      </c>
      <c r="V694" s="436" t="n">
        <f aca="false">AY699</f>
        <v>0</v>
      </c>
    </row>
    <row r="695" customFormat="false" ht="13.5" hidden="false" customHeight="false" outlineLevel="0" collapsed="false">
      <c r="A695" s="424"/>
      <c r="B695" s="424"/>
      <c r="C695" s="424"/>
      <c r="D695" s="424"/>
      <c r="E695" s="424"/>
      <c r="F695" s="424"/>
      <c r="G695" s="424"/>
      <c r="H695" s="424"/>
      <c r="I695" s="424"/>
      <c r="J695" s="424"/>
      <c r="K695" s="424"/>
      <c r="L695" s="424"/>
      <c r="M695" s="424"/>
      <c r="N695" s="424"/>
      <c r="O695" s="424"/>
      <c r="P695" s="424"/>
      <c r="Q695" s="435" t="n">
        <v>79</v>
      </c>
      <c r="R695" s="434" t="s">
        <v>649</v>
      </c>
      <c r="S695" s="424"/>
      <c r="T695" s="434" t="s">
        <v>650</v>
      </c>
      <c r="U695" s="434" t="s">
        <v>651</v>
      </c>
      <c r="V695" s="436" t="n">
        <f aca="false">AY700</f>
        <v>0</v>
      </c>
    </row>
    <row r="696" customFormat="false" ht="13.5" hidden="false" customHeight="false" outlineLevel="0" collapsed="false">
      <c r="A696" s="424"/>
      <c r="B696" s="424"/>
      <c r="C696" s="424"/>
      <c r="D696" s="424"/>
      <c r="E696" s="424"/>
      <c r="F696" s="424"/>
      <c r="G696" s="424"/>
      <c r="H696" s="424"/>
      <c r="I696" s="424"/>
      <c r="J696" s="424"/>
      <c r="K696" s="424"/>
      <c r="L696" s="424"/>
      <c r="M696" s="424"/>
      <c r="N696" s="424"/>
      <c r="O696" s="424"/>
      <c r="P696" s="424"/>
      <c r="Q696" s="435" t="n">
        <v>80</v>
      </c>
      <c r="R696" s="434" t="s">
        <v>652</v>
      </c>
      <c r="S696" s="424"/>
      <c r="T696" s="434" t="s">
        <v>653</v>
      </c>
      <c r="U696" s="434" t="s">
        <v>654</v>
      </c>
      <c r="V696" s="436" t="n">
        <f aca="false">AY701</f>
        <v>0</v>
      </c>
    </row>
    <row r="697" customFormat="false" ht="13.5" hidden="false" customHeight="false" outlineLevel="0" collapsed="false">
      <c r="A697" s="424"/>
      <c r="B697" s="424"/>
      <c r="C697" s="424"/>
      <c r="D697" s="424"/>
      <c r="E697" s="424"/>
      <c r="F697" s="424"/>
      <c r="G697" s="424"/>
      <c r="H697" s="424"/>
      <c r="I697" s="424"/>
      <c r="J697" s="424"/>
      <c r="K697" s="424"/>
      <c r="L697" s="424"/>
      <c r="M697" s="424"/>
      <c r="N697" s="424"/>
      <c r="O697" s="424"/>
      <c r="P697" s="424"/>
      <c r="Q697" s="435" t="n">
        <v>81</v>
      </c>
      <c r="R697" s="434" t="s">
        <v>655</v>
      </c>
      <c r="S697" s="424"/>
      <c r="T697" s="434" t="s">
        <v>656</v>
      </c>
      <c r="U697" s="434" t="s">
        <v>657</v>
      </c>
      <c r="V697" s="436" t="n">
        <f aca="false">AY702</f>
        <v>0</v>
      </c>
    </row>
    <row r="698" customFormat="false" ht="13.5" hidden="false" customHeight="false" outlineLevel="0" collapsed="false">
      <c r="A698" s="424"/>
      <c r="B698" s="424"/>
      <c r="C698" s="424"/>
      <c r="D698" s="424"/>
      <c r="E698" s="424"/>
      <c r="F698" s="424"/>
      <c r="G698" s="424"/>
      <c r="H698" s="424"/>
      <c r="I698" s="424"/>
      <c r="J698" s="424"/>
      <c r="K698" s="424"/>
      <c r="L698" s="424"/>
      <c r="M698" s="424"/>
      <c r="N698" s="424"/>
      <c r="O698" s="424"/>
      <c r="P698" s="424"/>
      <c r="Q698" s="435" t="n">
        <v>82</v>
      </c>
      <c r="R698" s="434" t="s">
        <v>658</v>
      </c>
      <c r="S698" s="424"/>
      <c r="T698" s="434" t="s">
        <v>659</v>
      </c>
      <c r="U698" s="434" t="s">
        <v>660</v>
      </c>
      <c r="V698" s="436" t="n">
        <f aca="false">AY703</f>
        <v>0</v>
      </c>
    </row>
    <row r="699" customFormat="false" ht="13.5" hidden="false" customHeight="false" outlineLevel="0" collapsed="false">
      <c r="A699" s="424"/>
      <c r="B699" s="424"/>
      <c r="C699" s="424"/>
      <c r="D699" s="424"/>
      <c r="E699" s="424"/>
      <c r="F699" s="424"/>
      <c r="G699" s="424"/>
      <c r="H699" s="424"/>
      <c r="I699" s="424"/>
      <c r="J699" s="424"/>
      <c r="K699" s="424"/>
      <c r="L699" s="424"/>
      <c r="M699" s="424"/>
      <c r="N699" s="424"/>
      <c r="O699" s="424"/>
      <c r="P699" s="424"/>
      <c r="Q699" s="435" t="n">
        <v>83</v>
      </c>
      <c r="R699" s="434" t="s">
        <v>661</v>
      </c>
      <c r="S699" s="424"/>
      <c r="T699" s="434" t="s">
        <v>662</v>
      </c>
      <c r="U699" s="434" t="s">
        <v>663</v>
      </c>
      <c r="V699" s="436" t="n">
        <f aca="false">AY704</f>
        <v>0</v>
      </c>
    </row>
    <row r="700" customFormat="false" ht="13.5" hidden="false" customHeight="false" outlineLevel="0" collapsed="false">
      <c r="A700" s="424"/>
      <c r="B700" s="424"/>
      <c r="C700" s="424"/>
      <c r="D700" s="424"/>
      <c r="E700" s="424"/>
      <c r="F700" s="424"/>
      <c r="G700" s="424"/>
      <c r="H700" s="424"/>
      <c r="I700" s="424"/>
      <c r="J700" s="424"/>
      <c r="K700" s="424"/>
      <c r="L700" s="424"/>
      <c r="M700" s="424"/>
      <c r="N700" s="424"/>
      <c r="O700" s="424"/>
      <c r="P700" s="424"/>
      <c r="Q700" s="435" t="n">
        <v>84</v>
      </c>
      <c r="R700" s="434" t="s">
        <v>664</v>
      </c>
      <c r="S700" s="424"/>
      <c r="T700" s="434" t="s">
        <v>665</v>
      </c>
      <c r="U700" s="434" t="s">
        <v>666</v>
      </c>
      <c r="V700" s="436" t="n">
        <f aca="false">AY705</f>
        <v>0</v>
      </c>
    </row>
    <row r="701" customFormat="false" ht="13.5" hidden="false" customHeight="false" outlineLevel="0" collapsed="false">
      <c r="A701" s="424"/>
      <c r="B701" s="424"/>
      <c r="C701" s="424"/>
      <c r="D701" s="424"/>
      <c r="E701" s="424"/>
      <c r="F701" s="424"/>
      <c r="G701" s="424"/>
      <c r="H701" s="424"/>
      <c r="I701" s="424"/>
      <c r="J701" s="424"/>
      <c r="K701" s="424"/>
      <c r="L701" s="424"/>
      <c r="M701" s="424"/>
      <c r="N701" s="424"/>
      <c r="O701" s="424"/>
      <c r="P701" s="424"/>
      <c r="Q701" s="435" t="n">
        <v>85</v>
      </c>
      <c r="R701" s="434" t="s">
        <v>667</v>
      </c>
      <c r="S701" s="424"/>
      <c r="T701" s="434" t="s">
        <v>668</v>
      </c>
      <c r="U701" s="434" t="s">
        <v>669</v>
      </c>
      <c r="V701" s="436" t="n">
        <f aca="false">AY706</f>
        <v>0</v>
      </c>
    </row>
    <row r="702" customFormat="false" ht="13.5" hidden="false" customHeight="false" outlineLevel="0" collapsed="false">
      <c r="A702" s="424"/>
      <c r="B702" s="424"/>
      <c r="C702" s="424"/>
      <c r="D702" s="424"/>
      <c r="E702" s="424"/>
      <c r="F702" s="424"/>
      <c r="G702" s="424"/>
      <c r="H702" s="424"/>
      <c r="I702" s="424"/>
      <c r="J702" s="424"/>
      <c r="K702" s="424"/>
      <c r="L702" s="424"/>
      <c r="M702" s="424"/>
      <c r="N702" s="424"/>
      <c r="O702" s="424"/>
      <c r="P702" s="424"/>
      <c r="Q702" s="435" t="n">
        <v>86</v>
      </c>
      <c r="R702" s="434" t="s">
        <v>670</v>
      </c>
      <c r="S702" s="424"/>
      <c r="T702" s="434" t="s">
        <v>671</v>
      </c>
      <c r="U702" s="434" t="s">
        <v>672</v>
      </c>
      <c r="V702" s="436" t="n">
        <f aca="false">AY707</f>
        <v>0</v>
      </c>
    </row>
    <row r="703" customFormat="false" ht="13.5" hidden="false" customHeight="false" outlineLevel="0" collapsed="false">
      <c r="A703" s="424"/>
      <c r="B703" s="424"/>
      <c r="C703" s="424"/>
      <c r="D703" s="424"/>
      <c r="E703" s="424"/>
      <c r="F703" s="424"/>
      <c r="G703" s="424"/>
      <c r="H703" s="424"/>
      <c r="I703" s="424"/>
      <c r="J703" s="424"/>
      <c r="K703" s="424"/>
      <c r="L703" s="424"/>
      <c r="M703" s="424"/>
      <c r="N703" s="424"/>
      <c r="O703" s="424"/>
      <c r="P703" s="424"/>
      <c r="Q703" s="435" t="n">
        <v>87</v>
      </c>
      <c r="R703" s="434" t="s">
        <v>673</v>
      </c>
      <c r="S703" s="424"/>
      <c r="T703" s="434" t="s">
        <v>674</v>
      </c>
      <c r="U703" s="434" t="s">
        <v>675</v>
      </c>
      <c r="V703" s="436" t="n">
        <f aca="false">AY708</f>
        <v>0</v>
      </c>
    </row>
    <row r="704" customFormat="false" ht="13.5" hidden="false" customHeight="false" outlineLevel="0" collapsed="false">
      <c r="A704" s="424"/>
      <c r="B704" s="424"/>
      <c r="C704" s="424"/>
      <c r="D704" s="424"/>
      <c r="E704" s="424"/>
      <c r="F704" s="424"/>
      <c r="G704" s="424"/>
      <c r="H704" s="424"/>
      <c r="I704" s="424"/>
      <c r="J704" s="424"/>
      <c r="K704" s="424"/>
      <c r="L704" s="424"/>
      <c r="M704" s="424"/>
      <c r="N704" s="424"/>
      <c r="O704" s="424"/>
      <c r="P704" s="424"/>
      <c r="Q704" s="435" t="n">
        <v>88</v>
      </c>
      <c r="R704" s="434" t="s">
        <v>676</v>
      </c>
      <c r="S704" s="424"/>
      <c r="T704" s="434" t="s">
        <v>677</v>
      </c>
      <c r="U704" s="434" t="s">
        <v>678</v>
      </c>
      <c r="V704" s="436" t="n">
        <f aca="false">AY709</f>
        <v>0</v>
      </c>
    </row>
    <row r="705" customFormat="false" ht="13.5" hidden="false" customHeight="false" outlineLevel="0" collapsed="false">
      <c r="A705" s="424"/>
      <c r="B705" s="424"/>
      <c r="C705" s="424"/>
      <c r="D705" s="424"/>
      <c r="E705" s="424"/>
      <c r="F705" s="424"/>
      <c r="G705" s="424"/>
      <c r="H705" s="424"/>
      <c r="I705" s="424"/>
      <c r="J705" s="424"/>
      <c r="K705" s="424"/>
      <c r="L705" s="424"/>
      <c r="M705" s="424"/>
      <c r="N705" s="424"/>
      <c r="O705" s="424"/>
      <c r="P705" s="424"/>
      <c r="Q705" s="435" t="n">
        <v>89</v>
      </c>
      <c r="R705" s="434" t="s">
        <v>679</v>
      </c>
      <c r="S705" s="424"/>
      <c r="T705" s="434" t="s">
        <v>680</v>
      </c>
      <c r="U705" s="434" t="s">
        <v>681</v>
      </c>
      <c r="V705" s="436" t="n">
        <f aca="false">AY710</f>
        <v>0</v>
      </c>
    </row>
    <row r="706" customFormat="false" ht="13.5" hidden="false" customHeight="false" outlineLevel="0" collapsed="false">
      <c r="A706" s="424"/>
      <c r="B706" s="424"/>
      <c r="C706" s="424"/>
      <c r="D706" s="424"/>
      <c r="E706" s="424"/>
      <c r="F706" s="424"/>
      <c r="G706" s="424"/>
      <c r="H706" s="424"/>
      <c r="I706" s="424"/>
      <c r="J706" s="424"/>
      <c r="K706" s="424"/>
      <c r="L706" s="424"/>
      <c r="M706" s="424"/>
      <c r="N706" s="424"/>
      <c r="O706" s="424"/>
      <c r="P706" s="424"/>
      <c r="Q706" s="435" t="n">
        <v>90</v>
      </c>
      <c r="R706" s="434" t="s">
        <v>682</v>
      </c>
      <c r="S706" s="424"/>
      <c r="T706" s="434" t="s">
        <v>683</v>
      </c>
      <c r="U706" s="434" t="s">
        <v>684</v>
      </c>
      <c r="V706" s="436" t="n">
        <f aca="false">AY711</f>
        <v>0</v>
      </c>
    </row>
    <row r="707" customFormat="false" ht="13.5" hidden="false" customHeight="false" outlineLevel="0" collapsed="false">
      <c r="A707" s="424"/>
      <c r="B707" s="424"/>
      <c r="C707" s="424"/>
      <c r="D707" s="424"/>
      <c r="E707" s="424"/>
      <c r="F707" s="424"/>
      <c r="G707" s="424"/>
      <c r="H707" s="424"/>
      <c r="I707" s="424"/>
      <c r="J707" s="424"/>
      <c r="K707" s="424"/>
      <c r="L707" s="424"/>
      <c r="M707" s="424"/>
      <c r="N707" s="424"/>
      <c r="O707" s="424"/>
      <c r="P707" s="424"/>
      <c r="Q707" s="435" t="n">
        <v>91</v>
      </c>
      <c r="R707" s="434" t="s">
        <v>685</v>
      </c>
      <c r="S707" s="424"/>
      <c r="T707" s="434" t="s">
        <v>686</v>
      </c>
      <c r="U707" s="434" t="s">
        <v>687</v>
      </c>
      <c r="V707" s="436" t="n">
        <f aca="false">AY712</f>
        <v>0</v>
      </c>
    </row>
    <row r="708" customFormat="false" ht="13.5" hidden="false" customHeight="false" outlineLevel="0" collapsed="false">
      <c r="A708" s="424"/>
      <c r="B708" s="424"/>
      <c r="C708" s="424"/>
      <c r="D708" s="424"/>
      <c r="E708" s="424"/>
      <c r="F708" s="424"/>
      <c r="G708" s="424"/>
      <c r="H708" s="424"/>
      <c r="I708" s="424"/>
      <c r="J708" s="424"/>
      <c r="K708" s="424"/>
      <c r="L708" s="424"/>
      <c r="M708" s="424"/>
      <c r="N708" s="424"/>
      <c r="O708" s="424"/>
      <c r="P708" s="424"/>
      <c r="Q708" s="435" t="n">
        <v>92</v>
      </c>
      <c r="R708" s="434" t="s">
        <v>688</v>
      </c>
      <c r="S708" s="424"/>
      <c r="T708" s="434" t="s">
        <v>689</v>
      </c>
      <c r="U708" s="434" t="s">
        <v>690</v>
      </c>
      <c r="V708" s="436" t="n">
        <f aca="false">AY713</f>
        <v>0</v>
      </c>
    </row>
    <row r="709" customFormat="false" ht="13.5" hidden="false" customHeight="false" outlineLevel="0" collapsed="false">
      <c r="A709" s="424"/>
      <c r="B709" s="424"/>
      <c r="C709" s="424"/>
      <c r="D709" s="424"/>
      <c r="E709" s="424"/>
      <c r="F709" s="424"/>
      <c r="G709" s="424"/>
      <c r="H709" s="424"/>
      <c r="I709" s="424"/>
      <c r="J709" s="424"/>
      <c r="K709" s="424"/>
      <c r="L709" s="424"/>
      <c r="M709" s="424"/>
      <c r="N709" s="424"/>
      <c r="O709" s="424"/>
      <c r="P709" s="424"/>
      <c r="Q709" s="435" t="n">
        <v>93</v>
      </c>
      <c r="R709" s="434" t="s">
        <v>691</v>
      </c>
      <c r="S709" s="424"/>
      <c r="T709" s="434" t="s">
        <v>692</v>
      </c>
      <c r="U709" s="434" t="s">
        <v>693</v>
      </c>
      <c r="V709" s="436" t="n">
        <f aca="false">AY714</f>
        <v>0</v>
      </c>
    </row>
    <row r="710" customFormat="false" ht="13.5" hidden="false" customHeight="false" outlineLevel="0" collapsed="false">
      <c r="A710" s="424"/>
      <c r="B710" s="424"/>
      <c r="C710" s="424"/>
      <c r="D710" s="424"/>
      <c r="E710" s="424"/>
      <c r="F710" s="424"/>
      <c r="G710" s="424"/>
      <c r="H710" s="424"/>
      <c r="I710" s="424"/>
      <c r="J710" s="424"/>
      <c r="K710" s="424"/>
      <c r="L710" s="424"/>
      <c r="M710" s="424"/>
      <c r="N710" s="424"/>
      <c r="O710" s="424"/>
      <c r="P710" s="424"/>
      <c r="Q710" s="435" t="n">
        <v>94</v>
      </c>
      <c r="R710" s="434" t="s">
        <v>694</v>
      </c>
      <c r="S710" s="424"/>
      <c r="T710" s="434" t="s">
        <v>695</v>
      </c>
      <c r="U710" s="434" t="s">
        <v>696</v>
      </c>
      <c r="V710" s="436" t="n">
        <f aca="false">AY715</f>
        <v>0</v>
      </c>
    </row>
    <row r="711" customFormat="false" ht="13.5" hidden="false" customHeight="false" outlineLevel="0" collapsed="false">
      <c r="A711" s="424"/>
      <c r="B711" s="424"/>
      <c r="C711" s="424"/>
      <c r="D711" s="424"/>
      <c r="E711" s="424"/>
      <c r="F711" s="424"/>
      <c r="G711" s="424"/>
      <c r="H711" s="424"/>
      <c r="I711" s="424"/>
      <c r="J711" s="424"/>
      <c r="K711" s="424"/>
      <c r="L711" s="424"/>
      <c r="M711" s="424"/>
      <c r="N711" s="424"/>
      <c r="O711" s="424"/>
      <c r="P711" s="424"/>
      <c r="Q711" s="435" t="n">
        <v>95</v>
      </c>
      <c r="R711" s="434" t="s">
        <v>697</v>
      </c>
      <c r="S711" s="424"/>
      <c r="T711" s="434" t="s">
        <v>698</v>
      </c>
      <c r="U711" s="434" t="s">
        <v>699</v>
      </c>
      <c r="V711" s="436" t="n">
        <f aca="false">AY716</f>
        <v>0</v>
      </c>
    </row>
    <row r="712" customFormat="false" ht="13.5" hidden="false" customHeight="false" outlineLevel="0" collapsed="false">
      <c r="A712" s="424"/>
      <c r="B712" s="424"/>
      <c r="C712" s="424"/>
      <c r="D712" s="424"/>
      <c r="E712" s="424"/>
      <c r="F712" s="424"/>
      <c r="G712" s="424"/>
      <c r="H712" s="424"/>
      <c r="I712" s="424"/>
      <c r="J712" s="424"/>
      <c r="K712" s="424"/>
      <c r="L712" s="424"/>
      <c r="M712" s="424"/>
      <c r="N712" s="424"/>
      <c r="O712" s="424"/>
      <c r="P712" s="424"/>
      <c r="Q712" s="435" t="n">
        <v>96</v>
      </c>
      <c r="R712" s="434" t="s">
        <v>700</v>
      </c>
      <c r="S712" s="424"/>
      <c r="T712" s="434" t="s">
        <v>701</v>
      </c>
      <c r="U712" s="434" t="s">
        <v>702</v>
      </c>
      <c r="V712" s="436" t="n">
        <f aca="false">AY717</f>
        <v>0</v>
      </c>
    </row>
    <row r="713" customFormat="false" ht="13.5" hidden="false" customHeight="false" outlineLevel="0" collapsed="false">
      <c r="A713" s="424"/>
      <c r="B713" s="424"/>
      <c r="C713" s="424"/>
      <c r="D713" s="424"/>
      <c r="E713" s="424"/>
      <c r="F713" s="424"/>
      <c r="G713" s="424"/>
      <c r="H713" s="424"/>
      <c r="I713" s="424"/>
      <c r="J713" s="424"/>
      <c r="K713" s="424"/>
      <c r="L713" s="424"/>
      <c r="M713" s="424"/>
      <c r="N713" s="424"/>
      <c r="O713" s="424"/>
      <c r="P713" s="424"/>
      <c r="Q713" s="435" t="n">
        <v>97</v>
      </c>
      <c r="R713" s="434" t="s">
        <v>703</v>
      </c>
      <c r="S713" s="424"/>
      <c r="T713" s="434" t="s">
        <v>704</v>
      </c>
      <c r="U713" s="434" t="s">
        <v>705</v>
      </c>
      <c r="V713" s="436" t="n">
        <f aca="false">AY718</f>
        <v>0</v>
      </c>
    </row>
    <row r="714" customFormat="false" ht="13.5" hidden="false" customHeight="false" outlineLevel="0" collapsed="false">
      <c r="A714" s="424"/>
      <c r="B714" s="424"/>
      <c r="C714" s="424"/>
      <c r="D714" s="424"/>
      <c r="E714" s="424"/>
      <c r="F714" s="424"/>
      <c r="G714" s="424"/>
      <c r="H714" s="424"/>
      <c r="I714" s="424"/>
      <c r="J714" s="424"/>
      <c r="K714" s="424"/>
      <c r="L714" s="424"/>
      <c r="M714" s="424"/>
      <c r="N714" s="424"/>
      <c r="O714" s="424"/>
      <c r="P714" s="424"/>
      <c r="Q714" s="435" t="n">
        <v>98</v>
      </c>
      <c r="R714" s="434" t="s">
        <v>706</v>
      </c>
      <c r="S714" s="424"/>
      <c r="T714" s="434" t="s">
        <v>707</v>
      </c>
      <c r="U714" s="434" t="s">
        <v>708</v>
      </c>
      <c r="V714" s="436" t="n">
        <f aca="false">AY719</f>
        <v>0</v>
      </c>
    </row>
    <row r="715" customFormat="false" ht="13.5" hidden="false" customHeight="false" outlineLevel="0" collapsed="false">
      <c r="A715" s="424"/>
      <c r="B715" s="424"/>
      <c r="C715" s="424"/>
      <c r="D715" s="424"/>
      <c r="E715" s="424"/>
      <c r="F715" s="424"/>
      <c r="G715" s="424"/>
      <c r="H715" s="424"/>
      <c r="I715" s="424"/>
      <c r="J715" s="424"/>
      <c r="K715" s="424"/>
      <c r="L715" s="424"/>
      <c r="M715" s="424"/>
      <c r="N715" s="424"/>
      <c r="O715" s="424"/>
      <c r="P715" s="424"/>
      <c r="Q715" s="435" t="n">
        <v>99</v>
      </c>
      <c r="R715" s="434" t="s">
        <v>709</v>
      </c>
      <c r="S715" s="424"/>
      <c r="T715" s="434" t="s">
        <v>710</v>
      </c>
      <c r="U715" s="434" t="s">
        <v>711</v>
      </c>
      <c r="V715" s="436" t="n">
        <f aca="false">AY720</f>
        <v>0</v>
      </c>
    </row>
    <row r="716" customFormat="false" ht="13.5" hidden="false" customHeight="false" outlineLevel="0" collapsed="false">
      <c r="A716" s="424"/>
      <c r="B716" s="424"/>
      <c r="C716" s="424"/>
      <c r="D716" s="424"/>
      <c r="E716" s="424"/>
      <c r="F716" s="424"/>
      <c r="G716" s="424"/>
      <c r="H716" s="424"/>
      <c r="I716" s="424"/>
      <c r="J716" s="424"/>
      <c r="K716" s="424"/>
      <c r="L716" s="424"/>
      <c r="M716" s="424"/>
      <c r="N716" s="424"/>
      <c r="O716" s="424"/>
      <c r="P716" s="424"/>
      <c r="Q716" s="424"/>
      <c r="R716" s="424"/>
      <c r="S716" s="424"/>
      <c r="T716" s="424"/>
      <c r="U716" s="424"/>
      <c r="V716" s="436" t="n">
        <f aca="false">AY721</f>
        <v>0</v>
      </c>
    </row>
    <row r="717" customFormat="false" ht="13.5" hidden="false" customHeight="false" outlineLevel="0" collapsed="false">
      <c r="A717" s="424"/>
      <c r="B717" s="424"/>
      <c r="C717" s="424"/>
      <c r="D717" s="424"/>
      <c r="E717" s="424"/>
      <c r="F717" s="424"/>
      <c r="G717" s="424"/>
      <c r="H717" s="424"/>
      <c r="I717" s="424"/>
      <c r="J717" s="424"/>
      <c r="K717" s="424"/>
      <c r="L717" s="424"/>
      <c r="M717" s="424"/>
      <c r="N717" s="424"/>
      <c r="O717" s="424"/>
      <c r="P717" s="424"/>
      <c r="Q717" s="424"/>
      <c r="R717" s="424"/>
      <c r="S717" s="424"/>
      <c r="T717" s="424"/>
      <c r="U717" s="424"/>
      <c r="V717" s="436" t="n">
        <f aca="false">AY722</f>
        <v>0</v>
      </c>
    </row>
    <row r="718" customFormat="false" ht="13.5" hidden="false" customHeight="false" outlineLevel="0" collapsed="false">
      <c r="A718" s="424"/>
      <c r="B718" s="424"/>
      <c r="C718" s="424"/>
      <c r="D718" s="424"/>
      <c r="E718" s="424"/>
      <c r="F718" s="424"/>
      <c r="G718" s="424"/>
      <c r="H718" s="424"/>
      <c r="I718" s="424"/>
      <c r="J718" s="424"/>
      <c r="K718" s="424"/>
      <c r="L718" s="424"/>
      <c r="M718" s="424"/>
      <c r="N718" s="424"/>
      <c r="O718" s="424"/>
      <c r="P718" s="424"/>
      <c r="Q718" s="424"/>
      <c r="R718" s="424"/>
      <c r="S718" s="424"/>
      <c r="T718" s="424"/>
      <c r="U718" s="424"/>
      <c r="V718" s="436" t="n">
        <f aca="false">AY723</f>
        <v>0</v>
      </c>
    </row>
    <row r="719" customFormat="false" ht="13.5" hidden="false" customHeight="false" outlineLevel="0" collapsed="false">
      <c r="A719" s="424"/>
      <c r="B719" s="424"/>
      <c r="C719" s="424"/>
      <c r="D719" s="424"/>
      <c r="E719" s="424"/>
      <c r="F719" s="424"/>
      <c r="G719" s="424"/>
      <c r="H719" s="424"/>
      <c r="I719" s="424"/>
      <c r="J719" s="424"/>
      <c r="K719" s="424"/>
      <c r="L719" s="424"/>
      <c r="M719" s="424"/>
      <c r="N719" s="424"/>
      <c r="O719" s="424"/>
      <c r="P719" s="424"/>
      <c r="Q719" s="424"/>
      <c r="R719" s="424"/>
      <c r="S719" s="424"/>
      <c r="T719" s="424"/>
      <c r="U719" s="424"/>
      <c r="V719" s="436" t="n">
        <f aca="false">AY724</f>
        <v>0</v>
      </c>
    </row>
    <row r="720" customFormat="false" ht="13.5" hidden="false" customHeight="false" outlineLevel="0" collapsed="false">
      <c r="A720" s="424"/>
      <c r="B720" s="424"/>
      <c r="C720" s="424"/>
      <c r="D720" s="424"/>
      <c r="E720" s="424"/>
      <c r="F720" s="424"/>
      <c r="G720" s="424"/>
      <c r="H720" s="424"/>
      <c r="I720" s="424"/>
      <c r="J720" s="424"/>
      <c r="K720" s="424"/>
      <c r="L720" s="424"/>
      <c r="M720" s="424"/>
      <c r="N720" s="424"/>
      <c r="O720" s="424"/>
      <c r="P720" s="424"/>
      <c r="Q720" s="424"/>
      <c r="R720" s="424"/>
      <c r="S720" s="424"/>
      <c r="T720" s="424"/>
      <c r="U720" s="424"/>
      <c r="V720" s="436" t="n">
        <f aca="false">AY725</f>
        <v>0</v>
      </c>
    </row>
    <row r="721" customFormat="false" ht="13.5" hidden="false" customHeight="false" outlineLevel="0" collapsed="false">
      <c r="A721" s="424"/>
      <c r="B721" s="424"/>
      <c r="C721" s="424"/>
      <c r="D721" s="424"/>
      <c r="E721" s="424"/>
      <c r="F721" s="424"/>
      <c r="G721" s="424"/>
      <c r="H721" s="424"/>
      <c r="I721" s="424"/>
      <c r="J721" s="424"/>
      <c r="K721" s="424"/>
      <c r="L721" s="424"/>
      <c r="M721" s="424"/>
      <c r="N721" s="424"/>
      <c r="O721" s="424"/>
      <c r="P721" s="424"/>
      <c r="Q721" s="424"/>
      <c r="R721" s="424"/>
      <c r="S721" s="424"/>
      <c r="T721" s="424"/>
      <c r="U721" s="424"/>
      <c r="V721" s="436" t="n">
        <f aca="false">AY726</f>
        <v>0</v>
      </c>
    </row>
    <row r="722" customFormat="false" ht="13.5" hidden="false" customHeight="false" outlineLevel="0" collapsed="false">
      <c r="A722" s="424"/>
      <c r="B722" s="424"/>
      <c r="C722" s="424"/>
      <c r="D722" s="424"/>
      <c r="E722" s="424"/>
      <c r="F722" s="424"/>
      <c r="G722" s="424"/>
      <c r="H722" s="424"/>
      <c r="I722" s="424"/>
      <c r="J722" s="424"/>
      <c r="K722" s="424"/>
      <c r="L722" s="424"/>
      <c r="M722" s="424"/>
      <c r="N722" s="424"/>
      <c r="O722" s="424"/>
      <c r="P722" s="424"/>
      <c r="Q722" s="424"/>
      <c r="R722" s="424"/>
      <c r="S722" s="424"/>
      <c r="T722" s="424"/>
      <c r="U722" s="424"/>
      <c r="V722" s="436" t="n">
        <f aca="false">AY727</f>
        <v>0</v>
      </c>
    </row>
    <row r="723" customFormat="false" ht="13.5" hidden="false" customHeight="false" outlineLevel="0" collapsed="false">
      <c r="A723" s="424"/>
      <c r="B723" s="424"/>
      <c r="C723" s="424"/>
      <c r="D723" s="424"/>
      <c r="E723" s="424"/>
      <c r="F723" s="424"/>
      <c r="G723" s="424"/>
      <c r="H723" s="424"/>
      <c r="I723" s="424"/>
      <c r="J723" s="424"/>
      <c r="K723" s="424"/>
      <c r="L723" s="424"/>
      <c r="M723" s="424"/>
      <c r="N723" s="424"/>
      <c r="O723" s="424"/>
      <c r="P723" s="424"/>
      <c r="Q723" s="424"/>
      <c r="R723" s="424"/>
      <c r="S723" s="424"/>
      <c r="T723" s="424"/>
      <c r="U723" s="424"/>
      <c r="V723" s="436" t="n">
        <f aca="false">AY728</f>
        <v>0</v>
      </c>
    </row>
    <row r="724" customFormat="false" ht="13.5" hidden="false" customHeight="false" outlineLevel="0" collapsed="false">
      <c r="A724" s="424"/>
      <c r="B724" s="424"/>
      <c r="C724" s="424"/>
      <c r="D724" s="424"/>
      <c r="E724" s="424"/>
      <c r="F724" s="424"/>
      <c r="G724" s="424"/>
      <c r="H724" s="424"/>
      <c r="I724" s="424"/>
      <c r="J724" s="424"/>
      <c r="K724" s="424"/>
      <c r="L724" s="424"/>
      <c r="M724" s="424"/>
      <c r="N724" s="424"/>
      <c r="O724" s="424"/>
      <c r="P724" s="424"/>
      <c r="Q724" s="424"/>
      <c r="R724" s="424"/>
      <c r="S724" s="424"/>
      <c r="T724" s="424"/>
      <c r="U724" s="424"/>
      <c r="V724" s="436" t="n">
        <f aca="false">AY729</f>
        <v>0</v>
      </c>
    </row>
    <row r="725" customFormat="false" ht="13.5" hidden="false" customHeight="false" outlineLevel="0" collapsed="false">
      <c r="A725" s="424"/>
      <c r="B725" s="424"/>
      <c r="C725" s="424"/>
      <c r="D725" s="424"/>
      <c r="E725" s="424"/>
      <c r="F725" s="424"/>
      <c r="G725" s="424"/>
      <c r="H725" s="424"/>
      <c r="I725" s="424"/>
      <c r="J725" s="424"/>
      <c r="K725" s="424"/>
      <c r="L725" s="424"/>
      <c r="M725" s="424"/>
      <c r="N725" s="424"/>
      <c r="O725" s="424"/>
      <c r="P725" s="424"/>
      <c r="Q725" s="424"/>
      <c r="R725" s="424"/>
      <c r="S725" s="424"/>
      <c r="T725" s="424"/>
      <c r="U725" s="424"/>
      <c r="V725" s="436" t="n">
        <f aca="false">AY730</f>
        <v>0</v>
      </c>
    </row>
    <row r="726" customFormat="false" ht="13.5" hidden="false" customHeight="false" outlineLevel="0" collapsed="false">
      <c r="A726" s="424"/>
      <c r="B726" s="424"/>
      <c r="C726" s="424"/>
      <c r="D726" s="424"/>
      <c r="E726" s="424"/>
      <c r="F726" s="424"/>
      <c r="G726" s="424"/>
      <c r="H726" s="424"/>
      <c r="I726" s="424"/>
      <c r="J726" s="424"/>
      <c r="K726" s="424"/>
      <c r="L726" s="424"/>
      <c r="M726" s="424"/>
      <c r="N726" s="424"/>
      <c r="O726" s="424"/>
      <c r="P726" s="424"/>
      <c r="Q726" s="424"/>
      <c r="R726" s="424"/>
      <c r="S726" s="424"/>
      <c r="T726" s="424"/>
      <c r="U726" s="424"/>
      <c r="V726" s="436" t="n">
        <f aca="false">AY731</f>
        <v>0</v>
      </c>
    </row>
    <row r="727" customFormat="false" ht="13.5" hidden="false" customHeight="false" outlineLevel="0" collapsed="false">
      <c r="A727" s="424"/>
      <c r="B727" s="424"/>
      <c r="C727" s="424"/>
      <c r="D727" s="424"/>
      <c r="E727" s="424"/>
      <c r="F727" s="424"/>
      <c r="G727" s="424"/>
      <c r="H727" s="424"/>
      <c r="I727" s="424"/>
      <c r="J727" s="424"/>
      <c r="K727" s="424"/>
      <c r="L727" s="424"/>
      <c r="M727" s="424"/>
      <c r="N727" s="424"/>
      <c r="O727" s="424"/>
      <c r="P727" s="424"/>
      <c r="Q727" s="424"/>
      <c r="R727" s="424"/>
      <c r="S727" s="424"/>
      <c r="T727" s="424"/>
      <c r="U727" s="424"/>
      <c r="V727" s="436" t="n">
        <f aca="false">AY732</f>
        <v>0</v>
      </c>
    </row>
    <row r="728" customFormat="false" ht="13.5" hidden="false" customHeight="false" outlineLevel="0" collapsed="false">
      <c r="A728" s="424"/>
      <c r="B728" s="424"/>
      <c r="C728" s="424"/>
      <c r="D728" s="424"/>
      <c r="E728" s="424"/>
      <c r="F728" s="424"/>
      <c r="G728" s="424"/>
      <c r="H728" s="424"/>
      <c r="I728" s="424"/>
      <c r="J728" s="424"/>
      <c r="K728" s="424"/>
      <c r="L728" s="424"/>
      <c r="M728" s="424"/>
      <c r="N728" s="424"/>
      <c r="O728" s="424"/>
      <c r="P728" s="424"/>
      <c r="Q728" s="424"/>
      <c r="R728" s="424"/>
      <c r="S728" s="424"/>
      <c r="T728" s="424"/>
      <c r="U728" s="424"/>
      <c r="V728" s="436" t="n">
        <f aca="false">AY733</f>
        <v>0</v>
      </c>
    </row>
    <row r="729" customFormat="false" ht="13.5" hidden="false" customHeight="false" outlineLevel="0" collapsed="false">
      <c r="A729" s="424"/>
      <c r="B729" s="424"/>
      <c r="C729" s="424"/>
      <c r="D729" s="424"/>
      <c r="E729" s="424"/>
      <c r="F729" s="424"/>
      <c r="G729" s="424"/>
      <c r="H729" s="424"/>
      <c r="I729" s="424"/>
      <c r="J729" s="424"/>
      <c r="K729" s="424"/>
      <c r="L729" s="424"/>
      <c r="M729" s="424"/>
      <c r="N729" s="424"/>
      <c r="O729" s="424"/>
      <c r="P729" s="424"/>
      <c r="Q729" s="424"/>
      <c r="R729" s="424"/>
      <c r="S729" s="424"/>
      <c r="T729" s="424"/>
      <c r="U729" s="424"/>
      <c r="V729" s="436" t="n">
        <f aca="false">AY734</f>
        <v>0</v>
      </c>
    </row>
    <row r="730" customFormat="false" ht="13.5" hidden="false" customHeight="false" outlineLevel="0" collapsed="false">
      <c r="A730" s="424"/>
      <c r="B730" s="424"/>
      <c r="C730" s="424"/>
      <c r="D730" s="424"/>
      <c r="E730" s="424"/>
      <c r="F730" s="424"/>
      <c r="G730" s="424"/>
      <c r="H730" s="424"/>
      <c r="I730" s="424"/>
      <c r="J730" s="424"/>
      <c r="K730" s="424"/>
      <c r="L730" s="424"/>
      <c r="M730" s="424"/>
      <c r="N730" s="424"/>
      <c r="O730" s="424"/>
      <c r="P730" s="424"/>
      <c r="Q730" s="424"/>
      <c r="R730" s="424"/>
      <c r="S730" s="424"/>
      <c r="T730" s="424"/>
      <c r="U730" s="424"/>
      <c r="V730" s="436" t="n">
        <f aca="false">AY735</f>
        <v>0</v>
      </c>
    </row>
    <row r="731" customFormat="false" ht="13.5" hidden="false" customHeight="false" outlineLevel="0" collapsed="false">
      <c r="A731" s="424"/>
      <c r="B731" s="424"/>
      <c r="C731" s="424"/>
      <c r="D731" s="424"/>
      <c r="E731" s="424"/>
      <c r="F731" s="424"/>
      <c r="G731" s="424"/>
      <c r="H731" s="424"/>
      <c r="I731" s="424"/>
      <c r="J731" s="424"/>
      <c r="K731" s="424"/>
      <c r="L731" s="424"/>
      <c r="M731" s="424"/>
      <c r="N731" s="424"/>
      <c r="O731" s="424"/>
      <c r="P731" s="424"/>
      <c r="Q731" s="424"/>
      <c r="R731" s="424"/>
      <c r="S731" s="424"/>
      <c r="T731" s="424"/>
      <c r="U731" s="424"/>
      <c r="V731" s="436" t="n">
        <f aca="false">AY736</f>
        <v>0</v>
      </c>
    </row>
    <row r="732" customFormat="false" ht="13.5" hidden="false" customHeight="false" outlineLevel="0" collapsed="false">
      <c r="A732" s="424"/>
      <c r="B732" s="424"/>
      <c r="C732" s="424"/>
      <c r="D732" s="424"/>
      <c r="E732" s="424"/>
      <c r="F732" s="424"/>
      <c r="G732" s="424"/>
      <c r="H732" s="424"/>
      <c r="I732" s="424"/>
      <c r="J732" s="424"/>
      <c r="K732" s="424"/>
      <c r="L732" s="424"/>
      <c r="M732" s="424"/>
      <c r="N732" s="424"/>
      <c r="O732" s="424"/>
      <c r="P732" s="424"/>
      <c r="Q732" s="424"/>
      <c r="R732" s="424"/>
      <c r="S732" s="424"/>
      <c r="T732" s="424"/>
      <c r="U732" s="424"/>
      <c r="V732" s="436" t="n">
        <f aca="false">AY737</f>
        <v>0</v>
      </c>
    </row>
    <row r="733" customFormat="false" ht="13.5" hidden="false" customHeight="false" outlineLevel="0" collapsed="false">
      <c r="A733" s="424"/>
      <c r="B733" s="424"/>
      <c r="C733" s="424"/>
      <c r="D733" s="424"/>
      <c r="E733" s="424"/>
      <c r="F733" s="424"/>
      <c r="G733" s="424"/>
      <c r="H733" s="424"/>
      <c r="I733" s="424"/>
      <c r="J733" s="424"/>
      <c r="K733" s="424"/>
      <c r="L733" s="424"/>
      <c r="M733" s="424"/>
      <c r="N733" s="424"/>
      <c r="O733" s="424"/>
      <c r="P733" s="424"/>
      <c r="Q733" s="424"/>
      <c r="R733" s="424"/>
      <c r="S733" s="424"/>
      <c r="T733" s="424"/>
      <c r="U733" s="424"/>
      <c r="V733" s="436" t="n">
        <f aca="false">AY738</f>
        <v>0</v>
      </c>
    </row>
    <row r="734" customFormat="false" ht="13.5" hidden="false" customHeight="false" outlineLevel="0" collapsed="false">
      <c r="A734" s="424"/>
      <c r="B734" s="424"/>
      <c r="C734" s="424"/>
      <c r="D734" s="424"/>
      <c r="E734" s="424"/>
      <c r="F734" s="424"/>
      <c r="G734" s="424"/>
      <c r="H734" s="424"/>
      <c r="I734" s="424"/>
      <c r="J734" s="424"/>
      <c r="K734" s="424"/>
      <c r="L734" s="424"/>
      <c r="M734" s="424"/>
      <c r="N734" s="424"/>
      <c r="O734" s="424"/>
      <c r="P734" s="424"/>
      <c r="Q734" s="424"/>
      <c r="R734" s="424"/>
      <c r="S734" s="424"/>
      <c r="T734" s="424"/>
      <c r="U734" s="424"/>
      <c r="V734" s="424"/>
    </row>
    <row r="735" customFormat="false" ht="13.5" hidden="false" customHeight="false" outlineLevel="0" collapsed="false">
      <c r="A735" s="424"/>
      <c r="B735" s="424"/>
      <c r="C735" s="424"/>
      <c r="D735" s="424"/>
      <c r="E735" s="424"/>
      <c r="F735" s="424"/>
      <c r="G735" s="424"/>
      <c r="H735" s="424"/>
      <c r="I735" s="424"/>
      <c r="J735" s="424"/>
      <c r="K735" s="424"/>
      <c r="L735" s="424"/>
      <c r="M735" s="424"/>
      <c r="N735" s="424"/>
      <c r="O735" s="424"/>
      <c r="P735" s="424"/>
      <c r="Q735" s="424"/>
      <c r="R735" s="424"/>
      <c r="S735" s="424"/>
      <c r="T735" s="424"/>
      <c r="U735" s="424"/>
      <c r="V735" s="424"/>
    </row>
    <row r="736" customFormat="false" ht="13.5" hidden="false" customHeight="false" outlineLevel="0" collapsed="false">
      <c r="A736" s="424"/>
      <c r="B736" s="424"/>
      <c r="C736" s="424"/>
      <c r="D736" s="424"/>
      <c r="E736" s="424"/>
      <c r="F736" s="424"/>
      <c r="G736" s="424"/>
      <c r="H736" s="424"/>
      <c r="I736" s="424"/>
      <c r="J736" s="424"/>
      <c r="K736" s="424"/>
      <c r="L736" s="424"/>
      <c r="M736" s="424"/>
      <c r="N736" s="424"/>
      <c r="O736" s="424"/>
      <c r="P736" s="424"/>
      <c r="Q736" s="424"/>
      <c r="R736" s="434" t="s">
        <v>400</v>
      </c>
      <c r="S736" s="424"/>
      <c r="T736" s="424"/>
      <c r="U736" s="424"/>
      <c r="V736" s="435" t="n">
        <f aca="false">SUM(V738:V770)</f>
        <v>0</v>
      </c>
    </row>
    <row r="737" customFormat="false" ht="13.5" hidden="false" customHeight="false" outlineLevel="0" collapsed="false">
      <c r="A737" s="424"/>
      <c r="B737" s="424"/>
      <c r="C737" s="424"/>
      <c r="D737" s="424"/>
      <c r="E737" s="424"/>
      <c r="F737" s="424"/>
      <c r="G737" s="424"/>
      <c r="H737" s="424"/>
      <c r="I737" s="424"/>
      <c r="J737" s="424"/>
      <c r="K737" s="424"/>
      <c r="L737" s="424"/>
      <c r="M737" s="424"/>
      <c r="N737" s="424"/>
      <c r="O737" s="424"/>
      <c r="P737" s="424"/>
      <c r="Q737" s="435" t="n">
        <v>0</v>
      </c>
      <c r="R737" s="424"/>
      <c r="S737" s="435" t="n">
        <v>0</v>
      </c>
      <c r="T737" s="424"/>
      <c r="U737" s="424"/>
      <c r="V737" s="436" t="n">
        <f aca="false">AY737</f>
        <v>0</v>
      </c>
    </row>
    <row r="738" customFormat="false" ht="13.5" hidden="false" customHeight="false" outlineLevel="0" collapsed="false">
      <c r="A738" s="424"/>
      <c r="B738" s="424"/>
      <c r="C738" s="424"/>
      <c r="D738" s="424"/>
      <c r="E738" s="424"/>
      <c r="F738" s="424"/>
      <c r="G738" s="424"/>
      <c r="H738" s="424"/>
      <c r="I738" s="424"/>
      <c r="J738" s="424"/>
      <c r="K738" s="424"/>
      <c r="L738" s="424"/>
      <c r="M738" s="424"/>
      <c r="N738" s="424"/>
      <c r="O738" s="424"/>
      <c r="P738" s="424"/>
      <c r="Q738" s="435" t="n">
        <v>1</v>
      </c>
      <c r="R738" s="434" t="s">
        <v>401</v>
      </c>
      <c r="S738" s="434" t="s">
        <v>402</v>
      </c>
      <c r="T738" s="434" t="s">
        <v>403</v>
      </c>
      <c r="U738" s="434" t="s">
        <v>404</v>
      </c>
      <c r="V738" s="436" t="n">
        <f aca="false">AY738</f>
        <v>0</v>
      </c>
    </row>
    <row r="739" customFormat="false" ht="13.5" hidden="false" customHeight="false" outlineLevel="0" collapsed="false">
      <c r="A739" s="424"/>
      <c r="B739" s="424"/>
      <c r="C739" s="424"/>
      <c r="D739" s="424"/>
      <c r="E739" s="424"/>
      <c r="F739" s="424"/>
      <c r="G739" s="424"/>
      <c r="H739" s="424"/>
      <c r="I739" s="424"/>
      <c r="J739" s="424"/>
      <c r="K739" s="424"/>
      <c r="L739" s="424"/>
      <c r="M739" s="424"/>
      <c r="N739" s="424"/>
      <c r="O739" s="424"/>
      <c r="P739" s="424"/>
      <c r="Q739" s="435" t="n">
        <v>2</v>
      </c>
      <c r="R739" s="434" t="s">
        <v>405</v>
      </c>
      <c r="S739" s="434" t="s">
        <v>406</v>
      </c>
      <c r="T739" s="434" t="s">
        <v>407</v>
      </c>
      <c r="U739" s="434" t="s">
        <v>408</v>
      </c>
      <c r="V739" s="436" t="n">
        <f aca="false">AY739</f>
        <v>0</v>
      </c>
    </row>
    <row r="740" customFormat="false" ht="13.5" hidden="false" customHeight="false" outlineLevel="0" collapsed="false">
      <c r="A740" s="424"/>
      <c r="B740" s="424"/>
      <c r="C740" s="424"/>
      <c r="D740" s="424"/>
      <c r="E740" s="424"/>
      <c r="F740" s="424"/>
      <c r="G740" s="424"/>
      <c r="H740" s="424"/>
      <c r="I740" s="424"/>
      <c r="J740" s="424"/>
      <c r="K740" s="424"/>
      <c r="L740" s="424"/>
      <c r="M740" s="424"/>
      <c r="N740" s="424"/>
      <c r="O740" s="424"/>
      <c r="P740" s="424"/>
      <c r="Q740" s="435" t="n">
        <v>3</v>
      </c>
      <c r="R740" s="434" t="s">
        <v>409</v>
      </c>
      <c r="S740" s="434" t="s">
        <v>410</v>
      </c>
      <c r="T740" s="434" t="s">
        <v>411</v>
      </c>
      <c r="U740" s="434" t="s">
        <v>412</v>
      </c>
      <c r="V740" s="436" t="n">
        <f aca="false">AY740</f>
        <v>0</v>
      </c>
    </row>
    <row r="741" customFormat="false" ht="13.5" hidden="false" customHeight="false" outlineLevel="0" collapsed="false">
      <c r="A741" s="424"/>
      <c r="B741" s="424"/>
      <c r="C741" s="424"/>
      <c r="D741" s="424"/>
      <c r="E741" s="424"/>
      <c r="F741" s="424"/>
      <c r="G741" s="424"/>
      <c r="H741" s="424"/>
      <c r="I741" s="424"/>
      <c r="J741" s="424"/>
      <c r="K741" s="424"/>
      <c r="L741" s="424"/>
      <c r="M741" s="424"/>
      <c r="N741" s="424"/>
      <c r="O741" s="424"/>
      <c r="P741" s="424"/>
      <c r="Q741" s="435" t="n">
        <v>4</v>
      </c>
      <c r="R741" s="434" t="s">
        <v>413</v>
      </c>
      <c r="S741" s="434" t="s">
        <v>414</v>
      </c>
      <c r="T741" s="434" t="s">
        <v>415</v>
      </c>
      <c r="U741" s="434" t="s">
        <v>416</v>
      </c>
      <c r="V741" s="436" t="n">
        <f aca="false">AY741</f>
        <v>0</v>
      </c>
    </row>
    <row r="742" customFormat="false" ht="13.5" hidden="false" customHeight="false" outlineLevel="0" collapsed="false">
      <c r="A742" s="424"/>
      <c r="B742" s="424"/>
      <c r="C742" s="424"/>
      <c r="D742" s="424"/>
      <c r="E742" s="424"/>
      <c r="F742" s="424"/>
      <c r="G742" s="424"/>
      <c r="H742" s="424"/>
      <c r="I742" s="424"/>
      <c r="J742" s="424"/>
      <c r="K742" s="424"/>
      <c r="L742" s="424"/>
      <c r="M742" s="424"/>
      <c r="N742" s="424"/>
      <c r="O742" s="424"/>
      <c r="P742" s="438" t="s">
        <v>417</v>
      </c>
      <c r="Q742" s="435" t="n">
        <v>5</v>
      </c>
      <c r="R742" s="434" t="s">
        <v>418</v>
      </c>
      <c r="S742" s="434" t="s">
        <v>419</v>
      </c>
      <c r="T742" s="434" t="s">
        <v>420</v>
      </c>
      <c r="U742" s="434" t="s">
        <v>421</v>
      </c>
      <c r="V742" s="436" t="n">
        <f aca="false">AY742</f>
        <v>0</v>
      </c>
    </row>
    <row r="743" customFormat="false" ht="13.5" hidden="false" customHeight="false" outlineLevel="0" collapsed="false">
      <c r="A743" s="424"/>
      <c r="B743" s="424"/>
      <c r="C743" s="424"/>
      <c r="D743" s="424"/>
      <c r="E743" s="424"/>
      <c r="F743" s="424"/>
      <c r="G743" s="424"/>
      <c r="H743" s="424"/>
      <c r="I743" s="424"/>
      <c r="J743" s="424"/>
      <c r="K743" s="424"/>
      <c r="L743" s="424"/>
      <c r="M743" s="424"/>
      <c r="N743" s="424"/>
      <c r="O743" s="424"/>
      <c r="P743" s="438" t="s">
        <v>417</v>
      </c>
      <c r="Q743" s="435" t="n">
        <v>6</v>
      </c>
      <c r="R743" s="434" t="s">
        <v>422</v>
      </c>
      <c r="S743" s="434" t="s">
        <v>423</v>
      </c>
      <c r="T743" s="434" t="s">
        <v>424</v>
      </c>
      <c r="U743" s="434" t="s">
        <v>425</v>
      </c>
      <c r="V743" s="436" t="n">
        <f aca="false">AY743</f>
        <v>0</v>
      </c>
    </row>
    <row r="744" customFormat="false" ht="13.5" hidden="false" customHeight="false" outlineLevel="0" collapsed="false">
      <c r="A744" s="424"/>
      <c r="B744" s="424"/>
      <c r="C744" s="424"/>
      <c r="D744" s="424"/>
      <c r="E744" s="424"/>
      <c r="F744" s="424"/>
      <c r="G744" s="424"/>
      <c r="H744" s="424"/>
      <c r="I744" s="424"/>
      <c r="J744" s="424"/>
      <c r="K744" s="424"/>
      <c r="L744" s="424"/>
      <c r="M744" s="424"/>
      <c r="N744" s="424"/>
      <c r="O744" s="424"/>
      <c r="P744" s="438" t="s">
        <v>417</v>
      </c>
      <c r="Q744" s="435" t="n">
        <v>7</v>
      </c>
      <c r="R744" s="434" t="s">
        <v>426</v>
      </c>
      <c r="S744" s="434" t="s">
        <v>427</v>
      </c>
      <c r="T744" s="434" t="s">
        <v>428</v>
      </c>
      <c r="U744" s="434" t="s">
        <v>429</v>
      </c>
      <c r="V744" s="436" t="n">
        <f aca="false">AY744</f>
        <v>0</v>
      </c>
    </row>
    <row r="745" customFormat="false" ht="13.5" hidden="false" customHeight="false" outlineLevel="0" collapsed="false">
      <c r="A745" s="424"/>
      <c r="B745" s="424"/>
      <c r="C745" s="424"/>
      <c r="D745" s="424"/>
      <c r="E745" s="424"/>
      <c r="F745" s="424"/>
      <c r="G745" s="424"/>
      <c r="H745" s="424"/>
      <c r="I745" s="424"/>
      <c r="J745" s="424"/>
      <c r="K745" s="424"/>
      <c r="L745" s="424"/>
      <c r="M745" s="424"/>
      <c r="N745" s="424"/>
      <c r="O745" s="424"/>
      <c r="P745" s="438" t="s">
        <v>417</v>
      </c>
      <c r="Q745" s="435" t="n">
        <v>8</v>
      </c>
      <c r="R745" s="434" t="s">
        <v>430</v>
      </c>
      <c r="S745" s="434" t="s">
        <v>431</v>
      </c>
      <c r="T745" s="434" t="s">
        <v>432</v>
      </c>
      <c r="U745" s="434" t="s">
        <v>433</v>
      </c>
      <c r="V745" s="436" t="n">
        <f aca="false">AY745</f>
        <v>0</v>
      </c>
    </row>
    <row r="746" customFormat="false" ht="13.5" hidden="false" customHeight="false" outlineLevel="0" collapsed="false">
      <c r="A746" s="424"/>
      <c r="B746" s="424"/>
      <c r="C746" s="424"/>
      <c r="D746" s="424"/>
      <c r="E746" s="424"/>
      <c r="F746" s="424"/>
      <c r="G746" s="424"/>
      <c r="H746" s="424"/>
      <c r="I746" s="424"/>
      <c r="J746" s="424"/>
      <c r="K746" s="424"/>
      <c r="L746" s="424"/>
      <c r="M746" s="424"/>
      <c r="N746" s="424"/>
      <c r="O746" s="424"/>
      <c r="P746" s="438" t="s">
        <v>417</v>
      </c>
      <c r="Q746" s="435" t="n">
        <v>9</v>
      </c>
      <c r="R746" s="434" t="s">
        <v>434</v>
      </c>
      <c r="S746" s="434" t="s">
        <v>435</v>
      </c>
      <c r="T746" s="434" t="s">
        <v>436</v>
      </c>
      <c r="U746" s="434" t="s">
        <v>437</v>
      </c>
      <c r="V746" s="436" t="n">
        <f aca="false">AY746</f>
        <v>0</v>
      </c>
    </row>
    <row r="747" customFormat="false" ht="13.5" hidden="false" customHeight="false" outlineLevel="0" collapsed="false">
      <c r="A747" s="424"/>
      <c r="B747" s="424"/>
      <c r="C747" s="424"/>
      <c r="D747" s="424"/>
      <c r="E747" s="424"/>
      <c r="F747" s="424"/>
      <c r="G747" s="424"/>
      <c r="H747" s="424"/>
      <c r="I747" s="424"/>
      <c r="J747" s="424"/>
      <c r="K747" s="424"/>
      <c r="L747" s="424"/>
      <c r="M747" s="424"/>
      <c r="N747" s="424"/>
      <c r="O747" s="424"/>
      <c r="P747" s="438" t="s">
        <v>417</v>
      </c>
      <c r="Q747" s="435" t="n">
        <v>10</v>
      </c>
      <c r="R747" s="434" t="s">
        <v>438</v>
      </c>
      <c r="S747" s="424"/>
      <c r="T747" s="434" t="s">
        <v>439</v>
      </c>
      <c r="U747" s="434" t="s">
        <v>440</v>
      </c>
      <c r="V747" s="436" t="n">
        <f aca="false">AY747</f>
        <v>0</v>
      </c>
    </row>
    <row r="748" customFormat="false" ht="13.5" hidden="false" customHeight="false" outlineLevel="0" collapsed="false">
      <c r="A748" s="424"/>
      <c r="B748" s="424"/>
      <c r="C748" s="424"/>
      <c r="D748" s="424"/>
      <c r="E748" s="424"/>
      <c r="F748" s="435" t="n">
        <f aca="false">TRUNC(+A750/1000000)</f>
        <v>0</v>
      </c>
      <c r="G748" s="424"/>
      <c r="H748" s="424"/>
      <c r="I748" s="424"/>
      <c r="J748" s="424"/>
      <c r="K748" s="424"/>
      <c r="L748" s="424"/>
      <c r="M748" s="424"/>
      <c r="N748" s="424"/>
      <c r="O748" s="424"/>
      <c r="P748" s="438" t="s">
        <v>417</v>
      </c>
      <c r="Q748" s="435" t="n">
        <v>11</v>
      </c>
      <c r="R748" s="434" t="s">
        <v>441</v>
      </c>
      <c r="S748" s="424"/>
      <c r="T748" s="434" t="s">
        <v>442</v>
      </c>
      <c r="U748" s="434" t="s">
        <v>443</v>
      </c>
      <c r="V748" s="436" t="n">
        <f aca="false">AY748</f>
        <v>0</v>
      </c>
    </row>
    <row r="749" customFormat="false" ht="13.5" hidden="false" customHeight="false" outlineLevel="0" collapsed="false">
      <c r="A749" s="424"/>
      <c r="B749" s="424"/>
      <c r="C749" s="424"/>
      <c r="D749" s="424"/>
      <c r="E749" s="424"/>
      <c r="F749" s="435" t="e">
        <f aca="false">(+B753*100000+C753*1000+E753*100)</f>
        <v>#VALUE!</v>
      </c>
      <c r="G749" s="424"/>
      <c r="H749" s="424"/>
      <c r="I749" s="424"/>
      <c r="J749" s="424"/>
      <c r="K749" s="424"/>
      <c r="L749" s="434" t="s">
        <v>444</v>
      </c>
      <c r="M749" s="424"/>
      <c r="N749" s="424"/>
      <c r="O749" s="424"/>
      <c r="P749" s="438" t="s">
        <v>417</v>
      </c>
      <c r="Q749" s="435" t="n">
        <v>12</v>
      </c>
      <c r="R749" s="434" t="s">
        <v>445</v>
      </c>
      <c r="S749" s="424"/>
      <c r="T749" s="434" t="s">
        <v>446</v>
      </c>
      <c r="U749" s="434" t="s">
        <v>447</v>
      </c>
      <c r="V749" s="436" t="n">
        <f aca="false">AY749</f>
        <v>0</v>
      </c>
    </row>
    <row r="750" customFormat="false" ht="13.5" hidden="false" customHeight="false" outlineLevel="0" collapsed="false">
      <c r="A750" s="436" t="n">
        <f aca="false">TRUNC(+A751)</f>
        <v>12</v>
      </c>
      <c r="B750" s="424"/>
      <c r="C750" s="424"/>
      <c r="D750" s="424"/>
      <c r="E750" s="440" t="n">
        <f aca="false">TRUNC(+A750/100000000)</f>
        <v>0</v>
      </c>
      <c r="F750" s="424"/>
      <c r="G750" s="424"/>
      <c r="H750" s="424"/>
      <c r="I750" s="424"/>
      <c r="J750" s="424"/>
      <c r="K750" s="424"/>
      <c r="L750" s="424"/>
      <c r="M750" s="424"/>
      <c r="N750" s="424"/>
      <c r="O750" s="424"/>
      <c r="P750" s="438" t="s">
        <v>417</v>
      </c>
      <c r="Q750" s="435" t="n">
        <v>13</v>
      </c>
      <c r="R750" s="434" t="s">
        <v>448</v>
      </c>
      <c r="S750" s="424"/>
      <c r="T750" s="434" t="s">
        <v>449</v>
      </c>
      <c r="U750" s="434" t="s">
        <v>450</v>
      </c>
      <c r="V750" s="436" t="n">
        <f aca="false">AY750</f>
        <v>0</v>
      </c>
    </row>
    <row r="751" customFormat="false" ht="13.5" hidden="false" customHeight="false" outlineLevel="0" collapsed="false">
      <c r="A751" s="441" t="n">
        <v>12</v>
      </c>
      <c r="B751" s="434" t="s">
        <v>451</v>
      </c>
      <c r="C751" s="434" t="s">
        <v>452</v>
      </c>
      <c r="D751" s="424"/>
      <c r="E751" s="434" t="s">
        <v>452</v>
      </c>
      <c r="F751" s="424"/>
      <c r="G751" s="424"/>
      <c r="H751" s="424"/>
      <c r="I751" s="440" t="n">
        <f aca="false">TRUNC((+A750-(+F748*1000000))/1000)</f>
        <v>0</v>
      </c>
      <c r="J751" s="424"/>
      <c r="K751" s="440" t="n">
        <f aca="false">(TRUNC((+A750-(+F748*1000000))/1))-I751*1000</f>
        <v>12</v>
      </c>
      <c r="L751" s="424"/>
      <c r="M751" s="424"/>
      <c r="N751" s="424"/>
      <c r="O751" s="424"/>
      <c r="P751" s="438" t="s">
        <v>417</v>
      </c>
      <c r="Q751" s="435" t="n">
        <v>14</v>
      </c>
      <c r="R751" s="434" t="s">
        <v>453</v>
      </c>
      <c r="S751" s="424"/>
      <c r="T751" s="434" t="s">
        <v>454</v>
      </c>
      <c r="U751" s="434" t="s">
        <v>455</v>
      </c>
      <c r="V751" s="436" t="n">
        <f aca="false">AY751</f>
        <v>0</v>
      </c>
    </row>
    <row r="752" customFormat="false" ht="13.5" hidden="false" customHeight="false" outlineLevel="0" collapsed="false">
      <c r="A752" s="424"/>
      <c r="B752" s="442" t="s">
        <v>712</v>
      </c>
      <c r="C752" s="442" t="s">
        <v>712</v>
      </c>
      <c r="D752" s="424"/>
      <c r="E752" s="442" t="s">
        <v>712</v>
      </c>
      <c r="F752" s="424"/>
      <c r="G752" s="424"/>
      <c r="H752" s="424"/>
      <c r="I752" s="424"/>
      <c r="J752" s="424"/>
      <c r="K752" s="424"/>
      <c r="L752" s="424"/>
      <c r="M752" s="424"/>
      <c r="N752" s="440" t="n">
        <f aca="false">ROUND(((+A751-A750)*100),1)</f>
        <v>0</v>
      </c>
      <c r="O752" s="424"/>
      <c r="P752" s="438" t="s">
        <v>417</v>
      </c>
      <c r="Q752" s="435" t="n">
        <v>15</v>
      </c>
      <c r="R752" s="434" t="s">
        <v>457</v>
      </c>
      <c r="S752" s="424"/>
      <c r="T752" s="434" t="s">
        <v>458</v>
      </c>
      <c r="U752" s="434" t="s">
        <v>459</v>
      </c>
      <c r="V752" s="436" t="n">
        <f aca="false">AY752</f>
        <v>0</v>
      </c>
    </row>
    <row r="753" customFormat="false" ht="13.5" hidden="false" customHeight="false" outlineLevel="0" collapsed="false">
      <c r="A753" s="424"/>
      <c r="B753" s="440" t="n">
        <f aca="false">TRUNC(+A751/100000000000)</f>
        <v>0</v>
      </c>
      <c r="C753" s="440" t="n">
        <f aca="false">(TRUNC(+A750/1000000000))-B753*100</f>
        <v>0</v>
      </c>
      <c r="D753" s="424"/>
      <c r="E753" s="435" t="str">
        <f aca="false">IF(E750&gt;0,TRUNC(+E750-B753*1000-C753*10),"")</f>
        <v/>
      </c>
      <c r="F753" s="435" t="e">
        <f aca="false">F748-F749</f>
        <v>#VALUE!</v>
      </c>
      <c r="G753" s="435" t="e">
        <f aca="false">G755</f>
        <v>#VALUE!</v>
      </c>
      <c r="H753" s="440" t="n">
        <f aca="false">TRUNC((+A750-(+F748*1000000))/100000)</f>
        <v>0</v>
      </c>
      <c r="I753" s="440" t="n">
        <f aca="false">I751-H753*100</f>
        <v>0</v>
      </c>
      <c r="J753" s="424"/>
      <c r="K753" s="440" t="n">
        <f aca="false">TRUNC(+K751/100)</f>
        <v>0</v>
      </c>
      <c r="L753" s="440" t="n">
        <f aca="false">K751-K753*100</f>
        <v>12</v>
      </c>
      <c r="M753" s="440" t="str">
        <f aca="false">IF(N753&gt;0," &amp; Sen ","")</f>
        <v/>
      </c>
      <c r="N753" s="435" t="n">
        <f aca="false">N752</f>
        <v>0</v>
      </c>
      <c r="O753" s="424"/>
      <c r="P753" s="438" t="s">
        <v>417</v>
      </c>
      <c r="Q753" s="435" t="n">
        <v>16</v>
      </c>
      <c r="R753" s="434" t="s">
        <v>460</v>
      </c>
      <c r="S753" s="424"/>
      <c r="T753" s="434" t="s">
        <v>461</v>
      </c>
      <c r="U753" s="434" t="s">
        <v>462</v>
      </c>
      <c r="V753" s="436" t="n">
        <f aca="false">AY753</f>
        <v>0</v>
      </c>
    </row>
    <row r="754" customFormat="false" ht="13.5" hidden="false" customHeight="false" outlineLevel="0" collapsed="false">
      <c r="A754" s="424"/>
      <c r="B754" s="424"/>
      <c r="C754" s="424"/>
      <c r="D754" s="424"/>
      <c r="E754" s="424"/>
      <c r="F754" s="424"/>
      <c r="G754" s="424"/>
      <c r="H754" s="424"/>
      <c r="I754" s="424"/>
      <c r="J754" s="424"/>
      <c r="K754" s="424"/>
      <c r="L754" s="424"/>
      <c r="M754" s="424"/>
      <c r="N754" s="424"/>
      <c r="O754" s="424"/>
      <c r="P754" s="438" t="s">
        <v>417</v>
      </c>
      <c r="Q754" s="435" t="n">
        <v>17</v>
      </c>
      <c r="R754" s="434" t="s">
        <v>463</v>
      </c>
      <c r="S754" s="424"/>
      <c r="T754" s="434" t="s">
        <v>464</v>
      </c>
      <c r="U754" s="434" t="s">
        <v>465</v>
      </c>
      <c r="V754" s="436" t="n">
        <f aca="false">AY754</f>
        <v>0</v>
      </c>
    </row>
    <row r="755" customFormat="false" ht="13.5" hidden="false" customHeight="false" outlineLevel="0" collapsed="false">
      <c r="A755" s="440" t="n">
        <f aca="false">B753*100000000000</f>
        <v>0</v>
      </c>
      <c r="B755" s="440" t="str">
        <f aca="false">IF(B753&gt;0,VLOOKUP(B753,$Q$7:$T$15,3),"")</f>
        <v/>
      </c>
      <c r="C755" s="440" t="str">
        <f aca="false">IF(C753&gt;0,VLOOKUP(C753,Q738:R836,2),"")</f>
        <v/>
      </c>
      <c r="D755" s="440" t="str">
        <f aca="false">IF(B750+C753&gt;0," Milyar ","")</f>
        <v/>
      </c>
      <c r="E755" s="440" t="e">
        <f aca="false">IF(E753&gt;0,VLOOKUP(E753,$Q$7:$T$15,3),"")</f>
        <v>#N/A</v>
      </c>
      <c r="F755" s="440" t="e">
        <f aca="false">IF(F753&gt;0,VLOOKUP(F753,Q738:R836,2),"")</f>
        <v>#VALUE!</v>
      </c>
      <c r="G755" s="435" t="e">
        <f aca="false">IF(F753+E753&gt;0," Juta","")</f>
        <v>#VALUE!</v>
      </c>
      <c r="H755" s="440" t="str">
        <f aca="false">IF(H753&gt;0,VLOOKUP(H753,$Q$7:$T$15,3),"")</f>
        <v/>
      </c>
      <c r="I755" s="440" t="str">
        <f aca="false">IF(I753=1," Se",IF(I753=0,"",VLOOKUP(I753,Q738:R836,2)))</f>
        <v/>
      </c>
      <c r="J755" s="435" t="str">
        <f aca="false">IF(I753+H753&gt;0," ribu","")</f>
        <v/>
      </c>
      <c r="K755" s="440" t="str">
        <f aca="false">IF(K753&gt;0,VLOOKUP(K753,Q738:S746,3),"")</f>
        <v/>
      </c>
      <c r="L755" s="440" t="str">
        <f aca="false">IF(L753&gt;0,VLOOKUP(L753,Q738:R836,2),"")</f>
        <v> Dua belas</v>
      </c>
      <c r="M755" s="440" t="str">
        <f aca="false">IF(N753&gt;0,VLOOKUP(N752,Q737:U836,5)," Rupiah ")</f>
        <v> Rupiah </v>
      </c>
      <c r="N755" s="424"/>
      <c r="O755" s="435" t="str">
        <f aca="false">IF(N753&gt;0," ====","")</f>
        <v/>
      </c>
      <c r="P755" s="435" t="str">
        <f aca="false">IF(N753&gt;0,"-","====")</f>
        <v>====</v>
      </c>
      <c r="Q755" s="435" t="n">
        <v>18</v>
      </c>
      <c r="R755" s="434" t="s">
        <v>466</v>
      </c>
      <c r="S755" s="424"/>
      <c r="T755" s="434" t="s">
        <v>467</v>
      </c>
      <c r="U755" s="434" t="s">
        <v>468</v>
      </c>
      <c r="V755" s="436" t="n">
        <f aca="false">AY755</f>
        <v>0</v>
      </c>
    </row>
    <row r="756" customFormat="false" ht="13.5" hidden="false" customHeight="false" outlineLevel="0" collapsed="false">
      <c r="A756" s="440"/>
      <c r="B756" s="435" t="str">
        <f aca="false">B755</f>
        <v/>
      </c>
      <c r="C756" s="424"/>
      <c r="D756" s="424"/>
      <c r="E756" s="424"/>
      <c r="F756" s="424"/>
      <c r="G756" s="424"/>
      <c r="H756" s="424"/>
      <c r="I756" s="424"/>
      <c r="J756" s="424"/>
      <c r="K756" s="424"/>
      <c r="L756" s="424"/>
      <c r="M756" s="424"/>
      <c r="N756" s="424"/>
      <c r="O756" s="424"/>
      <c r="P756" s="438" t="s">
        <v>417</v>
      </c>
      <c r="Q756" s="435" t="n">
        <v>19</v>
      </c>
      <c r="R756" s="434" t="s">
        <v>469</v>
      </c>
      <c r="S756" s="424"/>
      <c r="T756" s="434" t="s">
        <v>470</v>
      </c>
      <c r="U756" s="434" t="s">
        <v>471</v>
      </c>
      <c r="V756" s="436" t="n">
        <f aca="false">AY761</f>
        <v>0</v>
      </c>
    </row>
    <row r="757" customFormat="false" ht="13.5" hidden="false" customHeight="false" outlineLevel="0" collapsed="false">
      <c r="A757" s="440"/>
      <c r="B757" s="435" t="str">
        <f aca="false">C755</f>
        <v/>
      </c>
      <c r="C757" s="424"/>
      <c r="D757" s="424"/>
      <c r="E757" s="424"/>
      <c r="F757" s="424"/>
      <c r="G757" s="424"/>
      <c r="H757" s="424"/>
      <c r="I757" s="424"/>
      <c r="J757" s="424"/>
      <c r="K757" s="424"/>
      <c r="L757" s="424"/>
      <c r="M757" s="424"/>
      <c r="N757" s="424"/>
      <c r="O757" s="424"/>
      <c r="P757" s="438" t="s">
        <v>417</v>
      </c>
      <c r="Q757" s="435" t="n">
        <v>20</v>
      </c>
      <c r="R757" s="434" t="s">
        <v>472</v>
      </c>
      <c r="S757" s="424"/>
      <c r="T757" s="434" t="s">
        <v>473</v>
      </c>
      <c r="U757" s="434" t="s">
        <v>474</v>
      </c>
      <c r="V757" s="436" t="n">
        <f aca="false">AY762</f>
        <v>0</v>
      </c>
    </row>
    <row r="758" customFormat="false" ht="13.5" hidden="false" customHeight="false" outlineLevel="0" collapsed="false">
      <c r="A758" s="440"/>
      <c r="B758" s="435" t="str">
        <f aca="false">D755</f>
        <v/>
      </c>
      <c r="C758" s="424"/>
      <c r="D758" s="424"/>
      <c r="E758" s="424"/>
      <c r="F758" s="424"/>
      <c r="G758" s="424"/>
      <c r="H758" s="424"/>
      <c r="I758" s="424"/>
      <c r="J758" s="424"/>
      <c r="K758" s="424"/>
      <c r="L758" s="424"/>
      <c r="M758" s="424"/>
      <c r="N758" s="424"/>
      <c r="O758" s="424"/>
      <c r="P758" s="438" t="s">
        <v>417</v>
      </c>
      <c r="Q758" s="435" t="n">
        <v>21</v>
      </c>
      <c r="R758" s="434" t="s">
        <v>475</v>
      </c>
      <c r="S758" s="424"/>
      <c r="T758" s="434" t="s">
        <v>476</v>
      </c>
      <c r="U758" s="434" t="s">
        <v>477</v>
      </c>
      <c r="V758" s="436" t="n">
        <f aca="false">AY763</f>
        <v>0</v>
      </c>
    </row>
    <row r="759" customFormat="false" ht="13.5" hidden="false" customHeight="false" outlineLevel="0" collapsed="false">
      <c r="A759" s="440"/>
      <c r="B759" s="435" t="e">
        <f aca="false">E755</f>
        <v>#N/A</v>
      </c>
      <c r="C759" s="424"/>
      <c r="D759" s="424"/>
      <c r="E759" s="424"/>
      <c r="F759" s="424"/>
      <c r="G759" s="424"/>
      <c r="H759" s="424"/>
      <c r="I759" s="424"/>
      <c r="J759" s="424"/>
      <c r="K759" s="424"/>
      <c r="L759" s="424"/>
      <c r="M759" s="424"/>
      <c r="N759" s="424"/>
      <c r="O759" s="424"/>
      <c r="P759" s="424"/>
      <c r="Q759" s="435" t="n">
        <v>22</v>
      </c>
      <c r="R759" s="434" t="s">
        <v>478</v>
      </c>
      <c r="S759" s="424"/>
      <c r="T759" s="434" t="s">
        <v>479</v>
      </c>
      <c r="U759" s="434" t="s">
        <v>480</v>
      </c>
      <c r="V759" s="436" t="n">
        <f aca="false">AY764</f>
        <v>0</v>
      </c>
    </row>
    <row r="760" customFormat="false" ht="13.5" hidden="false" customHeight="false" outlineLevel="0" collapsed="false">
      <c r="A760" s="440"/>
      <c r="B760" s="435" t="e">
        <f aca="false">F755</f>
        <v>#VALUE!</v>
      </c>
      <c r="C760" s="424"/>
      <c r="D760" s="424"/>
      <c r="E760" s="424"/>
      <c r="F760" s="424"/>
      <c r="G760" s="424"/>
      <c r="H760" s="424"/>
      <c r="I760" s="424"/>
      <c r="J760" s="424"/>
      <c r="K760" s="424"/>
      <c r="L760" s="424"/>
      <c r="M760" s="424"/>
      <c r="N760" s="424"/>
      <c r="O760" s="424"/>
      <c r="P760" s="438" t="s">
        <v>417</v>
      </c>
      <c r="Q760" s="435" t="n">
        <v>23</v>
      </c>
      <c r="R760" s="434" t="s">
        <v>481</v>
      </c>
      <c r="S760" s="424"/>
      <c r="T760" s="434" t="s">
        <v>482</v>
      </c>
      <c r="U760" s="434" t="s">
        <v>483</v>
      </c>
      <c r="V760" s="436" t="n">
        <f aca="false">AY765</f>
        <v>0</v>
      </c>
    </row>
    <row r="761" customFormat="false" ht="13.5" hidden="false" customHeight="false" outlineLevel="0" collapsed="false">
      <c r="A761" s="424"/>
      <c r="B761" s="424"/>
      <c r="C761" s="424"/>
      <c r="D761" s="424"/>
      <c r="E761" s="424"/>
      <c r="F761" s="424"/>
      <c r="G761" s="424"/>
      <c r="H761" s="424"/>
      <c r="I761" s="424"/>
      <c r="J761" s="424"/>
      <c r="K761" s="424"/>
      <c r="L761" s="424"/>
      <c r="M761" s="424"/>
      <c r="N761" s="424"/>
      <c r="O761" s="424"/>
      <c r="P761" s="438" t="s">
        <v>417</v>
      </c>
      <c r="Q761" s="435" t="n">
        <v>24</v>
      </c>
      <c r="R761" s="434" t="s">
        <v>484</v>
      </c>
      <c r="S761" s="424"/>
      <c r="T761" s="434" t="s">
        <v>485</v>
      </c>
      <c r="U761" s="434" t="s">
        <v>486</v>
      </c>
      <c r="V761" s="436" t="n">
        <f aca="false">AY766</f>
        <v>0</v>
      </c>
    </row>
    <row r="762" customFormat="false" ht="13.5" hidden="false" customHeight="false" outlineLevel="0" collapsed="false">
      <c r="A762" s="424"/>
      <c r="B762" s="424"/>
      <c r="C762" s="424"/>
      <c r="D762" s="424"/>
      <c r="E762" s="424"/>
      <c r="F762" s="424"/>
      <c r="G762" s="424"/>
      <c r="H762" s="424"/>
      <c r="I762" s="424"/>
      <c r="J762" s="424"/>
      <c r="K762" s="424"/>
      <c r="L762" s="424"/>
      <c r="M762" s="424"/>
      <c r="N762" s="424"/>
      <c r="O762" s="424"/>
      <c r="P762" s="438" t="s">
        <v>417</v>
      </c>
      <c r="Q762" s="435" t="n">
        <v>25</v>
      </c>
      <c r="R762" s="434" t="s">
        <v>487</v>
      </c>
      <c r="S762" s="424"/>
      <c r="T762" s="434" t="s">
        <v>488</v>
      </c>
      <c r="U762" s="434" t="s">
        <v>489</v>
      </c>
      <c r="V762" s="436" t="n">
        <f aca="false">AY767</f>
        <v>0</v>
      </c>
    </row>
    <row r="763" customFormat="false" ht="13.5" hidden="false" customHeight="false" outlineLevel="0" collapsed="false">
      <c r="A763" s="424"/>
      <c r="B763" s="424"/>
      <c r="C763" s="424"/>
      <c r="D763" s="424"/>
      <c r="E763" s="424"/>
      <c r="F763" s="424"/>
      <c r="G763" s="424"/>
      <c r="H763" s="424"/>
      <c r="I763" s="424"/>
      <c r="J763" s="424"/>
      <c r="K763" s="424"/>
      <c r="L763" s="424"/>
      <c r="M763" s="424"/>
      <c r="N763" s="424"/>
      <c r="O763" s="424"/>
      <c r="P763" s="438" t="s">
        <v>417</v>
      </c>
      <c r="Q763" s="435" t="n">
        <v>26</v>
      </c>
      <c r="R763" s="434" t="s">
        <v>490</v>
      </c>
      <c r="S763" s="424"/>
      <c r="T763" s="434" t="s">
        <v>491</v>
      </c>
      <c r="U763" s="434" t="s">
        <v>492</v>
      </c>
      <c r="V763" s="436" t="n">
        <f aca="false">AY768</f>
        <v>0</v>
      </c>
    </row>
    <row r="764" customFormat="false" ht="13.5" hidden="false" customHeight="false" outlineLevel="0" collapsed="false">
      <c r="A764" s="424"/>
      <c r="B764" s="424"/>
      <c r="C764" s="424"/>
      <c r="D764" s="424"/>
      <c r="E764" s="424"/>
      <c r="F764" s="424"/>
      <c r="G764" s="424"/>
      <c r="H764" s="424"/>
      <c r="I764" s="424"/>
      <c r="J764" s="424"/>
      <c r="K764" s="424"/>
      <c r="L764" s="424"/>
      <c r="M764" s="424"/>
      <c r="N764" s="424"/>
      <c r="O764" s="424"/>
      <c r="P764" s="424"/>
      <c r="Q764" s="435" t="n">
        <v>27</v>
      </c>
      <c r="R764" s="434" t="s">
        <v>493</v>
      </c>
      <c r="S764" s="424"/>
      <c r="T764" s="434" t="s">
        <v>494</v>
      </c>
      <c r="U764" s="434" t="s">
        <v>495</v>
      </c>
      <c r="V764" s="436" t="n">
        <f aca="false">AY769</f>
        <v>0</v>
      </c>
    </row>
    <row r="765" customFormat="false" ht="13.5" hidden="false" customHeight="false" outlineLevel="0" collapsed="false">
      <c r="A765" s="424"/>
      <c r="B765" s="424"/>
      <c r="C765" s="424"/>
      <c r="D765" s="424"/>
      <c r="E765" s="424"/>
      <c r="F765" s="424"/>
      <c r="G765" s="424"/>
      <c r="H765" s="424"/>
      <c r="I765" s="424"/>
      <c r="J765" s="424"/>
      <c r="K765" s="424"/>
      <c r="L765" s="424"/>
      <c r="M765" s="424"/>
      <c r="N765" s="424"/>
      <c r="O765" s="424"/>
      <c r="P765" s="424"/>
      <c r="Q765" s="435" t="n">
        <v>28</v>
      </c>
      <c r="R765" s="434" t="s">
        <v>496</v>
      </c>
      <c r="S765" s="424"/>
      <c r="T765" s="434" t="s">
        <v>497</v>
      </c>
      <c r="U765" s="434" t="s">
        <v>498</v>
      </c>
      <c r="V765" s="436" t="n">
        <f aca="false">AY770</f>
        <v>0</v>
      </c>
    </row>
    <row r="766" customFormat="false" ht="13.5" hidden="false" customHeight="false" outlineLevel="0" collapsed="false">
      <c r="A766" s="424"/>
      <c r="B766" s="424"/>
      <c r="C766" s="424"/>
      <c r="D766" s="424"/>
      <c r="E766" s="424"/>
      <c r="F766" s="424"/>
      <c r="G766" s="424"/>
      <c r="H766" s="424"/>
      <c r="I766" s="424"/>
      <c r="J766" s="424"/>
      <c r="K766" s="424"/>
      <c r="L766" s="424"/>
      <c r="M766" s="424"/>
      <c r="N766" s="424"/>
      <c r="O766" s="424"/>
      <c r="P766" s="424"/>
      <c r="Q766" s="435" t="n">
        <v>29</v>
      </c>
      <c r="R766" s="434" t="s">
        <v>499</v>
      </c>
      <c r="S766" s="424"/>
      <c r="T766" s="434" t="s">
        <v>500</v>
      </c>
      <c r="U766" s="434" t="s">
        <v>501</v>
      </c>
      <c r="V766" s="436" t="n">
        <f aca="false">AY771</f>
        <v>0</v>
      </c>
    </row>
    <row r="767" customFormat="false" ht="13.5" hidden="false" customHeight="false" outlineLevel="0" collapsed="false">
      <c r="A767" s="424"/>
      <c r="B767" s="424"/>
      <c r="C767" s="424"/>
      <c r="D767" s="424"/>
      <c r="E767" s="424"/>
      <c r="F767" s="424"/>
      <c r="G767" s="424"/>
      <c r="H767" s="424"/>
      <c r="I767" s="424"/>
      <c r="J767" s="424"/>
      <c r="K767" s="424"/>
      <c r="L767" s="424"/>
      <c r="M767" s="424"/>
      <c r="N767" s="424"/>
      <c r="O767" s="424"/>
      <c r="P767" s="424"/>
      <c r="Q767" s="435" t="n">
        <v>30</v>
      </c>
      <c r="R767" s="434" t="s">
        <v>502</v>
      </c>
      <c r="S767" s="424"/>
      <c r="T767" s="434" t="s">
        <v>503</v>
      </c>
      <c r="U767" s="434" t="s">
        <v>504</v>
      </c>
      <c r="V767" s="436" t="n">
        <f aca="false">AY772</f>
        <v>0</v>
      </c>
    </row>
    <row r="768" customFormat="false" ht="13.5" hidden="false" customHeight="false" outlineLevel="0" collapsed="false">
      <c r="A768" s="424"/>
      <c r="B768" s="424"/>
      <c r="C768" s="424"/>
      <c r="D768" s="424"/>
      <c r="E768" s="424"/>
      <c r="F768" s="424"/>
      <c r="G768" s="424"/>
      <c r="H768" s="424"/>
      <c r="I768" s="424"/>
      <c r="J768" s="424"/>
      <c r="K768" s="424"/>
      <c r="L768" s="424"/>
      <c r="M768" s="424"/>
      <c r="N768" s="424"/>
      <c r="O768" s="424"/>
      <c r="P768" s="424"/>
      <c r="Q768" s="435" t="n">
        <v>31</v>
      </c>
      <c r="R768" s="434" t="s">
        <v>505</v>
      </c>
      <c r="S768" s="424"/>
      <c r="T768" s="434" t="s">
        <v>506</v>
      </c>
      <c r="U768" s="434" t="s">
        <v>507</v>
      </c>
      <c r="V768" s="436" t="n">
        <f aca="false">AY773</f>
        <v>0</v>
      </c>
    </row>
    <row r="769" customFormat="false" ht="13.5" hidden="false" customHeight="false" outlineLevel="0" collapsed="false">
      <c r="A769" s="424"/>
      <c r="B769" s="424"/>
      <c r="C769" s="424"/>
      <c r="D769" s="424"/>
      <c r="E769" s="424"/>
      <c r="F769" s="424"/>
      <c r="G769" s="424"/>
      <c r="H769" s="424"/>
      <c r="I769" s="424"/>
      <c r="J769" s="424"/>
      <c r="K769" s="424"/>
      <c r="L769" s="424"/>
      <c r="M769" s="424"/>
      <c r="N769" s="424"/>
      <c r="O769" s="424"/>
      <c r="P769" s="424"/>
      <c r="Q769" s="435" t="n">
        <v>32</v>
      </c>
      <c r="R769" s="434" t="s">
        <v>508</v>
      </c>
      <c r="S769" s="424"/>
      <c r="T769" s="434" t="s">
        <v>509</v>
      </c>
      <c r="U769" s="434" t="s">
        <v>510</v>
      </c>
      <c r="V769" s="436" t="n">
        <f aca="false">AY774</f>
        <v>0</v>
      </c>
    </row>
    <row r="770" customFormat="false" ht="13.5" hidden="false" customHeight="false" outlineLevel="0" collapsed="false">
      <c r="A770" s="440"/>
      <c r="B770" s="435" t="e">
        <f aca="false">G755</f>
        <v>#VALUE!</v>
      </c>
      <c r="C770" s="424"/>
      <c r="D770" s="424"/>
      <c r="E770" s="424"/>
      <c r="F770" s="424"/>
      <c r="G770" s="424"/>
      <c r="H770" s="424"/>
      <c r="I770" s="424"/>
      <c r="J770" s="424"/>
      <c r="K770" s="424"/>
      <c r="L770" s="424"/>
      <c r="M770" s="424"/>
      <c r="N770" s="424"/>
      <c r="O770" s="424"/>
      <c r="P770" s="424"/>
      <c r="Q770" s="435" t="n">
        <v>33</v>
      </c>
      <c r="R770" s="434" t="s">
        <v>511</v>
      </c>
      <c r="S770" s="424"/>
      <c r="T770" s="434" t="s">
        <v>512</v>
      </c>
      <c r="U770" s="434" t="s">
        <v>513</v>
      </c>
      <c r="V770" s="436" t="n">
        <f aca="false">AY775</f>
        <v>0</v>
      </c>
    </row>
    <row r="771" customFormat="false" ht="13.5" hidden="false" customHeight="false" outlineLevel="0" collapsed="false">
      <c r="A771" s="440"/>
      <c r="B771" s="435" t="str">
        <f aca="false">H755</f>
        <v/>
      </c>
      <c r="C771" s="424"/>
      <c r="D771" s="424"/>
      <c r="E771" s="424"/>
      <c r="F771" s="424"/>
      <c r="G771" s="424"/>
      <c r="H771" s="424"/>
      <c r="I771" s="424"/>
      <c r="J771" s="424"/>
      <c r="K771" s="424"/>
      <c r="L771" s="424"/>
      <c r="M771" s="424"/>
      <c r="N771" s="424"/>
      <c r="O771" s="424"/>
      <c r="P771" s="424"/>
      <c r="Q771" s="435" t="n">
        <v>34</v>
      </c>
      <c r="R771" s="434" t="s">
        <v>514</v>
      </c>
      <c r="S771" s="424"/>
      <c r="T771" s="434" t="s">
        <v>515</v>
      </c>
      <c r="U771" s="434" t="s">
        <v>516</v>
      </c>
      <c r="V771" s="436" t="n">
        <f aca="false">AY776</f>
        <v>0</v>
      </c>
    </row>
    <row r="772" customFormat="false" ht="13.5" hidden="false" customHeight="false" outlineLevel="0" collapsed="false">
      <c r="A772" s="440"/>
      <c r="B772" s="435" t="str">
        <f aca="false">I755</f>
        <v/>
      </c>
      <c r="C772" s="424"/>
      <c r="D772" s="424"/>
      <c r="E772" s="424"/>
      <c r="F772" s="424"/>
      <c r="G772" s="424"/>
      <c r="H772" s="424"/>
      <c r="I772" s="424"/>
      <c r="J772" s="424"/>
      <c r="K772" s="424"/>
      <c r="L772" s="424"/>
      <c r="M772" s="424"/>
      <c r="N772" s="424"/>
      <c r="O772" s="424"/>
      <c r="P772" s="424"/>
      <c r="Q772" s="435" t="n">
        <v>35</v>
      </c>
      <c r="R772" s="434" t="s">
        <v>517</v>
      </c>
      <c r="S772" s="424"/>
      <c r="T772" s="434" t="s">
        <v>518</v>
      </c>
      <c r="U772" s="434" t="s">
        <v>519</v>
      </c>
      <c r="V772" s="436" t="n">
        <f aca="false">AY777</f>
        <v>0</v>
      </c>
    </row>
    <row r="773" customFormat="false" ht="13.5" hidden="false" customHeight="false" outlineLevel="0" collapsed="false">
      <c r="A773" s="440"/>
      <c r="B773" s="435" t="str">
        <f aca="false">J755</f>
        <v/>
      </c>
      <c r="C773" s="424"/>
      <c r="D773" s="424"/>
      <c r="E773" s="424"/>
      <c r="F773" s="424"/>
      <c r="G773" s="424"/>
      <c r="H773" s="424"/>
      <c r="I773" s="424"/>
      <c r="J773" s="424"/>
      <c r="K773" s="424"/>
      <c r="L773" s="424"/>
      <c r="M773" s="424"/>
      <c r="N773" s="424"/>
      <c r="O773" s="424"/>
      <c r="P773" s="424"/>
      <c r="Q773" s="435" t="n">
        <v>36</v>
      </c>
      <c r="R773" s="434" t="s">
        <v>520</v>
      </c>
      <c r="S773" s="424"/>
      <c r="T773" s="434" t="s">
        <v>521</v>
      </c>
      <c r="U773" s="434" t="s">
        <v>522</v>
      </c>
      <c r="V773" s="436" t="n">
        <f aca="false">AY778</f>
        <v>0</v>
      </c>
    </row>
    <row r="774" customFormat="false" ht="13.5" hidden="false" customHeight="false" outlineLevel="0" collapsed="false">
      <c r="A774" s="440"/>
      <c r="B774" s="440" t="str">
        <f aca="false">K755</f>
        <v/>
      </c>
      <c r="C774" s="424"/>
      <c r="D774" s="424"/>
      <c r="E774" s="424"/>
      <c r="F774" s="424"/>
      <c r="G774" s="424"/>
      <c r="H774" s="424"/>
      <c r="I774" s="424"/>
      <c r="J774" s="424"/>
      <c r="K774" s="424"/>
      <c r="L774" s="424"/>
      <c r="M774" s="424"/>
      <c r="N774" s="424"/>
      <c r="O774" s="424"/>
      <c r="P774" s="424"/>
      <c r="Q774" s="435" t="n">
        <v>37</v>
      </c>
      <c r="R774" s="434" t="s">
        <v>523</v>
      </c>
      <c r="S774" s="424"/>
      <c r="T774" s="434" t="s">
        <v>524</v>
      </c>
      <c r="U774" s="434" t="s">
        <v>525</v>
      </c>
      <c r="V774" s="436" t="n">
        <f aca="false">AY779</f>
        <v>0</v>
      </c>
    </row>
    <row r="775" customFormat="false" ht="13.5" hidden="false" customHeight="false" outlineLevel="0" collapsed="false">
      <c r="A775" s="440"/>
      <c r="B775" s="435" t="str">
        <f aca="false">L755</f>
        <v> Dua belas</v>
      </c>
      <c r="C775" s="424"/>
      <c r="D775" s="424"/>
      <c r="E775" s="424"/>
      <c r="F775" s="424"/>
      <c r="G775" s="424"/>
      <c r="H775" s="424"/>
      <c r="I775" s="424"/>
      <c r="J775" s="424"/>
      <c r="K775" s="424"/>
      <c r="L775" s="424"/>
      <c r="M775" s="424"/>
      <c r="N775" s="424"/>
      <c r="O775" s="424"/>
      <c r="P775" s="424"/>
      <c r="Q775" s="435" t="n">
        <v>38</v>
      </c>
      <c r="R775" s="434" t="s">
        <v>526</v>
      </c>
      <c r="S775" s="424"/>
      <c r="T775" s="434" t="s">
        <v>527</v>
      </c>
      <c r="U775" s="434" t="s">
        <v>528</v>
      </c>
      <c r="V775" s="436" t="n">
        <f aca="false">AY780</f>
        <v>0</v>
      </c>
    </row>
    <row r="776" customFormat="false" ht="13.5" hidden="false" customHeight="false" outlineLevel="0" collapsed="false">
      <c r="A776" s="440"/>
      <c r="B776" s="435" t="str">
        <f aca="false">M755</f>
        <v> Rupiah </v>
      </c>
      <c r="C776" s="424"/>
      <c r="D776" s="424"/>
      <c r="E776" s="424"/>
      <c r="F776" s="424"/>
      <c r="G776" s="424"/>
      <c r="H776" s="424"/>
      <c r="I776" s="424"/>
      <c r="J776" s="424"/>
      <c r="K776" s="424"/>
      <c r="L776" s="424"/>
      <c r="M776" s="424"/>
      <c r="N776" s="424"/>
      <c r="O776" s="424"/>
      <c r="P776" s="424"/>
      <c r="Q776" s="435" t="n">
        <v>39</v>
      </c>
      <c r="R776" s="434" t="s">
        <v>529</v>
      </c>
      <c r="S776" s="424"/>
      <c r="T776" s="434" t="s">
        <v>530</v>
      </c>
      <c r="U776" s="434" t="s">
        <v>531</v>
      </c>
      <c r="V776" s="436" t="n">
        <f aca="false">AY781</f>
        <v>0</v>
      </c>
    </row>
    <row r="777" customFormat="false" ht="13.5" hidden="false" customHeight="false" outlineLevel="0" collapsed="false">
      <c r="A777" s="436" t="e">
        <f aca="false">+#REF!</f>
        <v>#REF!</v>
      </c>
      <c r="B777" s="435" t="str">
        <f aca="false">O755</f>
        <v/>
      </c>
      <c r="C777" s="424"/>
      <c r="D777" s="424"/>
      <c r="E777" s="424"/>
      <c r="F777" s="424"/>
      <c r="G777" s="424"/>
      <c r="H777" s="424"/>
      <c r="I777" s="424"/>
      <c r="J777" s="424"/>
      <c r="K777" s="424"/>
      <c r="L777" s="424"/>
      <c r="M777" s="424"/>
      <c r="N777" s="424"/>
      <c r="O777" s="424"/>
      <c r="P777" s="424"/>
      <c r="Q777" s="435" t="n">
        <v>40</v>
      </c>
      <c r="R777" s="434" t="s">
        <v>532</v>
      </c>
      <c r="S777" s="424"/>
      <c r="T777" s="434" t="s">
        <v>533</v>
      </c>
      <c r="U777" s="434" t="s">
        <v>534</v>
      </c>
      <c r="V777" s="436" t="n">
        <f aca="false">AY782</f>
        <v>0</v>
      </c>
    </row>
    <row r="778" customFormat="false" ht="13.5" hidden="false" customHeight="false" outlineLevel="0" collapsed="false">
      <c r="A778" s="440"/>
      <c r="B778" s="435" t="str">
        <f aca="false">IF(N753&gt;0,"-","====")</f>
        <v>====</v>
      </c>
      <c r="C778" s="424"/>
      <c r="D778" s="424"/>
      <c r="E778" s="424"/>
      <c r="F778" s="424"/>
      <c r="G778" s="424"/>
      <c r="H778" s="424"/>
      <c r="I778" s="424"/>
      <c r="J778" s="424"/>
      <c r="K778" s="424"/>
      <c r="L778" s="424"/>
      <c r="M778" s="424"/>
      <c r="N778" s="424"/>
      <c r="O778" s="424"/>
      <c r="P778" s="424"/>
      <c r="Q778" s="435" t="n">
        <v>41</v>
      </c>
      <c r="R778" s="434" t="s">
        <v>535</v>
      </c>
      <c r="S778" s="424"/>
      <c r="T778" s="434" t="s">
        <v>536</v>
      </c>
      <c r="U778" s="434" t="s">
        <v>537</v>
      </c>
      <c r="V778" s="436" t="n">
        <f aca="false">AY783</f>
        <v>0</v>
      </c>
    </row>
    <row r="779" customFormat="false" ht="13.5" hidden="false" customHeight="false" outlineLevel="0" collapsed="false">
      <c r="A779" s="444" t="e">
        <f aca="false">B755&amp;C755&amp;D755&amp;E755&amp;F755&amp;G755&amp;H755&amp;I755&amp;J755&amp;K755&amp;L755&amp;M755&amp;O755</f>
        <v>#N/A</v>
      </c>
      <c r="B779" s="424"/>
      <c r="C779" s="424"/>
      <c r="D779" s="424"/>
      <c r="E779" s="424"/>
      <c r="F779" s="424"/>
      <c r="G779" s="424"/>
      <c r="H779" s="424"/>
      <c r="I779" s="424"/>
      <c r="J779" s="424"/>
      <c r="K779" s="424"/>
      <c r="L779" s="424"/>
      <c r="M779" s="424"/>
      <c r="N779" s="424"/>
      <c r="O779" s="424"/>
      <c r="P779" s="424"/>
      <c r="Q779" s="435" t="n">
        <v>42</v>
      </c>
      <c r="R779" s="434" t="s">
        <v>538</v>
      </c>
      <c r="S779" s="424"/>
      <c r="T779" s="434" t="s">
        <v>539</v>
      </c>
      <c r="U779" s="434" t="s">
        <v>540</v>
      </c>
      <c r="V779" s="436" t="n">
        <f aca="false">AY784</f>
        <v>0</v>
      </c>
    </row>
    <row r="780" customFormat="false" ht="13.5" hidden="false" customHeight="false" outlineLevel="0" collapsed="false">
      <c r="A780" s="440" t="str">
        <f aca="false">I755&amp;J755&amp;K755&amp;L755&amp;M755&amp;O755</f>
        <v> Dua belas Rupiah </v>
      </c>
      <c r="B780" s="424"/>
      <c r="C780" s="424"/>
      <c r="D780" s="424"/>
      <c r="E780" s="424"/>
      <c r="F780" s="424"/>
      <c r="G780" s="424"/>
      <c r="H780" s="424"/>
      <c r="I780" s="424"/>
      <c r="J780" s="424"/>
      <c r="K780" s="424"/>
      <c r="L780" s="424"/>
      <c r="M780" s="424"/>
      <c r="N780" s="424"/>
      <c r="O780" s="424"/>
      <c r="P780" s="424"/>
      <c r="Q780" s="435" t="n">
        <v>43</v>
      </c>
      <c r="R780" s="434" t="s">
        <v>541</v>
      </c>
      <c r="S780" s="424"/>
      <c r="T780" s="434" t="s">
        <v>542</v>
      </c>
      <c r="U780" s="434" t="s">
        <v>543</v>
      </c>
      <c r="V780" s="436" t="n">
        <f aca="false">AY785</f>
        <v>0</v>
      </c>
    </row>
    <row r="781" customFormat="false" ht="13.5" hidden="false" customHeight="false" outlineLevel="0" collapsed="false">
      <c r="A781" s="440"/>
      <c r="B781" s="424"/>
      <c r="C781" s="424"/>
      <c r="D781" s="424"/>
      <c r="E781" s="424"/>
      <c r="F781" s="424"/>
      <c r="G781" s="424"/>
      <c r="H781" s="424"/>
      <c r="I781" s="424"/>
      <c r="J781" s="424"/>
      <c r="K781" s="424"/>
      <c r="L781" s="424"/>
      <c r="M781" s="424"/>
      <c r="N781" s="424"/>
      <c r="O781" s="424"/>
      <c r="P781" s="424"/>
      <c r="Q781" s="435" t="n">
        <v>44</v>
      </c>
      <c r="R781" s="434" t="s">
        <v>544</v>
      </c>
      <c r="S781" s="424"/>
      <c r="T781" s="434" t="s">
        <v>545</v>
      </c>
      <c r="U781" s="434" t="s">
        <v>546</v>
      </c>
      <c r="V781" s="436" t="n">
        <f aca="false">AY786</f>
        <v>0</v>
      </c>
    </row>
    <row r="782" customFormat="false" ht="13.5" hidden="false" customHeight="false" outlineLevel="0" collapsed="false">
      <c r="A782" s="440"/>
      <c r="B782" s="424"/>
      <c r="C782" s="424"/>
      <c r="D782" s="424"/>
      <c r="E782" s="424"/>
      <c r="F782" s="424"/>
      <c r="G782" s="424"/>
      <c r="H782" s="424"/>
      <c r="I782" s="424"/>
      <c r="J782" s="424"/>
      <c r="K782" s="424"/>
      <c r="L782" s="424"/>
      <c r="M782" s="424"/>
      <c r="N782" s="424"/>
      <c r="O782" s="424"/>
      <c r="P782" s="424"/>
      <c r="Q782" s="435" t="n">
        <v>45</v>
      </c>
      <c r="R782" s="434" t="s">
        <v>547</v>
      </c>
      <c r="S782" s="424"/>
      <c r="T782" s="434" t="s">
        <v>548</v>
      </c>
      <c r="U782" s="434" t="s">
        <v>549</v>
      </c>
      <c r="V782" s="436" t="n">
        <f aca="false">AY787</f>
        <v>0</v>
      </c>
    </row>
    <row r="783" customFormat="false" ht="13.5" hidden="false" customHeight="false" outlineLevel="0" collapsed="false">
      <c r="A783" s="440"/>
      <c r="B783" s="424"/>
      <c r="C783" s="424"/>
      <c r="D783" s="424"/>
      <c r="E783" s="424"/>
      <c r="F783" s="424"/>
      <c r="G783" s="424"/>
      <c r="H783" s="424"/>
      <c r="I783" s="424"/>
      <c r="J783" s="424"/>
      <c r="K783" s="424"/>
      <c r="L783" s="424"/>
      <c r="M783" s="424"/>
      <c r="N783" s="424"/>
      <c r="O783" s="424"/>
      <c r="P783" s="424"/>
      <c r="Q783" s="435" t="n">
        <v>46</v>
      </c>
      <c r="R783" s="434" t="s">
        <v>550</v>
      </c>
      <c r="S783" s="424"/>
      <c r="T783" s="434" t="s">
        <v>551</v>
      </c>
      <c r="U783" s="434" t="s">
        <v>552</v>
      </c>
      <c r="V783" s="436" t="n">
        <f aca="false">AY788</f>
        <v>0</v>
      </c>
    </row>
    <row r="784" customFormat="false" ht="13.5" hidden="false" customHeight="false" outlineLevel="0" collapsed="false">
      <c r="A784" s="440"/>
      <c r="B784" s="424"/>
      <c r="C784" s="424"/>
      <c r="D784" s="424"/>
      <c r="E784" s="424"/>
      <c r="F784" s="424"/>
      <c r="G784" s="424"/>
      <c r="H784" s="424"/>
      <c r="I784" s="424"/>
      <c r="J784" s="424"/>
      <c r="K784" s="424"/>
      <c r="L784" s="424"/>
      <c r="M784" s="424"/>
      <c r="N784" s="424"/>
      <c r="O784" s="424"/>
      <c r="P784" s="424"/>
      <c r="Q784" s="435" t="n">
        <v>47</v>
      </c>
      <c r="R784" s="434" t="s">
        <v>553</v>
      </c>
      <c r="S784" s="424"/>
      <c r="T784" s="434" t="s">
        <v>554</v>
      </c>
      <c r="U784" s="434" t="s">
        <v>555</v>
      </c>
      <c r="V784" s="436" t="n">
        <f aca="false">AY789</f>
        <v>0</v>
      </c>
    </row>
    <row r="785" customFormat="false" ht="13.5" hidden="false" customHeight="false" outlineLevel="0" collapsed="false">
      <c r="A785" s="424"/>
      <c r="B785" s="424"/>
      <c r="C785" s="424"/>
      <c r="D785" s="424"/>
      <c r="E785" s="424"/>
      <c r="F785" s="424"/>
      <c r="G785" s="424"/>
      <c r="H785" s="424"/>
      <c r="I785" s="424"/>
      <c r="J785" s="424"/>
      <c r="K785" s="424"/>
      <c r="L785" s="424"/>
      <c r="M785" s="424"/>
      <c r="N785" s="424"/>
      <c r="O785" s="424"/>
      <c r="P785" s="424"/>
      <c r="Q785" s="435" t="n">
        <v>48</v>
      </c>
      <c r="R785" s="434" t="s">
        <v>556</v>
      </c>
      <c r="S785" s="424"/>
      <c r="T785" s="434" t="s">
        <v>557</v>
      </c>
      <c r="U785" s="434" t="s">
        <v>558</v>
      </c>
      <c r="V785" s="436" t="n">
        <f aca="false">AY790</f>
        <v>0</v>
      </c>
    </row>
    <row r="786" customFormat="false" ht="13.5" hidden="false" customHeight="false" outlineLevel="0" collapsed="false">
      <c r="A786" s="424"/>
      <c r="B786" s="424"/>
      <c r="C786" s="424"/>
      <c r="D786" s="424"/>
      <c r="E786" s="424"/>
      <c r="F786" s="424"/>
      <c r="G786" s="424"/>
      <c r="H786" s="424"/>
      <c r="I786" s="424"/>
      <c r="J786" s="424"/>
      <c r="K786" s="424"/>
      <c r="L786" s="424"/>
      <c r="M786" s="424"/>
      <c r="N786" s="424"/>
      <c r="O786" s="424"/>
      <c r="P786" s="424"/>
      <c r="Q786" s="435" t="n">
        <v>49</v>
      </c>
      <c r="R786" s="434" t="s">
        <v>559</v>
      </c>
      <c r="S786" s="424"/>
      <c r="T786" s="434" t="s">
        <v>560</v>
      </c>
      <c r="U786" s="434" t="s">
        <v>561</v>
      </c>
      <c r="V786" s="436" t="n">
        <f aca="false">AY791</f>
        <v>0</v>
      </c>
    </row>
    <row r="787" customFormat="false" ht="13.5" hidden="false" customHeight="false" outlineLevel="0" collapsed="false">
      <c r="A787" s="424"/>
      <c r="B787" s="424"/>
      <c r="C787" s="424"/>
      <c r="D787" s="424"/>
      <c r="E787" s="424"/>
      <c r="F787" s="424"/>
      <c r="G787" s="424"/>
      <c r="H787" s="424"/>
      <c r="I787" s="424"/>
      <c r="J787" s="424"/>
      <c r="K787" s="424"/>
      <c r="L787" s="424"/>
      <c r="M787" s="424"/>
      <c r="N787" s="424"/>
      <c r="O787" s="424"/>
      <c r="P787" s="424"/>
      <c r="Q787" s="435" t="n">
        <v>50</v>
      </c>
      <c r="R787" s="434" t="s">
        <v>562</v>
      </c>
      <c r="S787" s="424"/>
      <c r="T787" s="434" t="s">
        <v>563</v>
      </c>
      <c r="U787" s="434" t="s">
        <v>564</v>
      </c>
      <c r="V787" s="436" t="n">
        <f aca="false">AY792</f>
        <v>0</v>
      </c>
    </row>
    <row r="788" customFormat="false" ht="13.5" hidden="false" customHeight="false" outlineLevel="0" collapsed="false">
      <c r="A788" s="424"/>
      <c r="B788" s="424"/>
      <c r="C788" s="424"/>
      <c r="D788" s="424"/>
      <c r="E788" s="424"/>
      <c r="F788" s="424"/>
      <c r="G788" s="424"/>
      <c r="H788" s="424"/>
      <c r="I788" s="424"/>
      <c r="J788" s="424"/>
      <c r="K788" s="424"/>
      <c r="L788" s="424"/>
      <c r="M788" s="424"/>
      <c r="N788" s="424"/>
      <c r="O788" s="424"/>
      <c r="P788" s="424"/>
      <c r="Q788" s="435" t="n">
        <v>51</v>
      </c>
      <c r="R788" s="434" t="s">
        <v>565</v>
      </c>
      <c r="S788" s="424"/>
      <c r="T788" s="434" t="s">
        <v>566</v>
      </c>
      <c r="U788" s="434" t="s">
        <v>567</v>
      </c>
      <c r="V788" s="436" t="n">
        <f aca="false">AY793</f>
        <v>0</v>
      </c>
    </row>
    <row r="789" customFormat="false" ht="13.5" hidden="false" customHeight="false" outlineLevel="0" collapsed="false">
      <c r="A789" s="424"/>
      <c r="B789" s="424"/>
      <c r="C789" s="424"/>
      <c r="D789" s="424"/>
      <c r="E789" s="424"/>
      <c r="F789" s="424"/>
      <c r="G789" s="424"/>
      <c r="H789" s="424"/>
      <c r="I789" s="424"/>
      <c r="J789" s="424"/>
      <c r="K789" s="424"/>
      <c r="L789" s="424"/>
      <c r="M789" s="424"/>
      <c r="N789" s="424"/>
      <c r="O789" s="424"/>
      <c r="P789" s="424"/>
      <c r="Q789" s="435" t="n">
        <v>52</v>
      </c>
      <c r="R789" s="434" t="s">
        <v>568</v>
      </c>
      <c r="S789" s="424"/>
      <c r="T789" s="434" t="s">
        <v>569</v>
      </c>
      <c r="U789" s="434" t="s">
        <v>570</v>
      </c>
      <c r="V789" s="436" t="n">
        <f aca="false">AY794</f>
        <v>0</v>
      </c>
    </row>
    <row r="790" customFormat="false" ht="13.5" hidden="false" customHeight="false" outlineLevel="0" collapsed="false">
      <c r="A790" s="424"/>
      <c r="B790" s="424"/>
      <c r="C790" s="424"/>
      <c r="D790" s="424"/>
      <c r="E790" s="424"/>
      <c r="F790" s="424"/>
      <c r="G790" s="424"/>
      <c r="H790" s="424"/>
      <c r="I790" s="424"/>
      <c r="J790" s="424"/>
      <c r="K790" s="424"/>
      <c r="L790" s="424"/>
      <c r="M790" s="424"/>
      <c r="N790" s="424"/>
      <c r="O790" s="424"/>
      <c r="P790" s="424"/>
      <c r="Q790" s="435" t="n">
        <v>53</v>
      </c>
      <c r="R790" s="434" t="s">
        <v>571</v>
      </c>
      <c r="S790" s="424"/>
      <c r="T790" s="434" t="s">
        <v>572</v>
      </c>
      <c r="U790" s="434" t="s">
        <v>573</v>
      </c>
      <c r="V790" s="436" t="n">
        <f aca="false">AY795</f>
        <v>0</v>
      </c>
    </row>
    <row r="791" customFormat="false" ht="13.5" hidden="false" customHeight="false" outlineLevel="0" collapsed="false">
      <c r="A791" s="424"/>
      <c r="B791" s="424"/>
      <c r="C791" s="424"/>
      <c r="D791" s="424"/>
      <c r="E791" s="424"/>
      <c r="F791" s="424"/>
      <c r="G791" s="424"/>
      <c r="H791" s="424"/>
      <c r="I791" s="424"/>
      <c r="J791" s="424"/>
      <c r="K791" s="424"/>
      <c r="L791" s="424"/>
      <c r="M791" s="424"/>
      <c r="N791" s="424"/>
      <c r="O791" s="424"/>
      <c r="P791" s="424"/>
      <c r="Q791" s="435" t="n">
        <v>54</v>
      </c>
      <c r="R791" s="434" t="s">
        <v>574</v>
      </c>
      <c r="S791" s="424"/>
      <c r="T791" s="434" t="s">
        <v>575</v>
      </c>
      <c r="U791" s="434" t="s">
        <v>576</v>
      </c>
      <c r="V791" s="436" t="n">
        <f aca="false">AY796</f>
        <v>0</v>
      </c>
    </row>
    <row r="792" customFormat="false" ht="13.5" hidden="false" customHeight="false" outlineLevel="0" collapsed="false">
      <c r="A792" s="424"/>
      <c r="B792" s="424"/>
      <c r="C792" s="424"/>
      <c r="D792" s="424"/>
      <c r="E792" s="424"/>
      <c r="F792" s="424"/>
      <c r="G792" s="424"/>
      <c r="H792" s="424"/>
      <c r="I792" s="424"/>
      <c r="J792" s="424"/>
      <c r="K792" s="424"/>
      <c r="L792" s="424"/>
      <c r="M792" s="424"/>
      <c r="N792" s="424"/>
      <c r="O792" s="424"/>
      <c r="P792" s="424"/>
      <c r="Q792" s="435" t="n">
        <v>55</v>
      </c>
      <c r="R792" s="434" t="s">
        <v>577</v>
      </c>
      <c r="S792" s="424"/>
      <c r="T792" s="434" t="s">
        <v>578</v>
      </c>
      <c r="U792" s="434" t="s">
        <v>579</v>
      </c>
      <c r="V792" s="436" t="n">
        <f aca="false">AY797</f>
        <v>0</v>
      </c>
    </row>
    <row r="793" customFormat="false" ht="13.5" hidden="false" customHeight="false" outlineLevel="0" collapsed="false">
      <c r="A793" s="424"/>
      <c r="B793" s="424"/>
      <c r="C793" s="424"/>
      <c r="D793" s="424"/>
      <c r="E793" s="424"/>
      <c r="F793" s="424"/>
      <c r="G793" s="424"/>
      <c r="H793" s="424"/>
      <c r="I793" s="424"/>
      <c r="J793" s="424"/>
      <c r="K793" s="424"/>
      <c r="L793" s="424"/>
      <c r="M793" s="424"/>
      <c r="N793" s="424"/>
      <c r="O793" s="424"/>
      <c r="P793" s="424"/>
      <c r="Q793" s="435" t="n">
        <v>56</v>
      </c>
      <c r="R793" s="434" t="s">
        <v>580</v>
      </c>
      <c r="S793" s="424"/>
      <c r="T793" s="434" t="s">
        <v>581</v>
      </c>
      <c r="U793" s="434" t="s">
        <v>582</v>
      </c>
      <c r="V793" s="436" t="n">
        <f aca="false">AY798</f>
        <v>0</v>
      </c>
    </row>
    <row r="794" customFormat="false" ht="13.5" hidden="false" customHeight="false" outlineLevel="0" collapsed="false">
      <c r="A794" s="424"/>
      <c r="B794" s="424"/>
      <c r="C794" s="424"/>
      <c r="D794" s="424"/>
      <c r="E794" s="424"/>
      <c r="F794" s="424"/>
      <c r="G794" s="424"/>
      <c r="H794" s="424"/>
      <c r="I794" s="424"/>
      <c r="J794" s="424"/>
      <c r="K794" s="424"/>
      <c r="L794" s="424"/>
      <c r="M794" s="424"/>
      <c r="N794" s="424"/>
      <c r="O794" s="424"/>
      <c r="P794" s="424"/>
      <c r="Q794" s="435" t="n">
        <v>57</v>
      </c>
      <c r="R794" s="434" t="s">
        <v>583</v>
      </c>
      <c r="S794" s="424"/>
      <c r="T794" s="434" t="s">
        <v>584</v>
      </c>
      <c r="U794" s="434" t="s">
        <v>585</v>
      </c>
      <c r="V794" s="436" t="n">
        <f aca="false">AY799</f>
        <v>0</v>
      </c>
    </row>
    <row r="795" customFormat="false" ht="13.5" hidden="false" customHeight="false" outlineLevel="0" collapsed="false">
      <c r="A795" s="424"/>
      <c r="B795" s="424"/>
      <c r="C795" s="424"/>
      <c r="D795" s="424"/>
      <c r="E795" s="424"/>
      <c r="F795" s="424"/>
      <c r="G795" s="424"/>
      <c r="H795" s="424"/>
      <c r="I795" s="424"/>
      <c r="J795" s="424"/>
      <c r="K795" s="424"/>
      <c r="L795" s="424"/>
      <c r="M795" s="424"/>
      <c r="N795" s="424"/>
      <c r="O795" s="424"/>
      <c r="P795" s="424"/>
      <c r="Q795" s="435" t="n">
        <v>58</v>
      </c>
      <c r="R795" s="434" t="s">
        <v>586</v>
      </c>
      <c r="S795" s="424"/>
      <c r="T795" s="434" t="s">
        <v>587</v>
      </c>
      <c r="U795" s="434" t="s">
        <v>588</v>
      </c>
      <c r="V795" s="436" t="n">
        <f aca="false">AY800</f>
        <v>0</v>
      </c>
    </row>
    <row r="796" customFormat="false" ht="13.5" hidden="false" customHeight="false" outlineLevel="0" collapsed="false">
      <c r="A796" s="424"/>
      <c r="B796" s="424"/>
      <c r="C796" s="424"/>
      <c r="D796" s="424"/>
      <c r="E796" s="424"/>
      <c r="F796" s="424"/>
      <c r="G796" s="424"/>
      <c r="H796" s="424"/>
      <c r="I796" s="424"/>
      <c r="J796" s="424"/>
      <c r="K796" s="424"/>
      <c r="L796" s="424"/>
      <c r="M796" s="424"/>
      <c r="N796" s="424"/>
      <c r="O796" s="424"/>
      <c r="P796" s="424"/>
      <c r="Q796" s="435" t="n">
        <v>59</v>
      </c>
      <c r="R796" s="434" t="s">
        <v>589</v>
      </c>
      <c r="S796" s="424"/>
      <c r="T796" s="434" t="s">
        <v>590</v>
      </c>
      <c r="U796" s="434" t="s">
        <v>591</v>
      </c>
      <c r="V796" s="436" t="n">
        <f aca="false">AY801</f>
        <v>0</v>
      </c>
    </row>
    <row r="797" customFormat="false" ht="13.5" hidden="false" customHeight="false" outlineLevel="0" collapsed="false">
      <c r="A797" s="424"/>
      <c r="B797" s="424"/>
      <c r="C797" s="424"/>
      <c r="D797" s="424"/>
      <c r="E797" s="424"/>
      <c r="F797" s="424"/>
      <c r="G797" s="424"/>
      <c r="H797" s="424"/>
      <c r="I797" s="424"/>
      <c r="J797" s="424"/>
      <c r="K797" s="424"/>
      <c r="L797" s="424"/>
      <c r="M797" s="424"/>
      <c r="N797" s="424"/>
      <c r="O797" s="424"/>
      <c r="P797" s="424"/>
      <c r="Q797" s="435" t="n">
        <v>60</v>
      </c>
      <c r="R797" s="434" t="s">
        <v>592</v>
      </c>
      <c r="S797" s="424"/>
      <c r="T797" s="434" t="s">
        <v>593</v>
      </c>
      <c r="U797" s="434" t="s">
        <v>594</v>
      </c>
      <c r="V797" s="436" t="n">
        <f aca="false">AY802</f>
        <v>0</v>
      </c>
    </row>
    <row r="798" customFormat="false" ht="13.5" hidden="false" customHeight="false" outlineLevel="0" collapsed="false">
      <c r="A798" s="424"/>
      <c r="B798" s="424"/>
      <c r="C798" s="424"/>
      <c r="D798" s="424"/>
      <c r="E798" s="424"/>
      <c r="F798" s="424"/>
      <c r="G798" s="424"/>
      <c r="H798" s="424"/>
      <c r="I798" s="424"/>
      <c r="J798" s="424"/>
      <c r="K798" s="424"/>
      <c r="L798" s="424"/>
      <c r="M798" s="424"/>
      <c r="N798" s="424"/>
      <c r="O798" s="424"/>
      <c r="P798" s="424"/>
      <c r="Q798" s="435" t="n">
        <v>61</v>
      </c>
      <c r="R798" s="434" t="s">
        <v>595</v>
      </c>
      <c r="S798" s="424"/>
      <c r="T798" s="434" t="s">
        <v>596</v>
      </c>
      <c r="U798" s="434" t="s">
        <v>597</v>
      </c>
      <c r="V798" s="436" t="n">
        <f aca="false">AY803</f>
        <v>0</v>
      </c>
    </row>
    <row r="799" customFormat="false" ht="13.5" hidden="false" customHeight="false" outlineLevel="0" collapsed="false">
      <c r="A799" s="424"/>
      <c r="B799" s="424"/>
      <c r="C799" s="424"/>
      <c r="D799" s="424"/>
      <c r="E799" s="424"/>
      <c r="F799" s="424"/>
      <c r="G799" s="424"/>
      <c r="H799" s="424"/>
      <c r="I799" s="424"/>
      <c r="J799" s="424"/>
      <c r="K799" s="424"/>
      <c r="L799" s="424"/>
      <c r="M799" s="424"/>
      <c r="N799" s="424"/>
      <c r="O799" s="424"/>
      <c r="P799" s="424"/>
      <c r="Q799" s="435" t="n">
        <v>62</v>
      </c>
      <c r="R799" s="434" t="s">
        <v>598</v>
      </c>
      <c r="S799" s="424"/>
      <c r="T799" s="434" t="s">
        <v>599</v>
      </c>
      <c r="U799" s="434" t="s">
        <v>600</v>
      </c>
      <c r="V799" s="436" t="n">
        <f aca="false">AY804</f>
        <v>0</v>
      </c>
    </row>
    <row r="800" customFormat="false" ht="13.5" hidden="false" customHeight="false" outlineLevel="0" collapsed="false">
      <c r="A800" s="424"/>
      <c r="B800" s="424"/>
      <c r="C800" s="424"/>
      <c r="D800" s="424"/>
      <c r="E800" s="424"/>
      <c r="F800" s="424"/>
      <c r="G800" s="424"/>
      <c r="H800" s="424"/>
      <c r="I800" s="424"/>
      <c r="J800" s="424"/>
      <c r="K800" s="424"/>
      <c r="L800" s="424"/>
      <c r="M800" s="424"/>
      <c r="N800" s="424"/>
      <c r="O800" s="424"/>
      <c r="P800" s="424"/>
      <c r="Q800" s="435" t="n">
        <v>63</v>
      </c>
      <c r="R800" s="434" t="s">
        <v>601</v>
      </c>
      <c r="S800" s="424"/>
      <c r="T800" s="434" t="s">
        <v>602</v>
      </c>
      <c r="U800" s="434" t="s">
        <v>603</v>
      </c>
      <c r="V800" s="436" t="n">
        <f aca="false">AY805</f>
        <v>0</v>
      </c>
    </row>
    <row r="801" customFormat="false" ht="13.5" hidden="false" customHeight="false" outlineLevel="0" collapsed="false">
      <c r="A801" s="424"/>
      <c r="B801" s="424"/>
      <c r="C801" s="424"/>
      <c r="D801" s="424"/>
      <c r="E801" s="424"/>
      <c r="F801" s="424"/>
      <c r="G801" s="424"/>
      <c r="H801" s="424"/>
      <c r="I801" s="424"/>
      <c r="J801" s="424"/>
      <c r="K801" s="424"/>
      <c r="L801" s="424"/>
      <c r="M801" s="424"/>
      <c r="N801" s="424"/>
      <c r="O801" s="424"/>
      <c r="P801" s="424"/>
      <c r="Q801" s="435" t="n">
        <v>64</v>
      </c>
      <c r="R801" s="434" t="s">
        <v>604</v>
      </c>
      <c r="S801" s="424"/>
      <c r="T801" s="434" t="s">
        <v>605</v>
      </c>
      <c r="U801" s="434" t="s">
        <v>606</v>
      </c>
      <c r="V801" s="436" t="n">
        <f aca="false">AY806</f>
        <v>0</v>
      </c>
    </row>
    <row r="802" customFormat="false" ht="13.5" hidden="false" customHeight="false" outlineLevel="0" collapsed="false">
      <c r="A802" s="424"/>
      <c r="B802" s="424"/>
      <c r="C802" s="424"/>
      <c r="D802" s="424"/>
      <c r="E802" s="424"/>
      <c r="F802" s="424"/>
      <c r="G802" s="424"/>
      <c r="H802" s="424"/>
      <c r="I802" s="424"/>
      <c r="J802" s="424"/>
      <c r="K802" s="424"/>
      <c r="L802" s="424"/>
      <c r="M802" s="424"/>
      <c r="N802" s="424"/>
      <c r="O802" s="424"/>
      <c r="P802" s="424"/>
      <c r="Q802" s="435" t="n">
        <v>65</v>
      </c>
      <c r="R802" s="434" t="s">
        <v>607</v>
      </c>
      <c r="S802" s="424"/>
      <c r="T802" s="434" t="s">
        <v>608</v>
      </c>
      <c r="U802" s="434" t="s">
        <v>609</v>
      </c>
      <c r="V802" s="436" t="n">
        <f aca="false">AY807</f>
        <v>0</v>
      </c>
    </row>
    <row r="803" customFormat="false" ht="13.5" hidden="false" customHeight="false" outlineLevel="0" collapsed="false">
      <c r="A803" s="424"/>
      <c r="B803" s="424"/>
      <c r="C803" s="424"/>
      <c r="D803" s="424"/>
      <c r="E803" s="424"/>
      <c r="F803" s="424"/>
      <c r="G803" s="424"/>
      <c r="H803" s="424"/>
      <c r="I803" s="424"/>
      <c r="J803" s="424"/>
      <c r="K803" s="424"/>
      <c r="L803" s="424"/>
      <c r="M803" s="424"/>
      <c r="N803" s="424"/>
      <c r="O803" s="424"/>
      <c r="P803" s="424"/>
      <c r="Q803" s="435" t="n">
        <v>66</v>
      </c>
      <c r="R803" s="434" t="s">
        <v>610</v>
      </c>
      <c r="S803" s="424"/>
      <c r="T803" s="434" t="s">
        <v>611</v>
      </c>
      <c r="U803" s="434" t="s">
        <v>612</v>
      </c>
      <c r="V803" s="436" t="n">
        <f aca="false">AY808</f>
        <v>0</v>
      </c>
    </row>
    <row r="804" customFormat="false" ht="13.5" hidden="false" customHeight="false" outlineLevel="0" collapsed="false">
      <c r="A804" s="424"/>
      <c r="B804" s="424"/>
      <c r="C804" s="424"/>
      <c r="D804" s="424"/>
      <c r="E804" s="424"/>
      <c r="F804" s="424"/>
      <c r="G804" s="424"/>
      <c r="H804" s="424"/>
      <c r="I804" s="424"/>
      <c r="J804" s="424"/>
      <c r="K804" s="424"/>
      <c r="L804" s="424"/>
      <c r="M804" s="424"/>
      <c r="N804" s="424"/>
      <c r="O804" s="424"/>
      <c r="P804" s="424"/>
      <c r="Q804" s="435" t="n">
        <v>67</v>
      </c>
      <c r="R804" s="434" t="s">
        <v>613</v>
      </c>
      <c r="S804" s="424"/>
      <c r="T804" s="434" t="s">
        <v>614</v>
      </c>
      <c r="U804" s="434" t="s">
        <v>615</v>
      </c>
      <c r="V804" s="436" t="n">
        <f aca="false">AY809</f>
        <v>0</v>
      </c>
    </row>
    <row r="805" customFormat="false" ht="13.5" hidden="false" customHeight="false" outlineLevel="0" collapsed="false">
      <c r="A805" s="424"/>
      <c r="B805" s="424"/>
      <c r="C805" s="424"/>
      <c r="D805" s="424"/>
      <c r="E805" s="424"/>
      <c r="F805" s="424"/>
      <c r="G805" s="424"/>
      <c r="H805" s="424"/>
      <c r="I805" s="424"/>
      <c r="J805" s="424"/>
      <c r="K805" s="424"/>
      <c r="L805" s="424"/>
      <c r="M805" s="424"/>
      <c r="N805" s="424"/>
      <c r="O805" s="424"/>
      <c r="P805" s="424"/>
      <c r="Q805" s="435" t="n">
        <v>68</v>
      </c>
      <c r="R805" s="434" t="s">
        <v>616</v>
      </c>
      <c r="S805" s="424"/>
      <c r="T805" s="434" t="s">
        <v>617</v>
      </c>
      <c r="U805" s="434" t="s">
        <v>618</v>
      </c>
      <c r="V805" s="436" t="n">
        <f aca="false">AY810</f>
        <v>0</v>
      </c>
    </row>
    <row r="806" customFormat="false" ht="13.5" hidden="false" customHeight="false" outlineLevel="0" collapsed="false">
      <c r="A806" s="424"/>
      <c r="B806" s="424"/>
      <c r="C806" s="424"/>
      <c r="D806" s="424"/>
      <c r="E806" s="424"/>
      <c r="F806" s="424"/>
      <c r="G806" s="424"/>
      <c r="H806" s="424"/>
      <c r="I806" s="424"/>
      <c r="J806" s="424"/>
      <c r="K806" s="424"/>
      <c r="L806" s="424"/>
      <c r="M806" s="424"/>
      <c r="N806" s="424"/>
      <c r="O806" s="424"/>
      <c r="P806" s="424"/>
      <c r="Q806" s="435" t="n">
        <v>69</v>
      </c>
      <c r="R806" s="434" t="s">
        <v>619</v>
      </c>
      <c r="S806" s="424"/>
      <c r="T806" s="434" t="s">
        <v>620</v>
      </c>
      <c r="U806" s="434" t="s">
        <v>621</v>
      </c>
      <c r="V806" s="436" t="n">
        <f aca="false">AY811</f>
        <v>0</v>
      </c>
    </row>
    <row r="807" customFormat="false" ht="13.5" hidden="false" customHeight="false" outlineLevel="0" collapsed="false">
      <c r="A807" s="424"/>
      <c r="B807" s="424"/>
      <c r="C807" s="424"/>
      <c r="D807" s="424"/>
      <c r="E807" s="424"/>
      <c r="F807" s="424"/>
      <c r="G807" s="424"/>
      <c r="H807" s="424"/>
      <c r="I807" s="424"/>
      <c r="J807" s="424"/>
      <c r="K807" s="424"/>
      <c r="L807" s="424"/>
      <c r="M807" s="424"/>
      <c r="N807" s="424"/>
      <c r="O807" s="424"/>
      <c r="P807" s="424"/>
      <c r="Q807" s="435" t="n">
        <v>70</v>
      </c>
      <c r="R807" s="434" t="s">
        <v>622</v>
      </c>
      <c r="S807" s="424"/>
      <c r="T807" s="434" t="s">
        <v>623</v>
      </c>
      <c r="U807" s="434" t="s">
        <v>624</v>
      </c>
      <c r="V807" s="436" t="n">
        <f aca="false">AY812</f>
        <v>0</v>
      </c>
    </row>
    <row r="808" customFormat="false" ht="13.5" hidden="false" customHeight="false" outlineLevel="0" collapsed="false">
      <c r="A808" s="424"/>
      <c r="B808" s="424"/>
      <c r="C808" s="424"/>
      <c r="D808" s="424"/>
      <c r="E808" s="424"/>
      <c r="F808" s="424"/>
      <c r="G808" s="424"/>
      <c r="H808" s="424"/>
      <c r="I808" s="424"/>
      <c r="J808" s="424"/>
      <c r="K808" s="424"/>
      <c r="L808" s="424"/>
      <c r="M808" s="424"/>
      <c r="N808" s="424"/>
      <c r="O808" s="424"/>
      <c r="P808" s="424"/>
      <c r="Q808" s="435" t="n">
        <v>71</v>
      </c>
      <c r="R808" s="434" t="s">
        <v>625</v>
      </c>
      <c r="S808" s="424"/>
      <c r="T808" s="434" t="s">
        <v>626</v>
      </c>
      <c r="U808" s="434" t="s">
        <v>627</v>
      </c>
      <c r="V808" s="436" t="n">
        <f aca="false">AY813</f>
        <v>0</v>
      </c>
    </row>
    <row r="809" customFormat="false" ht="13.5" hidden="false" customHeight="false" outlineLevel="0" collapsed="false">
      <c r="A809" s="424"/>
      <c r="B809" s="424"/>
      <c r="C809" s="424"/>
      <c r="D809" s="424"/>
      <c r="E809" s="424"/>
      <c r="F809" s="424"/>
      <c r="G809" s="424"/>
      <c r="H809" s="424"/>
      <c r="I809" s="424"/>
      <c r="J809" s="424"/>
      <c r="K809" s="424"/>
      <c r="L809" s="424"/>
      <c r="M809" s="424"/>
      <c r="N809" s="424"/>
      <c r="O809" s="424"/>
      <c r="P809" s="424"/>
      <c r="Q809" s="435" t="n">
        <v>72</v>
      </c>
      <c r="R809" s="434" t="s">
        <v>628</v>
      </c>
      <c r="S809" s="424"/>
      <c r="T809" s="434" t="s">
        <v>629</v>
      </c>
      <c r="U809" s="434" t="s">
        <v>630</v>
      </c>
      <c r="V809" s="436" t="n">
        <f aca="false">AY814</f>
        <v>0</v>
      </c>
    </row>
    <row r="810" customFormat="false" ht="13.5" hidden="false" customHeight="false" outlineLevel="0" collapsed="false">
      <c r="A810" s="424"/>
      <c r="B810" s="424"/>
      <c r="C810" s="424"/>
      <c r="D810" s="424"/>
      <c r="E810" s="424"/>
      <c r="F810" s="424"/>
      <c r="G810" s="424"/>
      <c r="H810" s="424"/>
      <c r="I810" s="424"/>
      <c r="J810" s="424"/>
      <c r="K810" s="424"/>
      <c r="L810" s="424"/>
      <c r="M810" s="424"/>
      <c r="N810" s="424"/>
      <c r="O810" s="424"/>
      <c r="P810" s="424"/>
      <c r="Q810" s="435" t="n">
        <v>73</v>
      </c>
      <c r="R810" s="434" t="s">
        <v>631</v>
      </c>
      <c r="S810" s="424"/>
      <c r="T810" s="434" t="s">
        <v>632</v>
      </c>
      <c r="U810" s="434" t="s">
        <v>633</v>
      </c>
      <c r="V810" s="436" t="n">
        <f aca="false">AY815</f>
        <v>0</v>
      </c>
    </row>
    <row r="811" customFormat="false" ht="13.5" hidden="false" customHeight="false" outlineLevel="0" collapsed="false">
      <c r="A811" s="424"/>
      <c r="B811" s="424"/>
      <c r="C811" s="424"/>
      <c r="D811" s="424"/>
      <c r="E811" s="424"/>
      <c r="F811" s="424"/>
      <c r="G811" s="424"/>
      <c r="H811" s="424"/>
      <c r="I811" s="424"/>
      <c r="J811" s="424"/>
      <c r="K811" s="424"/>
      <c r="L811" s="424"/>
      <c r="M811" s="424"/>
      <c r="N811" s="424"/>
      <c r="O811" s="424"/>
      <c r="P811" s="424"/>
      <c r="Q811" s="435" t="n">
        <v>74</v>
      </c>
      <c r="R811" s="434" t="s">
        <v>634</v>
      </c>
      <c r="S811" s="424"/>
      <c r="T811" s="434" t="s">
        <v>635</v>
      </c>
      <c r="U811" s="434" t="s">
        <v>636</v>
      </c>
      <c r="V811" s="436" t="n">
        <f aca="false">AY816</f>
        <v>0</v>
      </c>
    </row>
    <row r="812" customFormat="false" ht="13.5" hidden="false" customHeight="false" outlineLevel="0" collapsed="false">
      <c r="A812" s="424"/>
      <c r="B812" s="424"/>
      <c r="C812" s="424"/>
      <c r="D812" s="424"/>
      <c r="E812" s="424"/>
      <c r="F812" s="424"/>
      <c r="G812" s="424"/>
      <c r="H812" s="424"/>
      <c r="I812" s="424"/>
      <c r="J812" s="424"/>
      <c r="K812" s="424"/>
      <c r="L812" s="424"/>
      <c r="M812" s="424"/>
      <c r="N812" s="424"/>
      <c r="O812" s="424"/>
      <c r="P812" s="424"/>
      <c r="Q812" s="435" t="n">
        <v>75</v>
      </c>
      <c r="R812" s="434" t="s">
        <v>637</v>
      </c>
      <c r="S812" s="424"/>
      <c r="T812" s="434" t="s">
        <v>638</v>
      </c>
      <c r="U812" s="434" t="s">
        <v>639</v>
      </c>
      <c r="V812" s="436" t="n">
        <f aca="false">AY817</f>
        <v>0</v>
      </c>
    </row>
    <row r="813" customFormat="false" ht="13.5" hidden="false" customHeight="false" outlineLevel="0" collapsed="false">
      <c r="A813" s="424"/>
      <c r="B813" s="424"/>
      <c r="C813" s="424"/>
      <c r="D813" s="424"/>
      <c r="E813" s="424"/>
      <c r="F813" s="424"/>
      <c r="G813" s="424"/>
      <c r="H813" s="424"/>
      <c r="I813" s="424"/>
      <c r="J813" s="424"/>
      <c r="K813" s="424"/>
      <c r="L813" s="424"/>
      <c r="M813" s="424"/>
      <c r="N813" s="424"/>
      <c r="O813" s="424"/>
      <c r="P813" s="424"/>
      <c r="Q813" s="435" t="n">
        <v>76</v>
      </c>
      <c r="R813" s="434" t="s">
        <v>640</v>
      </c>
      <c r="S813" s="424"/>
      <c r="T813" s="434" t="s">
        <v>641</v>
      </c>
      <c r="U813" s="434" t="s">
        <v>642</v>
      </c>
      <c r="V813" s="436" t="n">
        <f aca="false">AY818</f>
        <v>0</v>
      </c>
    </row>
    <row r="814" customFormat="false" ht="13.5" hidden="false" customHeight="false" outlineLevel="0" collapsed="false">
      <c r="A814" s="424"/>
      <c r="B814" s="424"/>
      <c r="C814" s="424"/>
      <c r="D814" s="424"/>
      <c r="E814" s="424"/>
      <c r="F814" s="424"/>
      <c r="G814" s="424"/>
      <c r="H814" s="424"/>
      <c r="I814" s="424"/>
      <c r="J814" s="424"/>
      <c r="K814" s="424"/>
      <c r="L814" s="424"/>
      <c r="M814" s="424"/>
      <c r="N814" s="424"/>
      <c r="O814" s="424"/>
      <c r="P814" s="424"/>
      <c r="Q814" s="435" t="n">
        <v>77</v>
      </c>
      <c r="R814" s="434" t="s">
        <v>643</v>
      </c>
      <c r="S814" s="424"/>
      <c r="T814" s="434" t="s">
        <v>644</v>
      </c>
      <c r="U814" s="434" t="s">
        <v>645</v>
      </c>
      <c r="V814" s="436" t="n">
        <f aca="false">AY819</f>
        <v>0</v>
      </c>
    </row>
    <row r="815" customFormat="false" ht="13.5" hidden="false" customHeight="false" outlineLevel="0" collapsed="false">
      <c r="A815" s="424"/>
      <c r="B815" s="424"/>
      <c r="C815" s="424"/>
      <c r="D815" s="424"/>
      <c r="E815" s="424"/>
      <c r="F815" s="424"/>
      <c r="G815" s="424"/>
      <c r="H815" s="424"/>
      <c r="I815" s="424"/>
      <c r="J815" s="424"/>
      <c r="K815" s="424"/>
      <c r="L815" s="424"/>
      <c r="M815" s="424"/>
      <c r="N815" s="424"/>
      <c r="O815" s="424"/>
      <c r="P815" s="424"/>
      <c r="Q815" s="435" t="n">
        <v>78</v>
      </c>
      <c r="R815" s="434" t="s">
        <v>646</v>
      </c>
      <c r="S815" s="424"/>
      <c r="T815" s="434" t="s">
        <v>647</v>
      </c>
      <c r="U815" s="434" t="s">
        <v>648</v>
      </c>
      <c r="V815" s="436" t="n">
        <f aca="false">AY820</f>
        <v>0</v>
      </c>
    </row>
    <row r="816" customFormat="false" ht="13.5" hidden="false" customHeight="false" outlineLevel="0" collapsed="false">
      <c r="A816" s="424"/>
      <c r="B816" s="424"/>
      <c r="C816" s="424"/>
      <c r="D816" s="424"/>
      <c r="E816" s="424"/>
      <c r="F816" s="424"/>
      <c r="G816" s="424"/>
      <c r="H816" s="424"/>
      <c r="I816" s="424"/>
      <c r="J816" s="424"/>
      <c r="K816" s="424"/>
      <c r="L816" s="424"/>
      <c r="M816" s="424"/>
      <c r="N816" s="424"/>
      <c r="O816" s="424"/>
      <c r="P816" s="424"/>
      <c r="Q816" s="435" t="n">
        <v>79</v>
      </c>
      <c r="R816" s="434" t="s">
        <v>649</v>
      </c>
      <c r="S816" s="424"/>
      <c r="T816" s="434" t="s">
        <v>650</v>
      </c>
      <c r="U816" s="434" t="s">
        <v>651</v>
      </c>
      <c r="V816" s="436" t="n">
        <f aca="false">AY821</f>
        <v>0</v>
      </c>
    </row>
    <row r="817" customFormat="false" ht="13.5" hidden="false" customHeight="false" outlineLevel="0" collapsed="false">
      <c r="A817" s="424"/>
      <c r="B817" s="424"/>
      <c r="C817" s="424"/>
      <c r="D817" s="424"/>
      <c r="E817" s="424"/>
      <c r="F817" s="424"/>
      <c r="G817" s="424"/>
      <c r="H817" s="424"/>
      <c r="I817" s="424"/>
      <c r="J817" s="424"/>
      <c r="K817" s="424"/>
      <c r="L817" s="424"/>
      <c r="M817" s="424"/>
      <c r="N817" s="424"/>
      <c r="O817" s="424"/>
      <c r="P817" s="424"/>
      <c r="Q817" s="435" t="n">
        <v>80</v>
      </c>
      <c r="R817" s="434" t="s">
        <v>652</v>
      </c>
      <c r="S817" s="424"/>
      <c r="T817" s="434" t="s">
        <v>653</v>
      </c>
      <c r="U817" s="434" t="s">
        <v>654</v>
      </c>
      <c r="V817" s="436" t="n">
        <f aca="false">AY822</f>
        <v>0</v>
      </c>
    </row>
    <row r="818" customFormat="false" ht="13.5" hidden="false" customHeight="false" outlineLevel="0" collapsed="false">
      <c r="A818" s="424"/>
      <c r="B818" s="424"/>
      <c r="C818" s="424"/>
      <c r="D818" s="424"/>
      <c r="E818" s="424"/>
      <c r="F818" s="424"/>
      <c r="G818" s="424"/>
      <c r="H818" s="424"/>
      <c r="I818" s="424"/>
      <c r="J818" s="424"/>
      <c r="K818" s="424"/>
      <c r="L818" s="424"/>
      <c r="M818" s="424"/>
      <c r="N818" s="424"/>
      <c r="O818" s="424"/>
      <c r="P818" s="424"/>
      <c r="Q818" s="435" t="n">
        <v>81</v>
      </c>
      <c r="R818" s="434" t="s">
        <v>655</v>
      </c>
      <c r="S818" s="424"/>
      <c r="T818" s="434" t="s">
        <v>656</v>
      </c>
      <c r="U818" s="434" t="s">
        <v>657</v>
      </c>
      <c r="V818" s="436" t="n">
        <f aca="false">AY823</f>
        <v>0</v>
      </c>
    </row>
    <row r="819" customFormat="false" ht="13.5" hidden="false" customHeight="false" outlineLevel="0" collapsed="false">
      <c r="A819" s="424"/>
      <c r="B819" s="424"/>
      <c r="C819" s="424"/>
      <c r="D819" s="424"/>
      <c r="E819" s="424"/>
      <c r="F819" s="424"/>
      <c r="G819" s="424"/>
      <c r="H819" s="424"/>
      <c r="I819" s="424"/>
      <c r="J819" s="424"/>
      <c r="K819" s="424"/>
      <c r="L819" s="424"/>
      <c r="M819" s="424"/>
      <c r="N819" s="424"/>
      <c r="O819" s="424"/>
      <c r="P819" s="424"/>
      <c r="Q819" s="435" t="n">
        <v>82</v>
      </c>
      <c r="R819" s="434" t="s">
        <v>658</v>
      </c>
      <c r="S819" s="424"/>
      <c r="T819" s="434" t="s">
        <v>659</v>
      </c>
      <c r="U819" s="434" t="s">
        <v>660</v>
      </c>
      <c r="V819" s="436" t="n">
        <f aca="false">AY824</f>
        <v>0</v>
      </c>
    </row>
    <row r="820" customFormat="false" ht="13.5" hidden="false" customHeight="false" outlineLevel="0" collapsed="false">
      <c r="A820" s="424"/>
      <c r="B820" s="424"/>
      <c r="C820" s="424"/>
      <c r="D820" s="424"/>
      <c r="E820" s="424"/>
      <c r="F820" s="424"/>
      <c r="G820" s="424"/>
      <c r="H820" s="424"/>
      <c r="I820" s="424"/>
      <c r="J820" s="424"/>
      <c r="K820" s="424"/>
      <c r="L820" s="424"/>
      <c r="M820" s="424"/>
      <c r="N820" s="424"/>
      <c r="O820" s="424"/>
      <c r="P820" s="424"/>
      <c r="Q820" s="435" t="n">
        <v>83</v>
      </c>
      <c r="R820" s="434" t="s">
        <v>661</v>
      </c>
      <c r="S820" s="424"/>
      <c r="T820" s="434" t="s">
        <v>662</v>
      </c>
      <c r="U820" s="434" t="s">
        <v>663</v>
      </c>
      <c r="V820" s="436" t="n">
        <f aca="false">AY825</f>
        <v>0</v>
      </c>
    </row>
    <row r="821" customFormat="false" ht="13.5" hidden="false" customHeight="false" outlineLevel="0" collapsed="false">
      <c r="A821" s="424"/>
      <c r="B821" s="424"/>
      <c r="C821" s="424"/>
      <c r="D821" s="424"/>
      <c r="E821" s="424"/>
      <c r="F821" s="424"/>
      <c r="G821" s="424"/>
      <c r="H821" s="424"/>
      <c r="I821" s="424"/>
      <c r="J821" s="424"/>
      <c r="K821" s="424"/>
      <c r="L821" s="424"/>
      <c r="M821" s="424"/>
      <c r="N821" s="424"/>
      <c r="O821" s="424"/>
      <c r="P821" s="424"/>
      <c r="Q821" s="435" t="n">
        <v>84</v>
      </c>
      <c r="R821" s="434" t="s">
        <v>664</v>
      </c>
      <c r="S821" s="424"/>
      <c r="T821" s="434" t="s">
        <v>665</v>
      </c>
      <c r="U821" s="434" t="s">
        <v>666</v>
      </c>
      <c r="V821" s="436" t="n">
        <f aca="false">AY826</f>
        <v>0</v>
      </c>
    </row>
    <row r="822" customFormat="false" ht="13.5" hidden="false" customHeight="false" outlineLevel="0" collapsed="false">
      <c r="A822" s="424"/>
      <c r="B822" s="424"/>
      <c r="C822" s="424"/>
      <c r="D822" s="424"/>
      <c r="E822" s="424"/>
      <c r="F822" s="424"/>
      <c r="G822" s="424"/>
      <c r="H822" s="424"/>
      <c r="I822" s="424"/>
      <c r="J822" s="424"/>
      <c r="K822" s="424"/>
      <c r="L822" s="424"/>
      <c r="M822" s="424"/>
      <c r="N822" s="424"/>
      <c r="O822" s="424"/>
      <c r="P822" s="424"/>
      <c r="Q822" s="435" t="n">
        <v>85</v>
      </c>
      <c r="R822" s="434" t="s">
        <v>667</v>
      </c>
      <c r="S822" s="424"/>
      <c r="T822" s="434" t="s">
        <v>668</v>
      </c>
      <c r="U822" s="434" t="s">
        <v>669</v>
      </c>
      <c r="V822" s="436" t="n">
        <f aca="false">AY827</f>
        <v>0</v>
      </c>
    </row>
    <row r="823" customFormat="false" ht="13.5" hidden="false" customHeight="false" outlineLevel="0" collapsed="false">
      <c r="A823" s="424"/>
      <c r="B823" s="424"/>
      <c r="C823" s="424"/>
      <c r="D823" s="424"/>
      <c r="E823" s="424"/>
      <c r="F823" s="424"/>
      <c r="G823" s="424"/>
      <c r="H823" s="424"/>
      <c r="I823" s="424"/>
      <c r="J823" s="424"/>
      <c r="K823" s="424"/>
      <c r="L823" s="424"/>
      <c r="M823" s="424"/>
      <c r="N823" s="424"/>
      <c r="O823" s="424"/>
      <c r="P823" s="424"/>
      <c r="Q823" s="435" t="n">
        <v>86</v>
      </c>
      <c r="R823" s="434" t="s">
        <v>670</v>
      </c>
      <c r="S823" s="424"/>
      <c r="T823" s="434" t="s">
        <v>671</v>
      </c>
      <c r="U823" s="434" t="s">
        <v>672</v>
      </c>
      <c r="V823" s="436" t="n">
        <f aca="false">AY828</f>
        <v>0</v>
      </c>
    </row>
    <row r="824" customFormat="false" ht="13.5" hidden="false" customHeight="false" outlineLevel="0" collapsed="false">
      <c r="A824" s="424"/>
      <c r="B824" s="424"/>
      <c r="C824" s="424"/>
      <c r="D824" s="424"/>
      <c r="E824" s="424"/>
      <c r="F824" s="424"/>
      <c r="G824" s="424"/>
      <c r="H824" s="424"/>
      <c r="I824" s="424"/>
      <c r="J824" s="424"/>
      <c r="K824" s="424"/>
      <c r="L824" s="424"/>
      <c r="M824" s="424"/>
      <c r="N824" s="424"/>
      <c r="O824" s="424"/>
      <c r="P824" s="424"/>
      <c r="Q824" s="435" t="n">
        <v>87</v>
      </c>
      <c r="R824" s="434" t="s">
        <v>673</v>
      </c>
      <c r="S824" s="424"/>
      <c r="T824" s="434" t="s">
        <v>674</v>
      </c>
      <c r="U824" s="434" t="s">
        <v>675</v>
      </c>
      <c r="V824" s="436" t="n">
        <f aca="false">AY829</f>
        <v>0</v>
      </c>
    </row>
    <row r="825" customFormat="false" ht="13.5" hidden="false" customHeight="false" outlineLevel="0" collapsed="false">
      <c r="A825" s="424"/>
      <c r="B825" s="424"/>
      <c r="C825" s="424"/>
      <c r="D825" s="424"/>
      <c r="E825" s="424"/>
      <c r="F825" s="424"/>
      <c r="G825" s="424"/>
      <c r="H825" s="424"/>
      <c r="I825" s="424"/>
      <c r="J825" s="424"/>
      <c r="K825" s="424"/>
      <c r="L825" s="424"/>
      <c r="M825" s="424"/>
      <c r="N825" s="424"/>
      <c r="O825" s="424"/>
      <c r="P825" s="424"/>
      <c r="Q825" s="435" t="n">
        <v>88</v>
      </c>
      <c r="R825" s="434" t="s">
        <v>676</v>
      </c>
      <c r="S825" s="424"/>
      <c r="T825" s="434" t="s">
        <v>677</v>
      </c>
      <c r="U825" s="434" t="s">
        <v>678</v>
      </c>
      <c r="V825" s="436" t="n">
        <f aca="false">AY830</f>
        <v>0</v>
      </c>
    </row>
    <row r="826" customFormat="false" ht="13.5" hidden="false" customHeight="false" outlineLevel="0" collapsed="false">
      <c r="A826" s="424"/>
      <c r="B826" s="424"/>
      <c r="C826" s="424"/>
      <c r="D826" s="424"/>
      <c r="E826" s="424"/>
      <c r="F826" s="424"/>
      <c r="G826" s="424"/>
      <c r="H826" s="424"/>
      <c r="I826" s="424"/>
      <c r="J826" s="424"/>
      <c r="K826" s="424"/>
      <c r="L826" s="424"/>
      <c r="M826" s="424"/>
      <c r="N826" s="424"/>
      <c r="O826" s="424"/>
      <c r="P826" s="424"/>
      <c r="Q826" s="435" t="n">
        <v>89</v>
      </c>
      <c r="R826" s="434" t="s">
        <v>679</v>
      </c>
      <c r="S826" s="424"/>
      <c r="T826" s="434" t="s">
        <v>680</v>
      </c>
      <c r="U826" s="434" t="s">
        <v>681</v>
      </c>
      <c r="V826" s="436" t="n">
        <f aca="false">AY831</f>
        <v>0</v>
      </c>
    </row>
    <row r="827" customFormat="false" ht="13.5" hidden="false" customHeight="false" outlineLevel="0" collapsed="false">
      <c r="A827" s="424"/>
      <c r="B827" s="424"/>
      <c r="C827" s="424"/>
      <c r="D827" s="424"/>
      <c r="E827" s="424"/>
      <c r="F827" s="424"/>
      <c r="G827" s="424"/>
      <c r="H827" s="424"/>
      <c r="I827" s="424"/>
      <c r="J827" s="424"/>
      <c r="K827" s="424"/>
      <c r="L827" s="424"/>
      <c r="M827" s="424"/>
      <c r="N827" s="424"/>
      <c r="O827" s="424"/>
      <c r="P827" s="424"/>
      <c r="Q827" s="435" t="n">
        <v>90</v>
      </c>
      <c r="R827" s="434" t="s">
        <v>682</v>
      </c>
      <c r="S827" s="424"/>
      <c r="T827" s="434" t="s">
        <v>683</v>
      </c>
      <c r="U827" s="434" t="s">
        <v>684</v>
      </c>
      <c r="V827" s="436" t="n">
        <f aca="false">AY832</f>
        <v>0</v>
      </c>
    </row>
    <row r="828" customFormat="false" ht="13.5" hidden="false" customHeight="false" outlineLevel="0" collapsed="false">
      <c r="A828" s="424"/>
      <c r="B828" s="424"/>
      <c r="C828" s="424"/>
      <c r="D828" s="424"/>
      <c r="E828" s="424"/>
      <c r="F828" s="424"/>
      <c r="G828" s="424"/>
      <c r="H828" s="424"/>
      <c r="I828" s="424"/>
      <c r="J828" s="424"/>
      <c r="K828" s="424"/>
      <c r="L828" s="424"/>
      <c r="M828" s="424"/>
      <c r="N828" s="424"/>
      <c r="O828" s="424"/>
      <c r="P828" s="424"/>
      <c r="Q828" s="435" t="n">
        <v>91</v>
      </c>
      <c r="R828" s="434" t="s">
        <v>685</v>
      </c>
      <c r="S828" s="424"/>
      <c r="T828" s="434" t="s">
        <v>686</v>
      </c>
      <c r="U828" s="434" t="s">
        <v>687</v>
      </c>
      <c r="V828" s="436" t="n">
        <f aca="false">AY833</f>
        <v>0</v>
      </c>
    </row>
    <row r="829" customFormat="false" ht="13.5" hidden="false" customHeight="false" outlineLevel="0" collapsed="false">
      <c r="A829" s="424"/>
      <c r="B829" s="424"/>
      <c r="C829" s="424"/>
      <c r="D829" s="424"/>
      <c r="E829" s="424"/>
      <c r="F829" s="424"/>
      <c r="G829" s="424"/>
      <c r="H829" s="424"/>
      <c r="I829" s="424"/>
      <c r="J829" s="424"/>
      <c r="K829" s="424"/>
      <c r="L829" s="424"/>
      <c r="M829" s="424"/>
      <c r="N829" s="424"/>
      <c r="O829" s="424"/>
      <c r="P829" s="424"/>
      <c r="Q829" s="435" t="n">
        <v>92</v>
      </c>
      <c r="R829" s="434" t="s">
        <v>688</v>
      </c>
      <c r="S829" s="424"/>
      <c r="T829" s="434" t="s">
        <v>689</v>
      </c>
      <c r="U829" s="434" t="s">
        <v>690</v>
      </c>
      <c r="V829" s="436" t="n">
        <f aca="false">AY834</f>
        <v>0</v>
      </c>
    </row>
    <row r="830" customFormat="false" ht="13.5" hidden="false" customHeight="false" outlineLevel="0" collapsed="false">
      <c r="A830" s="424"/>
      <c r="B830" s="424"/>
      <c r="C830" s="424"/>
      <c r="D830" s="424"/>
      <c r="E830" s="424"/>
      <c r="F830" s="424"/>
      <c r="G830" s="424"/>
      <c r="H830" s="424"/>
      <c r="I830" s="424"/>
      <c r="J830" s="424"/>
      <c r="K830" s="424"/>
      <c r="L830" s="424"/>
      <c r="M830" s="424"/>
      <c r="N830" s="424"/>
      <c r="O830" s="424"/>
      <c r="P830" s="424"/>
      <c r="Q830" s="435" t="n">
        <v>93</v>
      </c>
      <c r="R830" s="434" t="s">
        <v>691</v>
      </c>
      <c r="S830" s="424"/>
      <c r="T830" s="434" t="s">
        <v>692</v>
      </c>
      <c r="U830" s="434" t="s">
        <v>693</v>
      </c>
      <c r="V830" s="436" t="n">
        <f aca="false">AY835</f>
        <v>0</v>
      </c>
    </row>
    <row r="831" customFormat="false" ht="13.5" hidden="false" customHeight="false" outlineLevel="0" collapsed="false">
      <c r="A831" s="424"/>
      <c r="B831" s="424"/>
      <c r="C831" s="424"/>
      <c r="D831" s="424"/>
      <c r="E831" s="424"/>
      <c r="F831" s="424"/>
      <c r="G831" s="424"/>
      <c r="H831" s="424"/>
      <c r="I831" s="424"/>
      <c r="J831" s="424"/>
      <c r="K831" s="424"/>
      <c r="L831" s="424"/>
      <c r="M831" s="424"/>
      <c r="N831" s="424"/>
      <c r="O831" s="424"/>
      <c r="P831" s="424"/>
      <c r="Q831" s="435" t="n">
        <v>94</v>
      </c>
      <c r="R831" s="434" t="s">
        <v>694</v>
      </c>
      <c r="S831" s="424"/>
      <c r="T831" s="434" t="s">
        <v>695</v>
      </c>
      <c r="U831" s="434" t="s">
        <v>696</v>
      </c>
      <c r="V831" s="436" t="n">
        <f aca="false">AY836</f>
        <v>0</v>
      </c>
    </row>
    <row r="832" customFormat="false" ht="13.5" hidden="false" customHeight="false" outlineLevel="0" collapsed="false">
      <c r="A832" s="424"/>
      <c r="B832" s="424"/>
      <c r="C832" s="424"/>
      <c r="D832" s="424"/>
      <c r="E832" s="424"/>
      <c r="F832" s="424"/>
      <c r="G832" s="424"/>
      <c r="H832" s="424"/>
      <c r="I832" s="424"/>
      <c r="J832" s="424"/>
      <c r="K832" s="424"/>
      <c r="L832" s="424"/>
      <c r="M832" s="424"/>
      <c r="N832" s="424"/>
      <c r="O832" s="424"/>
      <c r="P832" s="424"/>
      <c r="Q832" s="435" t="n">
        <v>95</v>
      </c>
      <c r="R832" s="434" t="s">
        <v>697</v>
      </c>
      <c r="S832" s="424"/>
      <c r="T832" s="434" t="s">
        <v>698</v>
      </c>
      <c r="U832" s="434" t="s">
        <v>699</v>
      </c>
      <c r="V832" s="436" t="n">
        <f aca="false">AY837</f>
        <v>0</v>
      </c>
    </row>
    <row r="833" customFormat="false" ht="13.5" hidden="false" customHeight="false" outlineLevel="0" collapsed="false">
      <c r="A833" s="424"/>
      <c r="B833" s="424"/>
      <c r="C833" s="424"/>
      <c r="D833" s="424"/>
      <c r="E833" s="424"/>
      <c r="F833" s="424"/>
      <c r="G833" s="424"/>
      <c r="H833" s="424"/>
      <c r="I833" s="424"/>
      <c r="J833" s="424"/>
      <c r="K833" s="424"/>
      <c r="L833" s="424"/>
      <c r="M833" s="424"/>
      <c r="N833" s="424"/>
      <c r="O833" s="424"/>
      <c r="P833" s="424"/>
      <c r="Q833" s="435" t="n">
        <v>96</v>
      </c>
      <c r="R833" s="434" t="s">
        <v>700</v>
      </c>
      <c r="S833" s="424"/>
      <c r="T833" s="434" t="s">
        <v>701</v>
      </c>
      <c r="U833" s="434" t="s">
        <v>702</v>
      </c>
      <c r="V833" s="436" t="n">
        <f aca="false">AY838</f>
        <v>0</v>
      </c>
    </row>
    <row r="834" customFormat="false" ht="13.5" hidden="false" customHeight="false" outlineLevel="0" collapsed="false">
      <c r="A834" s="424"/>
      <c r="B834" s="424"/>
      <c r="C834" s="424"/>
      <c r="D834" s="424"/>
      <c r="E834" s="424"/>
      <c r="F834" s="424"/>
      <c r="G834" s="424"/>
      <c r="H834" s="424"/>
      <c r="I834" s="424"/>
      <c r="J834" s="424"/>
      <c r="K834" s="424"/>
      <c r="L834" s="424"/>
      <c r="M834" s="424"/>
      <c r="N834" s="424"/>
      <c r="O834" s="424"/>
      <c r="P834" s="424"/>
      <c r="Q834" s="435" t="n">
        <v>97</v>
      </c>
      <c r="R834" s="434" t="s">
        <v>703</v>
      </c>
      <c r="S834" s="424"/>
      <c r="T834" s="434" t="s">
        <v>704</v>
      </c>
      <c r="U834" s="434" t="s">
        <v>705</v>
      </c>
      <c r="V834" s="436" t="n">
        <f aca="false">AY839</f>
        <v>0</v>
      </c>
    </row>
    <row r="835" customFormat="false" ht="13.5" hidden="false" customHeight="false" outlineLevel="0" collapsed="false">
      <c r="A835" s="424"/>
      <c r="B835" s="424"/>
      <c r="C835" s="424"/>
      <c r="D835" s="424"/>
      <c r="E835" s="424"/>
      <c r="F835" s="424"/>
      <c r="G835" s="424"/>
      <c r="H835" s="424"/>
      <c r="I835" s="424"/>
      <c r="J835" s="424"/>
      <c r="K835" s="424"/>
      <c r="L835" s="424"/>
      <c r="M835" s="424"/>
      <c r="N835" s="424"/>
      <c r="O835" s="424"/>
      <c r="P835" s="424"/>
      <c r="Q835" s="435" t="n">
        <v>98</v>
      </c>
      <c r="R835" s="434" t="s">
        <v>706</v>
      </c>
      <c r="S835" s="424"/>
      <c r="T835" s="434" t="s">
        <v>707</v>
      </c>
      <c r="U835" s="434" t="s">
        <v>708</v>
      </c>
      <c r="V835" s="436" t="n">
        <f aca="false">AY840</f>
        <v>0</v>
      </c>
    </row>
    <row r="836" customFormat="false" ht="13.5" hidden="false" customHeight="false" outlineLevel="0" collapsed="false">
      <c r="A836" s="424"/>
      <c r="B836" s="424"/>
      <c r="C836" s="424"/>
      <c r="D836" s="424"/>
      <c r="E836" s="424"/>
      <c r="F836" s="424"/>
      <c r="G836" s="424"/>
      <c r="H836" s="424"/>
      <c r="I836" s="424"/>
      <c r="J836" s="424"/>
      <c r="K836" s="424"/>
      <c r="L836" s="424"/>
      <c r="M836" s="424"/>
      <c r="N836" s="424"/>
      <c r="O836" s="424"/>
      <c r="P836" s="424"/>
      <c r="Q836" s="435" t="n">
        <v>99</v>
      </c>
      <c r="R836" s="434" t="s">
        <v>709</v>
      </c>
      <c r="S836" s="424"/>
      <c r="T836" s="434" t="s">
        <v>710</v>
      </c>
      <c r="U836" s="434" t="s">
        <v>711</v>
      </c>
      <c r="V836" s="436" t="n">
        <f aca="false">AY841</f>
        <v>0</v>
      </c>
    </row>
    <row r="837" customFormat="false" ht="13.5" hidden="false" customHeight="false" outlineLevel="0" collapsed="false">
      <c r="A837" s="424"/>
      <c r="B837" s="424"/>
      <c r="C837" s="424"/>
      <c r="D837" s="424"/>
      <c r="E837" s="424"/>
      <c r="F837" s="424"/>
      <c r="G837" s="424"/>
      <c r="H837" s="424"/>
      <c r="I837" s="424"/>
      <c r="J837" s="424"/>
      <c r="K837" s="424"/>
      <c r="L837" s="424"/>
      <c r="M837" s="424"/>
      <c r="N837" s="424"/>
      <c r="O837" s="424"/>
      <c r="P837" s="424"/>
      <c r="Q837" s="424"/>
      <c r="R837" s="424"/>
      <c r="S837" s="424"/>
      <c r="T837" s="424"/>
      <c r="U837" s="424"/>
      <c r="V837" s="436" t="n">
        <f aca="false">AY842</f>
        <v>0</v>
      </c>
    </row>
    <row r="838" customFormat="false" ht="13.5" hidden="false" customHeight="false" outlineLevel="0" collapsed="false">
      <c r="A838" s="424"/>
      <c r="B838" s="424"/>
      <c r="C838" s="424"/>
      <c r="D838" s="424"/>
      <c r="E838" s="424"/>
      <c r="F838" s="424"/>
      <c r="G838" s="424"/>
      <c r="H838" s="424"/>
      <c r="I838" s="424"/>
      <c r="J838" s="424"/>
      <c r="K838" s="424"/>
      <c r="L838" s="424"/>
      <c r="M838" s="424"/>
      <c r="N838" s="424"/>
      <c r="O838" s="424"/>
      <c r="P838" s="424"/>
      <c r="Q838" s="424"/>
      <c r="R838" s="424"/>
      <c r="S838" s="424"/>
      <c r="T838" s="424"/>
      <c r="U838" s="424"/>
      <c r="V838" s="436" t="n">
        <f aca="false">AY843</f>
        <v>0</v>
      </c>
    </row>
    <row r="839" customFormat="false" ht="13.5" hidden="false" customHeight="false" outlineLevel="0" collapsed="false">
      <c r="A839" s="424"/>
      <c r="B839" s="424"/>
      <c r="C839" s="424"/>
      <c r="D839" s="424"/>
      <c r="E839" s="424"/>
      <c r="F839" s="424"/>
      <c r="G839" s="424"/>
      <c r="H839" s="424"/>
      <c r="I839" s="424"/>
      <c r="J839" s="424"/>
      <c r="K839" s="424"/>
      <c r="L839" s="424"/>
      <c r="M839" s="424"/>
      <c r="N839" s="424"/>
      <c r="O839" s="424"/>
      <c r="P839" s="424"/>
      <c r="Q839" s="424"/>
      <c r="R839" s="424"/>
      <c r="S839" s="424"/>
      <c r="T839" s="424"/>
      <c r="U839" s="424"/>
      <c r="V839" s="436" t="n">
        <f aca="false">AY844</f>
        <v>0</v>
      </c>
    </row>
    <row r="840" customFormat="false" ht="13.5" hidden="false" customHeight="false" outlineLevel="0" collapsed="false">
      <c r="A840" s="424"/>
      <c r="B840" s="424"/>
      <c r="C840" s="424"/>
      <c r="D840" s="424"/>
      <c r="E840" s="424"/>
      <c r="F840" s="424"/>
      <c r="G840" s="424"/>
      <c r="H840" s="424"/>
      <c r="I840" s="424"/>
      <c r="J840" s="424"/>
      <c r="K840" s="424"/>
      <c r="L840" s="424"/>
      <c r="M840" s="424"/>
      <c r="N840" s="424"/>
      <c r="O840" s="424"/>
      <c r="P840" s="424"/>
      <c r="Q840" s="424"/>
      <c r="R840" s="424"/>
      <c r="S840" s="424"/>
      <c r="T840" s="424"/>
      <c r="U840" s="424"/>
      <c r="V840" s="436" t="n">
        <f aca="false">AY845</f>
        <v>0</v>
      </c>
    </row>
    <row r="841" customFormat="false" ht="13.5" hidden="false" customHeight="false" outlineLevel="0" collapsed="false">
      <c r="A841" s="424"/>
      <c r="B841" s="424"/>
      <c r="C841" s="424"/>
      <c r="D841" s="424"/>
      <c r="E841" s="424"/>
      <c r="F841" s="424"/>
      <c r="G841" s="424"/>
      <c r="H841" s="424"/>
      <c r="I841" s="424"/>
      <c r="J841" s="424"/>
      <c r="K841" s="424"/>
      <c r="L841" s="424"/>
      <c r="M841" s="424"/>
      <c r="N841" s="424"/>
      <c r="O841" s="424"/>
      <c r="P841" s="424"/>
      <c r="Q841" s="424"/>
      <c r="R841" s="424"/>
      <c r="S841" s="424"/>
      <c r="T841" s="424"/>
      <c r="U841" s="424"/>
      <c r="V841" s="436" t="n">
        <f aca="false">AY846</f>
        <v>0</v>
      </c>
    </row>
    <row r="842" customFormat="false" ht="13.5" hidden="false" customHeight="false" outlineLevel="0" collapsed="false">
      <c r="A842" s="424"/>
      <c r="B842" s="424"/>
      <c r="C842" s="424"/>
      <c r="D842" s="424"/>
      <c r="E842" s="424"/>
      <c r="F842" s="424"/>
      <c r="G842" s="424"/>
      <c r="H842" s="424"/>
      <c r="I842" s="424"/>
      <c r="J842" s="424"/>
      <c r="K842" s="424"/>
      <c r="L842" s="424"/>
      <c r="M842" s="424"/>
      <c r="N842" s="424"/>
      <c r="O842" s="424"/>
      <c r="P842" s="424"/>
      <c r="Q842" s="424"/>
      <c r="R842" s="424"/>
      <c r="S842" s="424"/>
      <c r="T842" s="424"/>
      <c r="U842" s="424"/>
      <c r="V842" s="436" t="n">
        <f aca="false">AY847</f>
        <v>0</v>
      </c>
    </row>
    <row r="843" customFormat="false" ht="13.5" hidden="false" customHeight="false" outlineLevel="0" collapsed="false">
      <c r="A843" s="424"/>
      <c r="B843" s="424"/>
      <c r="C843" s="424"/>
      <c r="D843" s="424"/>
      <c r="E843" s="424"/>
      <c r="F843" s="424"/>
      <c r="G843" s="424"/>
      <c r="H843" s="424"/>
      <c r="I843" s="424"/>
      <c r="J843" s="424"/>
      <c r="K843" s="424"/>
      <c r="L843" s="424"/>
      <c r="M843" s="424"/>
      <c r="N843" s="424"/>
      <c r="O843" s="424"/>
      <c r="P843" s="424"/>
      <c r="Q843" s="424"/>
      <c r="R843" s="424"/>
      <c r="S843" s="424"/>
      <c r="T843" s="424"/>
      <c r="U843" s="424"/>
      <c r="V843" s="436" t="n">
        <f aca="false">AY848</f>
        <v>0</v>
      </c>
    </row>
    <row r="844" customFormat="false" ht="13.5" hidden="false" customHeight="false" outlineLevel="0" collapsed="false">
      <c r="A844" s="424"/>
      <c r="B844" s="424"/>
      <c r="C844" s="424"/>
      <c r="D844" s="424"/>
      <c r="E844" s="424"/>
      <c r="F844" s="424"/>
      <c r="G844" s="424"/>
      <c r="H844" s="424"/>
      <c r="I844" s="424"/>
      <c r="J844" s="424"/>
      <c r="K844" s="424"/>
      <c r="L844" s="424"/>
      <c r="M844" s="424"/>
      <c r="N844" s="424"/>
      <c r="O844" s="424"/>
      <c r="P844" s="424"/>
      <c r="Q844" s="424"/>
      <c r="R844" s="424"/>
      <c r="S844" s="424"/>
      <c r="T844" s="424"/>
      <c r="U844" s="424"/>
      <c r="V844" s="436" t="n">
        <f aca="false">AY849</f>
        <v>0</v>
      </c>
    </row>
    <row r="845" customFormat="false" ht="13.5" hidden="false" customHeight="false" outlineLevel="0" collapsed="false">
      <c r="A845" s="424"/>
      <c r="B845" s="424"/>
      <c r="C845" s="424"/>
      <c r="D845" s="424"/>
      <c r="E845" s="424"/>
      <c r="F845" s="424"/>
      <c r="G845" s="424"/>
      <c r="H845" s="424"/>
      <c r="I845" s="424"/>
      <c r="J845" s="424"/>
      <c r="K845" s="424"/>
      <c r="L845" s="424"/>
      <c r="M845" s="424"/>
      <c r="N845" s="424"/>
      <c r="O845" s="424"/>
      <c r="P845" s="424"/>
      <c r="Q845" s="424"/>
      <c r="R845" s="424"/>
      <c r="S845" s="424"/>
      <c r="T845" s="424"/>
      <c r="U845" s="424"/>
      <c r="V845" s="436" t="n">
        <f aca="false">AY850</f>
        <v>0</v>
      </c>
    </row>
    <row r="846" customFormat="false" ht="13.5" hidden="false" customHeight="false" outlineLevel="0" collapsed="false">
      <c r="A846" s="424"/>
      <c r="B846" s="424"/>
      <c r="C846" s="424"/>
      <c r="D846" s="424"/>
      <c r="E846" s="424"/>
      <c r="F846" s="424"/>
      <c r="G846" s="424"/>
      <c r="H846" s="424"/>
      <c r="I846" s="424"/>
      <c r="J846" s="424"/>
      <c r="K846" s="424"/>
      <c r="L846" s="424"/>
      <c r="M846" s="424"/>
      <c r="N846" s="424"/>
      <c r="O846" s="424"/>
      <c r="P846" s="424"/>
      <c r="Q846" s="424"/>
      <c r="R846" s="424"/>
      <c r="S846" s="424"/>
      <c r="T846" s="424"/>
      <c r="U846" s="424"/>
      <c r="V846" s="436" t="n">
        <f aca="false">AY851</f>
        <v>0</v>
      </c>
    </row>
    <row r="847" customFormat="false" ht="13.5" hidden="false" customHeight="false" outlineLevel="0" collapsed="false">
      <c r="A847" s="424"/>
      <c r="B847" s="424"/>
      <c r="C847" s="424"/>
      <c r="D847" s="424"/>
      <c r="E847" s="424"/>
      <c r="F847" s="424"/>
      <c r="G847" s="424"/>
      <c r="H847" s="424"/>
      <c r="I847" s="424"/>
      <c r="J847" s="424"/>
      <c r="K847" s="424"/>
      <c r="L847" s="424"/>
      <c r="M847" s="424"/>
      <c r="N847" s="424"/>
      <c r="O847" s="424"/>
      <c r="P847" s="424"/>
      <c r="Q847" s="424"/>
      <c r="R847" s="424"/>
      <c r="S847" s="424"/>
      <c r="T847" s="424"/>
      <c r="U847" s="424"/>
      <c r="V847" s="436" t="n">
        <f aca="false">AY852</f>
        <v>0</v>
      </c>
    </row>
    <row r="848" customFormat="false" ht="13.5" hidden="false" customHeight="false" outlineLevel="0" collapsed="false">
      <c r="A848" s="424"/>
      <c r="B848" s="424"/>
      <c r="C848" s="424"/>
      <c r="D848" s="424"/>
      <c r="E848" s="424"/>
      <c r="F848" s="424"/>
      <c r="G848" s="424"/>
      <c r="H848" s="424"/>
      <c r="I848" s="424"/>
      <c r="J848" s="424"/>
      <c r="K848" s="424"/>
      <c r="L848" s="424"/>
      <c r="M848" s="424"/>
      <c r="N848" s="424"/>
      <c r="O848" s="424"/>
      <c r="P848" s="424"/>
      <c r="Q848" s="424"/>
      <c r="R848" s="424"/>
      <c r="S848" s="424"/>
      <c r="T848" s="424"/>
      <c r="U848" s="424"/>
      <c r="V848" s="436" t="n">
        <f aca="false">AY853</f>
        <v>0</v>
      </c>
    </row>
    <row r="849" customFormat="false" ht="13.5" hidden="false" customHeight="false" outlineLevel="0" collapsed="false">
      <c r="A849" s="424"/>
      <c r="B849" s="424"/>
      <c r="C849" s="424"/>
      <c r="D849" s="424"/>
      <c r="E849" s="424"/>
      <c r="F849" s="424"/>
      <c r="G849" s="424"/>
      <c r="H849" s="424"/>
      <c r="I849" s="424"/>
      <c r="J849" s="424"/>
      <c r="K849" s="424"/>
      <c r="L849" s="424"/>
      <c r="M849" s="424"/>
      <c r="N849" s="424"/>
      <c r="O849" s="424"/>
      <c r="P849" s="424"/>
      <c r="Q849" s="424"/>
      <c r="R849" s="424"/>
      <c r="S849" s="424"/>
      <c r="T849" s="424"/>
      <c r="U849" s="424"/>
      <c r="V849" s="436" t="n">
        <f aca="false">AY854</f>
        <v>0</v>
      </c>
    </row>
    <row r="850" customFormat="false" ht="13.5" hidden="false" customHeight="false" outlineLevel="0" collapsed="false">
      <c r="A850" s="424"/>
      <c r="B850" s="424"/>
      <c r="C850" s="424"/>
      <c r="D850" s="424"/>
      <c r="E850" s="424"/>
      <c r="F850" s="424"/>
      <c r="G850" s="424"/>
      <c r="H850" s="424"/>
      <c r="I850" s="424"/>
      <c r="J850" s="424"/>
      <c r="K850" s="424"/>
      <c r="L850" s="424"/>
      <c r="M850" s="424"/>
      <c r="N850" s="424"/>
      <c r="O850" s="424"/>
      <c r="P850" s="424"/>
      <c r="Q850" s="424"/>
      <c r="R850" s="424"/>
      <c r="S850" s="424"/>
      <c r="T850" s="424"/>
      <c r="U850" s="424"/>
      <c r="V850" s="436" t="n">
        <f aca="false">AY855</f>
        <v>0</v>
      </c>
    </row>
    <row r="851" customFormat="false" ht="13.5" hidden="false" customHeight="false" outlineLevel="0" collapsed="false">
      <c r="A851" s="424"/>
      <c r="B851" s="424"/>
      <c r="C851" s="424"/>
      <c r="D851" s="424"/>
      <c r="E851" s="424"/>
      <c r="F851" s="424"/>
      <c r="G851" s="424"/>
      <c r="H851" s="424"/>
      <c r="I851" s="424"/>
      <c r="J851" s="424"/>
      <c r="K851" s="424"/>
      <c r="L851" s="424"/>
      <c r="M851" s="424"/>
      <c r="N851" s="424"/>
      <c r="O851" s="424"/>
      <c r="P851" s="424"/>
      <c r="Q851" s="424"/>
      <c r="R851" s="424"/>
      <c r="S851" s="424"/>
      <c r="T851" s="424"/>
      <c r="U851" s="424"/>
      <c r="V851" s="436" t="n">
        <f aca="false">AY856</f>
        <v>0</v>
      </c>
    </row>
    <row r="852" customFormat="false" ht="13.5" hidden="false" customHeight="false" outlineLevel="0" collapsed="false">
      <c r="A852" s="424"/>
      <c r="B852" s="424"/>
      <c r="C852" s="424"/>
      <c r="D852" s="424"/>
      <c r="E852" s="424"/>
      <c r="F852" s="424"/>
      <c r="G852" s="424"/>
      <c r="H852" s="424"/>
      <c r="I852" s="424"/>
      <c r="J852" s="424"/>
      <c r="K852" s="424"/>
      <c r="L852" s="424"/>
      <c r="M852" s="424"/>
      <c r="N852" s="424"/>
      <c r="O852" s="424"/>
      <c r="P852" s="424"/>
      <c r="Q852" s="424"/>
      <c r="R852" s="424"/>
      <c r="S852" s="424"/>
      <c r="T852" s="424"/>
      <c r="U852" s="424"/>
      <c r="V852" s="436" t="n">
        <f aca="false">AY857</f>
        <v>0</v>
      </c>
    </row>
    <row r="853" customFormat="false" ht="13.5" hidden="false" customHeight="false" outlineLevel="0" collapsed="false">
      <c r="A853" s="424"/>
      <c r="B853" s="424"/>
      <c r="C853" s="424"/>
      <c r="D853" s="424"/>
      <c r="E853" s="424"/>
      <c r="F853" s="424"/>
      <c r="G853" s="424"/>
      <c r="H853" s="424"/>
      <c r="I853" s="424"/>
      <c r="J853" s="424"/>
      <c r="K853" s="424"/>
      <c r="L853" s="424"/>
      <c r="M853" s="424"/>
      <c r="N853" s="424"/>
      <c r="O853" s="424"/>
      <c r="P853" s="424"/>
      <c r="Q853" s="424"/>
      <c r="R853" s="424"/>
      <c r="S853" s="424"/>
      <c r="T853" s="424"/>
      <c r="U853" s="424"/>
      <c r="V853" s="436" t="n">
        <f aca="false">AY858</f>
        <v>0</v>
      </c>
    </row>
    <row r="854" customFormat="false" ht="13.5" hidden="false" customHeight="false" outlineLevel="0" collapsed="false">
      <c r="A854" s="424"/>
      <c r="B854" s="424"/>
      <c r="C854" s="424"/>
      <c r="D854" s="424"/>
      <c r="E854" s="424"/>
      <c r="F854" s="424"/>
      <c r="G854" s="424"/>
      <c r="H854" s="424"/>
      <c r="I854" s="424"/>
      <c r="J854" s="424"/>
      <c r="K854" s="424"/>
      <c r="L854" s="424"/>
      <c r="M854" s="424"/>
      <c r="N854" s="424"/>
      <c r="O854" s="424"/>
      <c r="P854" s="424"/>
      <c r="Q854" s="424"/>
      <c r="R854" s="424"/>
      <c r="S854" s="424"/>
      <c r="T854" s="424"/>
      <c r="U854" s="424"/>
      <c r="V854" s="436" t="n">
        <f aca="false">AY859</f>
        <v>0</v>
      </c>
    </row>
    <row r="855" customFormat="false" ht="13.5" hidden="false" customHeight="false" outlineLevel="0" collapsed="false">
      <c r="A855" s="424"/>
      <c r="B855" s="424"/>
      <c r="C855" s="424"/>
      <c r="D855" s="424"/>
      <c r="E855" s="424"/>
      <c r="F855" s="424"/>
      <c r="G855" s="424"/>
      <c r="H855" s="424"/>
      <c r="I855" s="424"/>
      <c r="J855" s="424"/>
      <c r="K855" s="424"/>
      <c r="L855" s="424"/>
      <c r="M855" s="424"/>
      <c r="N855" s="424"/>
      <c r="O855" s="424"/>
      <c r="P855" s="424"/>
      <c r="Q855" s="424"/>
      <c r="R855" s="424"/>
      <c r="S855" s="424"/>
      <c r="T855" s="424"/>
      <c r="U855" s="424"/>
      <c r="V855" s="424"/>
    </row>
    <row r="856" customFormat="false" ht="13.5" hidden="false" customHeight="false" outlineLevel="0" collapsed="false">
      <c r="A856" s="424"/>
      <c r="B856" s="424"/>
      <c r="C856" s="424"/>
      <c r="D856" s="424"/>
      <c r="E856" s="424"/>
      <c r="F856" s="424"/>
      <c r="G856" s="424"/>
      <c r="H856" s="424"/>
      <c r="I856" s="424"/>
      <c r="J856" s="424"/>
      <c r="K856" s="424"/>
      <c r="L856" s="424"/>
      <c r="M856" s="424"/>
      <c r="N856" s="424"/>
      <c r="O856" s="424"/>
      <c r="P856" s="424"/>
      <c r="Q856" s="424"/>
      <c r="R856" s="424"/>
      <c r="S856" s="424"/>
      <c r="T856" s="424"/>
      <c r="U856" s="424"/>
      <c r="V856" s="424"/>
    </row>
    <row r="857" customFormat="false" ht="13.5" hidden="false" customHeight="false" outlineLevel="0" collapsed="false">
      <c r="A857" s="424"/>
      <c r="B857" s="424"/>
      <c r="C857" s="424"/>
      <c r="D857" s="424"/>
      <c r="E857" s="424"/>
      <c r="F857" s="424"/>
      <c r="G857" s="424"/>
      <c r="H857" s="424"/>
      <c r="I857" s="424"/>
      <c r="J857" s="424"/>
      <c r="K857" s="424"/>
      <c r="L857" s="424"/>
      <c r="M857" s="424"/>
      <c r="N857" s="424"/>
      <c r="O857" s="424"/>
      <c r="P857" s="424"/>
      <c r="Q857" s="424"/>
      <c r="R857" s="434" t="s">
        <v>400</v>
      </c>
      <c r="S857" s="424"/>
      <c r="T857" s="424"/>
      <c r="U857" s="424"/>
      <c r="V857" s="435" t="n">
        <f aca="false">SUM(V859:V891)</f>
        <v>0</v>
      </c>
    </row>
    <row r="858" customFormat="false" ht="13.5" hidden="false" customHeight="false" outlineLevel="0" collapsed="false">
      <c r="A858" s="424"/>
      <c r="B858" s="424"/>
      <c r="C858" s="424"/>
      <c r="D858" s="424"/>
      <c r="E858" s="424"/>
      <c r="F858" s="424"/>
      <c r="G858" s="424"/>
      <c r="H858" s="424"/>
      <c r="I858" s="424"/>
      <c r="J858" s="424"/>
      <c r="K858" s="424"/>
      <c r="L858" s="424"/>
      <c r="M858" s="424"/>
      <c r="N858" s="424"/>
      <c r="O858" s="424"/>
      <c r="P858" s="424"/>
      <c r="Q858" s="435" t="n">
        <v>0</v>
      </c>
      <c r="R858" s="424"/>
      <c r="S858" s="435" t="n">
        <v>0</v>
      </c>
      <c r="T858" s="424"/>
      <c r="U858" s="424"/>
      <c r="V858" s="436" t="n">
        <f aca="false">AY858</f>
        <v>0</v>
      </c>
    </row>
    <row r="859" customFormat="false" ht="13.5" hidden="false" customHeight="false" outlineLevel="0" collapsed="false">
      <c r="A859" s="424"/>
      <c r="B859" s="424"/>
      <c r="C859" s="424"/>
      <c r="D859" s="424"/>
      <c r="E859" s="424"/>
      <c r="F859" s="424"/>
      <c r="G859" s="424"/>
      <c r="H859" s="424"/>
      <c r="I859" s="424"/>
      <c r="J859" s="424"/>
      <c r="K859" s="424"/>
      <c r="L859" s="424"/>
      <c r="M859" s="424"/>
      <c r="N859" s="424"/>
      <c r="O859" s="424"/>
      <c r="P859" s="424"/>
      <c r="Q859" s="435" t="n">
        <v>1</v>
      </c>
      <c r="R859" s="434" t="s">
        <v>401</v>
      </c>
      <c r="S859" s="434" t="s">
        <v>402</v>
      </c>
      <c r="T859" s="434" t="s">
        <v>403</v>
      </c>
      <c r="U859" s="434" t="s">
        <v>404</v>
      </c>
      <c r="V859" s="436" t="n">
        <f aca="false">AY859</f>
        <v>0</v>
      </c>
    </row>
    <row r="860" customFormat="false" ht="13.5" hidden="false" customHeight="false" outlineLevel="0" collapsed="false">
      <c r="A860" s="424"/>
      <c r="B860" s="424"/>
      <c r="C860" s="424"/>
      <c r="D860" s="424"/>
      <c r="E860" s="424"/>
      <c r="F860" s="424"/>
      <c r="G860" s="424"/>
      <c r="H860" s="424"/>
      <c r="I860" s="424"/>
      <c r="J860" s="424"/>
      <c r="K860" s="424"/>
      <c r="L860" s="424"/>
      <c r="M860" s="424"/>
      <c r="N860" s="424"/>
      <c r="O860" s="424"/>
      <c r="P860" s="424"/>
      <c r="Q860" s="435" t="n">
        <v>2</v>
      </c>
      <c r="R860" s="434" t="s">
        <v>405</v>
      </c>
      <c r="S860" s="434" t="s">
        <v>406</v>
      </c>
      <c r="T860" s="434" t="s">
        <v>407</v>
      </c>
      <c r="U860" s="434" t="s">
        <v>408</v>
      </c>
      <c r="V860" s="436" t="n">
        <f aca="false">AY860</f>
        <v>0</v>
      </c>
    </row>
    <row r="861" customFormat="false" ht="13.5" hidden="false" customHeight="false" outlineLevel="0" collapsed="false">
      <c r="A861" s="424"/>
      <c r="B861" s="424"/>
      <c r="C861" s="424"/>
      <c r="D861" s="424"/>
      <c r="E861" s="424"/>
      <c r="F861" s="424"/>
      <c r="G861" s="424"/>
      <c r="H861" s="424"/>
      <c r="I861" s="424"/>
      <c r="J861" s="424"/>
      <c r="K861" s="424"/>
      <c r="L861" s="424"/>
      <c r="M861" s="424"/>
      <c r="N861" s="424"/>
      <c r="O861" s="424"/>
      <c r="P861" s="424"/>
      <c r="Q861" s="435" t="n">
        <v>3</v>
      </c>
      <c r="R861" s="434" t="s">
        <v>409</v>
      </c>
      <c r="S861" s="434" t="s">
        <v>410</v>
      </c>
      <c r="T861" s="434" t="s">
        <v>411</v>
      </c>
      <c r="U861" s="434" t="s">
        <v>412</v>
      </c>
      <c r="V861" s="436" t="n">
        <f aca="false">AY861</f>
        <v>0</v>
      </c>
    </row>
    <row r="862" customFormat="false" ht="13.5" hidden="false" customHeight="false" outlineLevel="0" collapsed="false">
      <c r="A862" s="424"/>
      <c r="B862" s="424"/>
      <c r="C862" s="424"/>
      <c r="D862" s="424"/>
      <c r="E862" s="424"/>
      <c r="F862" s="424"/>
      <c r="G862" s="424"/>
      <c r="H862" s="424"/>
      <c r="I862" s="424"/>
      <c r="J862" s="424"/>
      <c r="K862" s="424"/>
      <c r="L862" s="424"/>
      <c r="M862" s="424"/>
      <c r="N862" s="424"/>
      <c r="O862" s="424"/>
      <c r="P862" s="424"/>
      <c r="Q862" s="435" t="n">
        <v>4</v>
      </c>
      <c r="R862" s="434" t="s">
        <v>413</v>
      </c>
      <c r="S862" s="434" t="s">
        <v>414</v>
      </c>
      <c r="T862" s="434" t="s">
        <v>415</v>
      </c>
      <c r="U862" s="434" t="s">
        <v>416</v>
      </c>
      <c r="V862" s="436" t="n">
        <f aca="false">AY862</f>
        <v>0</v>
      </c>
    </row>
    <row r="863" customFormat="false" ht="13.5" hidden="false" customHeight="false" outlineLevel="0" collapsed="false">
      <c r="A863" s="424"/>
      <c r="B863" s="424"/>
      <c r="C863" s="424"/>
      <c r="D863" s="424"/>
      <c r="E863" s="424"/>
      <c r="F863" s="424"/>
      <c r="G863" s="424"/>
      <c r="H863" s="424"/>
      <c r="I863" s="424"/>
      <c r="J863" s="424"/>
      <c r="K863" s="424"/>
      <c r="L863" s="424"/>
      <c r="M863" s="424"/>
      <c r="N863" s="424"/>
      <c r="O863" s="424"/>
      <c r="P863" s="438" t="s">
        <v>417</v>
      </c>
      <c r="Q863" s="435" t="n">
        <v>5</v>
      </c>
      <c r="R863" s="434" t="s">
        <v>418</v>
      </c>
      <c r="S863" s="434" t="s">
        <v>419</v>
      </c>
      <c r="T863" s="434" t="s">
        <v>420</v>
      </c>
      <c r="U863" s="434" t="s">
        <v>421</v>
      </c>
      <c r="V863" s="436" t="n">
        <f aca="false">AY863</f>
        <v>0</v>
      </c>
    </row>
    <row r="864" customFormat="false" ht="13.5" hidden="false" customHeight="false" outlineLevel="0" collapsed="false">
      <c r="A864" s="424"/>
      <c r="B864" s="424"/>
      <c r="C864" s="424"/>
      <c r="D864" s="424"/>
      <c r="E864" s="424"/>
      <c r="F864" s="424"/>
      <c r="G864" s="424"/>
      <c r="H864" s="424"/>
      <c r="I864" s="424"/>
      <c r="J864" s="424"/>
      <c r="K864" s="424"/>
      <c r="L864" s="424"/>
      <c r="M864" s="424"/>
      <c r="N864" s="424"/>
      <c r="O864" s="424"/>
      <c r="P864" s="438" t="s">
        <v>417</v>
      </c>
      <c r="Q864" s="435" t="n">
        <v>6</v>
      </c>
      <c r="R864" s="434" t="s">
        <v>422</v>
      </c>
      <c r="S864" s="434" t="s">
        <v>423</v>
      </c>
      <c r="T864" s="434" t="s">
        <v>424</v>
      </c>
      <c r="U864" s="434" t="s">
        <v>425</v>
      </c>
      <c r="V864" s="436" t="n">
        <f aca="false">AY864</f>
        <v>0</v>
      </c>
    </row>
    <row r="865" customFormat="false" ht="13.5" hidden="false" customHeight="false" outlineLevel="0" collapsed="false">
      <c r="A865" s="424"/>
      <c r="B865" s="424"/>
      <c r="C865" s="424"/>
      <c r="D865" s="424"/>
      <c r="E865" s="424"/>
      <c r="F865" s="424"/>
      <c r="G865" s="424"/>
      <c r="H865" s="424"/>
      <c r="I865" s="424"/>
      <c r="J865" s="424"/>
      <c r="K865" s="424"/>
      <c r="L865" s="424"/>
      <c r="M865" s="424"/>
      <c r="N865" s="424"/>
      <c r="O865" s="424"/>
      <c r="P865" s="438" t="s">
        <v>417</v>
      </c>
      <c r="Q865" s="435" t="n">
        <v>7</v>
      </c>
      <c r="R865" s="434" t="s">
        <v>426</v>
      </c>
      <c r="S865" s="434" t="s">
        <v>427</v>
      </c>
      <c r="T865" s="434" t="s">
        <v>428</v>
      </c>
      <c r="U865" s="434" t="s">
        <v>429</v>
      </c>
      <c r="V865" s="436" t="n">
        <f aca="false">AY865</f>
        <v>0</v>
      </c>
    </row>
    <row r="866" customFormat="false" ht="13.5" hidden="false" customHeight="false" outlineLevel="0" collapsed="false">
      <c r="A866" s="424"/>
      <c r="B866" s="424"/>
      <c r="C866" s="424"/>
      <c r="D866" s="424"/>
      <c r="E866" s="424"/>
      <c r="F866" s="424"/>
      <c r="G866" s="424"/>
      <c r="H866" s="424"/>
      <c r="I866" s="424"/>
      <c r="J866" s="424"/>
      <c r="K866" s="424"/>
      <c r="L866" s="424"/>
      <c r="M866" s="424"/>
      <c r="N866" s="424"/>
      <c r="O866" s="424"/>
      <c r="P866" s="438" t="s">
        <v>417</v>
      </c>
      <c r="Q866" s="435" t="n">
        <v>8</v>
      </c>
      <c r="R866" s="434" t="s">
        <v>430</v>
      </c>
      <c r="S866" s="434" t="s">
        <v>431</v>
      </c>
      <c r="T866" s="434" t="s">
        <v>432</v>
      </c>
      <c r="U866" s="434" t="s">
        <v>433</v>
      </c>
      <c r="V866" s="436" t="n">
        <f aca="false">AY866</f>
        <v>0</v>
      </c>
    </row>
    <row r="867" customFormat="false" ht="13.5" hidden="false" customHeight="false" outlineLevel="0" collapsed="false">
      <c r="A867" s="424"/>
      <c r="B867" s="424"/>
      <c r="C867" s="424"/>
      <c r="D867" s="424"/>
      <c r="E867" s="424"/>
      <c r="F867" s="424"/>
      <c r="G867" s="424"/>
      <c r="H867" s="424"/>
      <c r="I867" s="424"/>
      <c r="J867" s="424"/>
      <c r="K867" s="424"/>
      <c r="L867" s="424"/>
      <c r="M867" s="424"/>
      <c r="N867" s="424"/>
      <c r="O867" s="424"/>
      <c r="P867" s="438" t="s">
        <v>417</v>
      </c>
      <c r="Q867" s="435" t="n">
        <v>9</v>
      </c>
      <c r="R867" s="434" t="s">
        <v>434</v>
      </c>
      <c r="S867" s="434" t="s">
        <v>435</v>
      </c>
      <c r="T867" s="434" t="s">
        <v>436</v>
      </c>
      <c r="U867" s="434" t="s">
        <v>437</v>
      </c>
      <c r="V867" s="436" t="n">
        <f aca="false">AY867</f>
        <v>0</v>
      </c>
    </row>
    <row r="868" customFormat="false" ht="13.5" hidden="false" customHeight="false" outlineLevel="0" collapsed="false">
      <c r="A868" s="424"/>
      <c r="B868" s="424"/>
      <c r="C868" s="424"/>
      <c r="D868" s="424"/>
      <c r="E868" s="424"/>
      <c r="F868" s="424"/>
      <c r="G868" s="424"/>
      <c r="H868" s="424"/>
      <c r="I868" s="424"/>
      <c r="J868" s="424"/>
      <c r="K868" s="424"/>
      <c r="L868" s="424"/>
      <c r="M868" s="424"/>
      <c r="N868" s="424"/>
      <c r="O868" s="424"/>
      <c r="P868" s="438" t="s">
        <v>417</v>
      </c>
      <c r="Q868" s="435" t="n">
        <v>10</v>
      </c>
      <c r="R868" s="434" t="s">
        <v>438</v>
      </c>
      <c r="S868" s="424"/>
      <c r="T868" s="434" t="s">
        <v>439</v>
      </c>
      <c r="U868" s="434" t="s">
        <v>440</v>
      </c>
      <c r="V868" s="436" t="n">
        <f aca="false">AY868</f>
        <v>0</v>
      </c>
    </row>
    <row r="869" customFormat="false" ht="13.5" hidden="false" customHeight="false" outlineLevel="0" collapsed="false">
      <c r="A869" s="424"/>
      <c r="B869" s="424"/>
      <c r="C869" s="424"/>
      <c r="D869" s="424"/>
      <c r="E869" s="424"/>
      <c r="F869" s="435" t="n">
        <f aca="false">TRUNC(+A871/1000000)</f>
        <v>3</v>
      </c>
      <c r="G869" s="424"/>
      <c r="H869" s="424"/>
      <c r="I869" s="424"/>
      <c r="J869" s="424"/>
      <c r="K869" s="424"/>
      <c r="L869" s="424"/>
      <c r="M869" s="424"/>
      <c r="N869" s="424"/>
      <c r="O869" s="424"/>
      <c r="P869" s="438" t="s">
        <v>417</v>
      </c>
      <c r="Q869" s="435" t="n">
        <v>11</v>
      </c>
      <c r="R869" s="434" t="s">
        <v>441</v>
      </c>
      <c r="S869" s="424"/>
      <c r="T869" s="434" t="s">
        <v>442</v>
      </c>
      <c r="U869" s="434" t="s">
        <v>443</v>
      </c>
      <c r="V869" s="436" t="n">
        <f aca="false">AY869</f>
        <v>0</v>
      </c>
    </row>
    <row r="870" customFormat="false" ht="13.5" hidden="false" customHeight="false" outlineLevel="0" collapsed="false">
      <c r="A870" s="424"/>
      <c r="B870" s="424"/>
      <c r="C870" s="424"/>
      <c r="D870" s="424"/>
      <c r="E870" s="424"/>
      <c r="F870" s="435" t="e">
        <f aca="false">(+B874*100000+C874*1000+E874*100)</f>
        <v>#VALUE!</v>
      </c>
      <c r="G870" s="424"/>
      <c r="H870" s="424"/>
      <c r="I870" s="424"/>
      <c r="J870" s="424"/>
      <c r="K870" s="424"/>
      <c r="L870" s="434" t="s">
        <v>444</v>
      </c>
      <c r="M870" s="424"/>
      <c r="N870" s="424"/>
      <c r="O870" s="424"/>
      <c r="P870" s="438" t="s">
        <v>417</v>
      </c>
      <c r="Q870" s="435" t="n">
        <v>12</v>
      </c>
      <c r="R870" s="434" t="s">
        <v>445</v>
      </c>
      <c r="S870" s="424"/>
      <c r="T870" s="434" t="s">
        <v>446</v>
      </c>
      <c r="U870" s="434" t="s">
        <v>447</v>
      </c>
      <c r="V870" s="436" t="n">
        <f aca="false">AY870</f>
        <v>0</v>
      </c>
    </row>
    <row r="871" customFormat="false" ht="13.5" hidden="false" customHeight="false" outlineLevel="0" collapsed="false">
      <c r="A871" s="436" t="n">
        <f aca="false">TRUNC(+A872)</f>
        <v>3177777</v>
      </c>
      <c r="B871" s="424"/>
      <c r="C871" s="424"/>
      <c r="D871" s="424"/>
      <c r="E871" s="440" t="n">
        <f aca="false">TRUNC(+A871/100000000)</f>
        <v>0</v>
      </c>
      <c r="F871" s="424"/>
      <c r="G871" s="424"/>
      <c r="H871" s="424"/>
      <c r="I871" s="424"/>
      <c r="J871" s="424"/>
      <c r="K871" s="424"/>
      <c r="L871" s="424"/>
      <c r="M871" s="424"/>
      <c r="N871" s="424"/>
      <c r="O871" s="424"/>
      <c r="P871" s="438" t="s">
        <v>417</v>
      </c>
      <c r="Q871" s="435" t="n">
        <v>13</v>
      </c>
      <c r="R871" s="434" t="s">
        <v>448</v>
      </c>
      <c r="S871" s="424"/>
      <c r="T871" s="434" t="s">
        <v>449</v>
      </c>
      <c r="U871" s="434" t="s">
        <v>450</v>
      </c>
      <c r="V871" s="436" t="n">
        <f aca="false">AY871</f>
        <v>0</v>
      </c>
    </row>
    <row r="872" customFormat="false" ht="13.5" hidden="false" customHeight="false" outlineLevel="0" collapsed="false">
      <c r="A872" s="441" t="n">
        <f aca="false">'[2]Form Data'!BC2</f>
        <v>3177777.77777778</v>
      </c>
      <c r="B872" s="434" t="s">
        <v>451</v>
      </c>
      <c r="C872" s="434" t="s">
        <v>452</v>
      </c>
      <c r="D872" s="424"/>
      <c r="E872" s="434" t="s">
        <v>452</v>
      </c>
      <c r="F872" s="424"/>
      <c r="G872" s="424"/>
      <c r="H872" s="424"/>
      <c r="I872" s="440" t="n">
        <f aca="false">TRUNC((+A871-(+F869*1000000))/1000)</f>
        <v>177</v>
      </c>
      <c r="J872" s="424"/>
      <c r="K872" s="440" t="n">
        <f aca="false">(TRUNC((+A871-(+F869*1000000))/1))-I872*1000</f>
        <v>777</v>
      </c>
      <c r="L872" s="424"/>
      <c r="M872" s="424"/>
      <c r="N872" s="424"/>
      <c r="O872" s="424"/>
      <c r="P872" s="438" t="s">
        <v>417</v>
      </c>
      <c r="Q872" s="435" t="n">
        <v>14</v>
      </c>
      <c r="R872" s="434" t="s">
        <v>453</v>
      </c>
      <c r="S872" s="424"/>
      <c r="T872" s="434" t="s">
        <v>454</v>
      </c>
      <c r="U872" s="434" t="s">
        <v>455</v>
      </c>
      <c r="V872" s="436" t="n">
        <f aca="false">AY872</f>
        <v>0</v>
      </c>
    </row>
    <row r="873" customFormat="false" ht="13.5" hidden="false" customHeight="false" outlineLevel="0" collapsed="false">
      <c r="A873" s="424"/>
      <c r="B873" s="442" t="s">
        <v>712</v>
      </c>
      <c r="C873" s="442" t="s">
        <v>712</v>
      </c>
      <c r="D873" s="424"/>
      <c r="E873" s="442" t="s">
        <v>456</v>
      </c>
      <c r="F873" s="424"/>
      <c r="G873" s="424"/>
      <c r="H873" s="424"/>
      <c r="I873" s="424"/>
      <c r="J873" s="424"/>
      <c r="K873" s="424"/>
      <c r="L873" s="424"/>
      <c r="M873" s="424"/>
      <c r="N873" s="440" t="n">
        <f aca="false">ROUND(((+A872-A871)*100),1)</f>
        <v>77.8</v>
      </c>
      <c r="O873" s="424"/>
      <c r="P873" s="438" t="s">
        <v>417</v>
      </c>
      <c r="Q873" s="435" t="n">
        <v>15</v>
      </c>
      <c r="R873" s="434" t="s">
        <v>457</v>
      </c>
      <c r="S873" s="424"/>
      <c r="T873" s="434" t="s">
        <v>458</v>
      </c>
      <c r="U873" s="434" t="s">
        <v>459</v>
      </c>
      <c r="V873" s="436" t="n">
        <f aca="false">AY873</f>
        <v>0</v>
      </c>
    </row>
    <row r="874" customFormat="false" ht="13.5" hidden="false" customHeight="false" outlineLevel="0" collapsed="false">
      <c r="A874" s="424"/>
      <c r="B874" s="440" t="n">
        <f aca="false">TRUNC(+A872/100000000000)</f>
        <v>0</v>
      </c>
      <c r="C874" s="440" t="n">
        <f aca="false">(TRUNC(+A871/1000000000))-B874*100</f>
        <v>0</v>
      </c>
      <c r="D874" s="424"/>
      <c r="E874" s="435" t="str">
        <f aca="false">IF(E871&gt;0,TRUNC(+E871-B874*1000-C874*10),"")</f>
        <v/>
      </c>
      <c r="F874" s="435" t="e">
        <f aca="false">F869-F870</f>
        <v>#VALUE!</v>
      </c>
      <c r="G874" s="435" t="e">
        <f aca="false">G876</f>
        <v>#VALUE!</v>
      </c>
      <c r="H874" s="440" t="n">
        <f aca="false">TRUNC((+A871-(+F869*1000000))/100000)</f>
        <v>1</v>
      </c>
      <c r="I874" s="440" t="n">
        <f aca="false">I872-H874*100</f>
        <v>77</v>
      </c>
      <c r="J874" s="424"/>
      <c r="K874" s="440" t="n">
        <f aca="false">TRUNC(+K872/100)</f>
        <v>7</v>
      </c>
      <c r="L874" s="440" t="n">
        <f aca="false">K872-K874*100</f>
        <v>77</v>
      </c>
      <c r="M874" s="440" t="str">
        <f aca="false">IF(N874&gt;0," &amp; Sen ","")</f>
        <v> &amp; Sen </v>
      </c>
      <c r="N874" s="435" t="n">
        <f aca="false">N873</f>
        <v>77.8</v>
      </c>
      <c r="O874" s="424"/>
      <c r="P874" s="438" t="s">
        <v>417</v>
      </c>
      <c r="Q874" s="435" t="n">
        <v>16</v>
      </c>
      <c r="R874" s="434" t="s">
        <v>460</v>
      </c>
      <c r="S874" s="424"/>
      <c r="T874" s="434" t="s">
        <v>461</v>
      </c>
      <c r="U874" s="434" t="s">
        <v>462</v>
      </c>
      <c r="V874" s="436" t="n">
        <f aca="false">AY874</f>
        <v>0</v>
      </c>
    </row>
    <row r="875" customFormat="false" ht="13.5" hidden="false" customHeight="false" outlineLevel="0" collapsed="false">
      <c r="A875" s="424"/>
      <c r="B875" s="424"/>
      <c r="C875" s="424"/>
      <c r="D875" s="424"/>
      <c r="E875" s="424"/>
      <c r="F875" s="424"/>
      <c r="G875" s="424"/>
      <c r="H875" s="424"/>
      <c r="I875" s="424"/>
      <c r="J875" s="424"/>
      <c r="K875" s="424"/>
      <c r="L875" s="424"/>
      <c r="M875" s="424"/>
      <c r="N875" s="424"/>
      <c r="O875" s="424"/>
      <c r="P875" s="438" t="s">
        <v>417</v>
      </c>
      <c r="Q875" s="435" t="n">
        <v>17</v>
      </c>
      <c r="R875" s="434" t="s">
        <v>463</v>
      </c>
      <c r="S875" s="424"/>
      <c r="T875" s="434" t="s">
        <v>464</v>
      </c>
      <c r="U875" s="434" t="s">
        <v>465</v>
      </c>
      <c r="V875" s="436" t="n">
        <f aca="false">AY875</f>
        <v>0</v>
      </c>
    </row>
    <row r="876" customFormat="false" ht="13.5" hidden="false" customHeight="false" outlineLevel="0" collapsed="false">
      <c r="A876" s="440" t="n">
        <f aca="false">B874*100000000000</f>
        <v>0</v>
      </c>
      <c r="B876" s="440" t="str">
        <f aca="false">IF(B874&gt;0,VLOOKUP(B874,$Q$7:$T$15,3),"")</f>
        <v/>
      </c>
      <c r="C876" s="440" t="str">
        <f aca="false">IF(C874&gt;0,VLOOKUP(C874,Q859:R957,2),"")</f>
        <v/>
      </c>
      <c r="D876" s="440" t="str">
        <f aca="false">IF(B871+C874&gt;0," Milyar ","")</f>
        <v/>
      </c>
      <c r="E876" s="440" t="e">
        <f aca="false">IF(E874&gt;0,VLOOKUP(E874,$Q$7:$T$15,3),"")</f>
        <v>#N/A</v>
      </c>
      <c r="F876" s="440" t="e">
        <f aca="false">IF(F874&gt;0,VLOOKUP(F874,Q859:R957,2),"")</f>
        <v>#VALUE!</v>
      </c>
      <c r="G876" s="435" t="e">
        <f aca="false">IF(F874+E874&gt;0," Juta","")</f>
        <v>#VALUE!</v>
      </c>
      <c r="H876" s="440" t="str">
        <f aca="false">IF(H874&gt;0,VLOOKUP(H874,$Q$7:$T$15,3),"")</f>
        <v> Seratus</v>
      </c>
      <c r="I876" s="440" t="str">
        <f aca="false">IF(I874=1," Se",IF(I874=0,"",VLOOKUP(I874,Q859:R957,2)))</f>
        <v> Tujuh puluh tujuh</v>
      </c>
      <c r="J876" s="435" t="str">
        <f aca="false">IF(I874+H874&gt;0," ribu","")</f>
        <v> ribu</v>
      </c>
      <c r="K876" s="440" t="str">
        <f aca="false">IF(K874&gt;0,VLOOKUP(K874,Q859:S867,3),"")</f>
        <v> Tujuh ratus</v>
      </c>
      <c r="L876" s="440" t="str">
        <f aca="false">IF(L874&gt;0,VLOOKUP(L874,Q859:R957,2),"")</f>
        <v> Tujuh puluh tujuh</v>
      </c>
      <c r="M876" s="440" t="str">
        <f aca="false">IF(N874&gt;0,VLOOKUP(N873,Q858:U957,5)," Dollar ")</f>
        <v> &amp; 77/100</v>
      </c>
      <c r="N876" s="424"/>
      <c r="O876" s="435" t="str">
        <f aca="false">IF(N874&gt;0," ====","")</f>
        <v> ====</v>
      </c>
      <c r="P876" s="435" t="str">
        <f aca="false">IF(N874&gt;0,"-","====")</f>
        <v>-</v>
      </c>
      <c r="Q876" s="435" t="n">
        <v>18</v>
      </c>
      <c r="R876" s="434" t="s">
        <v>466</v>
      </c>
      <c r="S876" s="424"/>
      <c r="T876" s="434" t="s">
        <v>467</v>
      </c>
      <c r="U876" s="434" t="s">
        <v>468</v>
      </c>
      <c r="V876" s="436" t="n">
        <f aca="false">AY876</f>
        <v>0</v>
      </c>
    </row>
    <row r="877" customFormat="false" ht="13.5" hidden="false" customHeight="false" outlineLevel="0" collapsed="false">
      <c r="A877" s="440"/>
      <c r="B877" s="435" t="str">
        <f aca="false">B876</f>
        <v/>
      </c>
      <c r="C877" s="424"/>
      <c r="D877" s="424"/>
      <c r="E877" s="424"/>
      <c r="F877" s="424"/>
      <c r="G877" s="424"/>
      <c r="H877" s="424"/>
      <c r="I877" s="424"/>
      <c r="J877" s="424"/>
      <c r="K877" s="424"/>
      <c r="L877" s="424"/>
      <c r="M877" s="424"/>
      <c r="N877" s="424"/>
      <c r="O877" s="424"/>
      <c r="P877" s="438" t="s">
        <v>417</v>
      </c>
      <c r="Q877" s="435" t="n">
        <v>19</v>
      </c>
      <c r="R877" s="434" t="s">
        <v>469</v>
      </c>
      <c r="S877" s="424"/>
      <c r="T877" s="434" t="s">
        <v>470</v>
      </c>
      <c r="U877" s="434" t="s">
        <v>471</v>
      </c>
      <c r="V877" s="436" t="n">
        <f aca="false">AY882</f>
        <v>0</v>
      </c>
    </row>
    <row r="878" customFormat="false" ht="13.5" hidden="false" customHeight="false" outlineLevel="0" collapsed="false">
      <c r="A878" s="440"/>
      <c r="B878" s="435" t="str">
        <f aca="false">C876</f>
        <v/>
      </c>
      <c r="C878" s="424"/>
      <c r="D878" s="424"/>
      <c r="E878" s="424"/>
      <c r="F878" s="424"/>
      <c r="G878" s="424"/>
      <c r="H878" s="424"/>
      <c r="I878" s="424"/>
      <c r="J878" s="424"/>
      <c r="K878" s="424"/>
      <c r="L878" s="424"/>
      <c r="M878" s="424"/>
      <c r="N878" s="424"/>
      <c r="O878" s="424"/>
      <c r="P878" s="438" t="s">
        <v>417</v>
      </c>
      <c r="Q878" s="435" t="n">
        <v>20</v>
      </c>
      <c r="R878" s="434" t="s">
        <v>472</v>
      </c>
      <c r="S878" s="424"/>
      <c r="T878" s="434" t="s">
        <v>473</v>
      </c>
      <c r="U878" s="434" t="s">
        <v>474</v>
      </c>
      <c r="V878" s="436" t="n">
        <f aca="false">AY883</f>
        <v>0</v>
      </c>
    </row>
    <row r="879" customFormat="false" ht="13.5" hidden="false" customHeight="false" outlineLevel="0" collapsed="false">
      <c r="A879" s="440"/>
      <c r="B879" s="435" t="str">
        <f aca="false">D876</f>
        <v/>
      </c>
      <c r="C879" s="424"/>
      <c r="D879" s="424"/>
      <c r="E879" s="424"/>
      <c r="F879" s="424"/>
      <c r="G879" s="424"/>
      <c r="H879" s="424"/>
      <c r="I879" s="424"/>
      <c r="J879" s="424"/>
      <c r="K879" s="424"/>
      <c r="L879" s="424"/>
      <c r="M879" s="424"/>
      <c r="N879" s="424"/>
      <c r="O879" s="424"/>
      <c r="P879" s="438" t="s">
        <v>417</v>
      </c>
      <c r="Q879" s="435" t="n">
        <v>21</v>
      </c>
      <c r="R879" s="434" t="s">
        <v>475</v>
      </c>
      <c r="S879" s="424"/>
      <c r="T879" s="434" t="s">
        <v>476</v>
      </c>
      <c r="U879" s="434" t="s">
        <v>477</v>
      </c>
      <c r="V879" s="436" t="n">
        <f aca="false">AY884</f>
        <v>0</v>
      </c>
    </row>
    <row r="880" customFormat="false" ht="13.5" hidden="false" customHeight="false" outlineLevel="0" collapsed="false">
      <c r="A880" s="440"/>
      <c r="B880" s="435" t="e">
        <f aca="false">E876</f>
        <v>#N/A</v>
      </c>
      <c r="C880" s="424"/>
      <c r="D880" s="424"/>
      <c r="E880" s="424"/>
      <c r="F880" s="424"/>
      <c r="G880" s="424"/>
      <c r="H880" s="424"/>
      <c r="I880" s="424"/>
      <c r="J880" s="424"/>
      <c r="K880" s="424"/>
      <c r="L880" s="424"/>
      <c r="M880" s="424"/>
      <c r="N880" s="424"/>
      <c r="O880" s="424"/>
      <c r="P880" s="424"/>
      <c r="Q880" s="435" t="n">
        <v>22</v>
      </c>
      <c r="R880" s="434" t="s">
        <v>478</v>
      </c>
      <c r="S880" s="424"/>
      <c r="T880" s="434" t="s">
        <v>479</v>
      </c>
      <c r="U880" s="434" t="s">
        <v>480</v>
      </c>
      <c r="V880" s="436" t="n">
        <f aca="false">AY885</f>
        <v>0</v>
      </c>
    </row>
    <row r="881" customFormat="false" ht="13.5" hidden="false" customHeight="false" outlineLevel="0" collapsed="false">
      <c r="A881" s="440"/>
      <c r="B881" s="435" t="e">
        <f aca="false">F876</f>
        <v>#VALUE!</v>
      </c>
      <c r="C881" s="424"/>
      <c r="D881" s="424"/>
      <c r="E881" s="424"/>
      <c r="F881" s="424"/>
      <c r="G881" s="424"/>
      <c r="H881" s="424"/>
      <c r="I881" s="424"/>
      <c r="J881" s="424"/>
      <c r="K881" s="424"/>
      <c r="L881" s="424"/>
      <c r="M881" s="424"/>
      <c r="N881" s="424"/>
      <c r="O881" s="424"/>
      <c r="P881" s="438" t="s">
        <v>417</v>
      </c>
      <c r="Q881" s="435" t="n">
        <v>23</v>
      </c>
      <c r="R881" s="434" t="s">
        <v>481</v>
      </c>
      <c r="S881" s="424"/>
      <c r="T881" s="434" t="s">
        <v>482</v>
      </c>
      <c r="U881" s="434" t="s">
        <v>483</v>
      </c>
      <c r="V881" s="436" t="n">
        <f aca="false">AY886</f>
        <v>0</v>
      </c>
    </row>
    <row r="882" customFormat="false" ht="13.5" hidden="false" customHeight="false" outlineLevel="0" collapsed="false">
      <c r="A882" s="424"/>
      <c r="B882" s="424"/>
      <c r="C882" s="424"/>
      <c r="D882" s="424"/>
      <c r="E882" s="424"/>
      <c r="F882" s="424"/>
      <c r="G882" s="424"/>
      <c r="H882" s="424"/>
      <c r="I882" s="424"/>
      <c r="J882" s="424"/>
      <c r="K882" s="424"/>
      <c r="L882" s="424"/>
      <c r="M882" s="424"/>
      <c r="N882" s="424"/>
      <c r="O882" s="424"/>
      <c r="P882" s="438" t="s">
        <v>417</v>
      </c>
      <c r="Q882" s="435" t="n">
        <v>24</v>
      </c>
      <c r="R882" s="434" t="s">
        <v>484</v>
      </c>
      <c r="S882" s="424"/>
      <c r="T882" s="434" t="s">
        <v>485</v>
      </c>
      <c r="U882" s="434" t="s">
        <v>486</v>
      </c>
      <c r="V882" s="436" t="n">
        <f aca="false">AY887</f>
        <v>0</v>
      </c>
    </row>
    <row r="883" customFormat="false" ht="13.5" hidden="false" customHeight="false" outlineLevel="0" collapsed="false">
      <c r="A883" s="424"/>
      <c r="B883" s="424"/>
      <c r="C883" s="424"/>
      <c r="D883" s="424"/>
      <c r="E883" s="424"/>
      <c r="F883" s="424"/>
      <c r="G883" s="424"/>
      <c r="H883" s="424"/>
      <c r="I883" s="424"/>
      <c r="J883" s="424"/>
      <c r="K883" s="424"/>
      <c r="L883" s="424"/>
      <c r="M883" s="424"/>
      <c r="N883" s="424"/>
      <c r="O883" s="424"/>
      <c r="P883" s="438" t="s">
        <v>417</v>
      </c>
      <c r="Q883" s="435" t="n">
        <v>25</v>
      </c>
      <c r="R883" s="434" t="s">
        <v>487</v>
      </c>
      <c r="S883" s="424"/>
      <c r="T883" s="434" t="s">
        <v>488</v>
      </c>
      <c r="U883" s="434" t="s">
        <v>489</v>
      </c>
      <c r="V883" s="436" t="n">
        <f aca="false">AY888</f>
        <v>0</v>
      </c>
    </row>
    <row r="884" customFormat="false" ht="13.5" hidden="false" customHeight="false" outlineLevel="0" collapsed="false">
      <c r="A884" s="424"/>
      <c r="B884" s="424"/>
      <c r="C884" s="424"/>
      <c r="D884" s="424"/>
      <c r="E884" s="424"/>
      <c r="F884" s="424"/>
      <c r="G884" s="424"/>
      <c r="H884" s="424"/>
      <c r="I884" s="424"/>
      <c r="J884" s="424"/>
      <c r="K884" s="424"/>
      <c r="L884" s="424"/>
      <c r="M884" s="424"/>
      <c r="N884" s="424"/>
      <c r="O884" s="424"/>
      <c r="P884" s="438" t="s">
        <v>417</v>
      </c>
      <c r="Q884" s="435" t="n">
        <v>26</v>
      </c>
      <c r="R884" s="434" t="s">
        <v>490</v>
      </c>
      <c r="S884" s="424"/>
      <c r="T884" s="434" t="s">
        <v>491</v>
      </c>
      <c r="U884" s="434" t="s">
        <v>492</v>
      </c>
      <c r="V884" s="436" t="n">
        <f aca="false">AY889</f>
        <v>0</v>
      </c>
    </row>
    <row r="885" customFormat="false" ht="13.5" hidden="false" customHeight="false" outlineLevel="0" collapsed="false">
      <c r="A885" s="424"/>
      <c r="B885" s="424"/>
      <c r="C885" s="424"/>
      <c r="D885" s="424"/>
      <c r="E885" s="424"/>
      <c r="F885" s="424"/>
      <c r="G885" s="424"/>
      <c r="H885" s="424"/>
      <c r="I885" s="424"/>
      <c r="J885" s="424"/>
      <c r="K885" s="424"/>
      <c r="L885" s="424"/>
      <c r="M885" s="424"/>
      <c r="N885" s="424"/>
      <c r="O885" s="424"/>
      <c r="P885" s="424"/>
      <c r="Q885" s="435" t="n">
        <v>27</v>
      </c>
      <c r="R885" s="434" t="s">
        <v>493</v>
      </c>
      <c r="S885" s="424"/>
      <c r="T885" s="434" t="s">
        <v>494</v>
      </c>
      <c r="U885" s="434" t="s">
        <v>495</v>
      </c>
      <c r="V885" s="436" t="n">
        <f aca="false">AY890</f>
        <v>0</v>
      </c>
    </row>
    <row r="886" customFormat="false" ht="13.5" hidden="false" customHeight="false" outlineLevel="0" collapsed="false">
      <c r="A886" s="424"/>
      <c r="B886" s="424"/>
      <c r="C886" s="424"/>
      <c r="D886" s="424"/>
      <c r="E886" s="424"/>
      <c r="F886" s="424"/>
      <c r="G886" s="424"/>
      <c r="H886" s="424"/>
      <c r="I886" s="424"/>
      <c r="J886" s="424"/>
      <c r="K886" s="424"/>
      <c r="L886" s="424"/>
      <c r="M886" s="424"/>
      <c r="N886" s="424"/>
      <c r="O886" s="424"/>
      <c r="P886" s="424"/>
      <c r="Q886" s="435" t="n">
        <v>28</v>
      </c>
      <c r="R886" s="434" t="s">
        <v>496</v>
      </c>
      <c r="S886" s="424"/>
      <c r="T886" s="434" t="s">
        <v>497</v>
      </c>
      <c r="U886" s="434" t="s">
        <v>498</v>
      </c>
      <c r="V886" s="436" t="n">
        <f aca="false">AY891</f>
        <v>0</v>
      </c>
    </row>
    <row r="887" customFormat="false" ht="13.5" hidden="false" customHeight="false" outlineLevel="0" collapsed="false">
      <c r="A887" s="424"/>
      <c r="B887" s="424"/>
      <c r="C887" s="424"/>
      <c r="D887" s="424"/>
      <c r="E887" s="424"/>
      <c r="F887" s="424"/>
      <c r="G887" s="424"/>
      <c r="H887" s="424"/>
      <c r="I887" s="424"/>
      <c r="J887" s="424"/>
      <c r="K887" s="424"/>
      <c r="L887" s="424"/>
      <c r="M887" s="424"/>
      <c r="N887" s="424"/>
      <c r="O887" s="424"/>
      <c r="P887" s="424"/>
      <c r="Q887" s="435" t="n">
        <v>29</v>
      </c>
      <c r="R887" s="434" t="s">
        <v>499</v>
      </c>
      <c r="S887" s="424"/>
      <c r="T887" s="434" t="s">
        <v>500</v>
      </c>
      <c r="U887" s="434" t="s">
        <v>501</v>
      </c>
      <c r="V887" s="436" t="n">
        <f aca="false">AY892</f>
        <v>0</v>
      </c>
    </row>
    <row r="888" customFormat="false" ht="13.5" hidden="false" customHeight="false" outlineLevel="0" collapsed="false">
      <c r="A888" s="424"/>
      <c r="B888" s="424"/>
      <c r="C888" s="424"/>
      <c r="D888" s="424"/>
      <c r="E888" s="424"/>
      <c r="F888" s="424"/>
      <c r="G888" s="424"/>
      <c r="H888" s="424"/>
      <c r="I888" s="424"/>
      <c r="J888" s="424"/>
      <c r="K888" s="424"/>
      <c r="L888" s="424"/>
      <c r="M888" s="424"/>
      <c r="N888" s="424"/>
      <c r="O888" s="424"/>
      <c r="P888" s="424"/>
      <c r="Q888" s="435" t="n">
        <v>30</v>
      </c>
      <c r="R888" s="434" t="s">
        <v>502</v>
      </c>
      <c r="S888" s="424"/>
      <c r="T888" s="434" t="s">
        <v>503</v>
      </c>
      <c r="U888" s="434" t="s">
        <v>504</v>
      </c>
      <c r="V888" s="436" t="n">
        <f aca="false">AY893</f>
        <v>0</v>
      </c>
    </row>
    <row r="889" customFormat="false" ht="13.5" hidden="false" customHeight="false" outlineLevel="0" collapsed="false">
      <c r="A889" s="424"/>
      <c r="B889" s="424"/>
      <c r="C889" s="424"/>
      <c r="D889" s="424"/>
      <c r="E889" s="424"/>
      <c r="F889" s="424"/>
      <c r="G889" s="424"/>
      <c r="H889" s="424"/>
      <c r="I889" s="424"/>
      <c r="J889" s="424"/>
      <c r="K889" s="424"/>
      <c r="L889" s="424"/>
      <c r="M889" s="424"/>
      <c r="N889" s="424"/>
      <c r="O889" s="424"/>
      <c r="P889" s="424"/>
      <c r="Q889" s="435" t="n">
        <v>31</v>
      </c>
      <c r="R889" s="434" t="s">
        <v>505</v>
      </c>
      <c r="S889" s="424"/>
      <c r="T889" s="434" t="s">
        <v>506</v>
      </c>
      <c r="U889" s="434" t="s">
        <v>507</v>
      </c>
      <c r="V889" s="436" t="n">
        <f aca="false">AY894</f>
        <v>0</v>
      </c>
    </row>
    <row r="890" customFormat="false" ht="13.5" hidden="false" customHeight="false" outlineLevel="0" collapsed="false">
      <c r="A890" s="424"/>
      <c r="B890" s="424"/>
      <c r="C890" s="424"/>
      <c r="D890" s="424"/>
      <c r="E890" s="424"/>
      <c r="F890" s="424"/>
      <c r="G890" s="424"/>
      <c r="H890" s="424"/>
      <c r="I890" s="424"/>
      <c r="J890" s="424"/>
      <c r="K890" s="424"/>
      <c r="L890" s="424"/>
      <c r="M890" s="424"/>
      <c r="N890" s="424"/>
      <c r="O890" s="424"/>
      <c r="P890" s="424"/>
      <c r="Q890" s="435" t="n">
        <v>32</v>
      </c>
      <c r="R890" s="434" t="s">
        <v>508</v>
      </c>
      <c r="S890" s="424"/>
      <c r="T890" s="434" t="s">
        <v>509</v>
      </c>
      <c r="U890" s="434" t="s">
        <v>510</v>
      </c>
      <c r="V890" s="436" t="n">
        <f aca="false">AY895</f>
        <v>0</v>
      </c>
    </row>
    <row r="891" customFormat="false" ht="13.5" hidden="false" customHeight="false" outlineLevel="0" collapsed="false">
      <c r="A891" s="440"/>
      <c r="B891" s="435" t="e">
        <f aca="false">G876</f>
        <v>#VALUE!</v>
      </c>
      <c r="C891" s="424"/>
      <c r="D891" s="424"/>
      <c r="E891" s="424"/>
      <c r="F891" s="424"/>
      <c r="G891" s="424"/>
      <c r="H891" s="424"/>
      <c r="I891" s="424"/>
      <c r="J891" s="424"/>
      <c r="K891" s="424"/>
      <c r="L891" s="424"/>
      <c r="M891" s="424"/>
      <c r="N891" s="424"/>
      <c r="O891" s="424"/>
      <c r="P891" s="424"/>
      <c r="Q891" s="435" t="n">
        <v>33</v>
      </c>
      <c r="R891" s="434" t="s">
        <v>511</v>
      </c>
      <c r="S891" s="424"/>
      <c r="T891" s="434" t="s">
        <v>512</v>
      </c>
      <c r="U891" s="434" t="s">
        <v>513</v>
      </c>
      <c r="V891" s="436" t="n">
        <f aca="false">AY896</f>
        <v>0</v>
      </c>
    </row>
    <row r="892" customFormat="false" ht="13.5" hidden="false" customHeight="false" outlineLevel="0" collapsed="false">
      <c r="A892" s="440"/>
      <c r="B892" s="435" t="str">
        <f aca="false">H876</f>
        <v> Seratus</v>
      </c>
      <c r="C892" s="424"/>
      <c r="D892" s="424"/>
      <c r="E892" s="424"/>
      <c r="F892" s="424"/>
      <c r="G892" s="424"/>
      <c r="H892" s="424"/>
      <c r="I892" s="424"/>
      <c r="J892" s="424"/>
      <c r="K892" s="424"/>
      <c r="L892" s="424"/>
      <c r="M892" s="424"/>
      <c r="N892" s="424"/>
      <c r="O892" s="424"/>
      <c r="P892" s="424"/>
      <c r="Q892" s="435" t="n">
        <v>34</v>
      </c>
      <c r="R892" s="434" t="s">
        <v>514</v>
      </c>
      <c r="S892" s="424"/>
      <c r="T892" s="434" t="s">
        <v>515</v>
      </c>
      <c r="U892" s="434" t="s">
        <v>516</v>
      </c>
      <c r="V892" s="436" t="n">
        <f aca="false">AY897</f>
        <v>0</v>
      </c>
    </row>
    <row r="893" customFormat="false" ht="13.5" hidden="false" customHeight="false" outlineLevel="0" collapsed="false">
      <c r="A893" s="440"/>
      <c r="B893" s="435" t="str">
        <f aca="false">I876</f>
        <v> Tujuh puluh tujuh</v>
      </c>
      <c r="C893" s="424"/>
      <c r="D893" s="424"/>
      <c r="E893" s="424"/>
      <c r="F893" s="424"/>
      <c r="G893" s="424"/>
      <c r="H893" s="424"/>
      <c r="I893" s="424"/>
      <c r="J893" s="424"/>
      <c r="K893" s="424"/>
      <c r="L893" s="424"/>
      <c r="M893" s="424"/>
      <c r="N893" s="424"/>
      <c r="O893" s="424"/>
      <c r="P893" s="424"/>
      <c r="Q893" s="435" t="n">
        <v>35</v>
      </c>
      <c r="R893" s="434" t="s">
        <v>517</v>
      </c>
      <c r="S893" s="424"/>
      <c r="T893" s="434" t="s">
        <v>518</v>
      </c>
      <c r="U893" s="434" t="s">
        <v>519</v>
      </c>
      <c r="V893" s="436" t="n">
        <f aca="false">AY898</f>
        <v>0</v>
      </c>
    </row>
    <row r="894" customFormat="false" ht="13.5" hidden="false" customHeight="false" outlineLevel="0" collapsed="false">
      <c r="A894" s="440"/>
      <c r="B894" s="435" t="str">
        <f aca="false">J876</f>
        <v> ribu</v>
      </c>
      <c r="C894" s="424"/>
      <c r="D894" s="424"/>
      <c r="E894" s="424"/>
      <c r="F894" s="424"/>
      <c r="G894" s="424"/>
      <c r="H894" s="424"/>
      <c r="I894" s="424"/>
      <c r="J894" s="424"/>
      <c r="K894" s="424"/>
      <c r="L894" s="424"/>
      <c r="M894" s="424"/>
      <c r="N894" s="424"/>
      <c r="O894" s="424"/>
      <c r="P894" s="424"/>
      <c r="Q894" s="435" t="n">
        <v>36</v>
      </c>
      <c r="R894" s="434" t="s">
        <v>520</v>
      </c>
      <c r="S894" s="424"/>
      <c r="T894" s="434" t="s">
        <v>521</v>
      </c>
      <c r="U894" s="434" t="s">
        <v>522</v>
      </c>
      <c r="V894" s="436" t="n">
        <f aca="false">AY899</f>
        <v>0</v>
      </c>
    </row>
    <row r="895" customFormat="false" ht="13.5" hidden="false" customHeight="false" outlineLevel="0" collapsed="false">
      <c r="A895" s="440"/>
      <c r="B895" s="440" t="str">
        <f aca="false">K876</f>
        <v> Tujuh ratus</v>
      </c>
      <c r="C895" s="424"/>
      <c r="D895" s="424"/>
      <c r="E895" s="424"/>
      <c r="F895" s="424"/>
      <c r="G895" s="424"/>
      <c r="H895" s="424"/>
      <c r="I895" s="424"/>
      <c r="J895" s="424"/>
      <c r="K895" s="424"/>
      <c r="L895" s="424"/>
      <c r="M895" s="424"/>
      <c r="N895" s="424"/>
      <c r="O895" s="424"/>
      <c r="P895" s="424"/>
      <c r="Q895" s="435" t="n">
        <v>37</v>
      </c>
      <c r="R895" s="434" t="s">
        <v>523</v>
      </c>
      <c r="S895" s="424"/>
      <c r="T895" s="434" t="s">
        <v>524</v>
      </c>
      <c r="U895" s="434" t="s">
        <v>525</v>
      </c>
      <c r="V895" s="436" t="n">
        <f aca="false">AY900</f>
        <v>0</v>
      </c>
    </row>
    <row r="896" customFormat="false" ht="13.5" hidden="false" customHeight="false" outlineLevel="0" collapsed="false">
      <c r="A896" s="440"/>
      <c r="B896" s="435" t="str">
        <f aca="false">L876</f>
        <v> Tujuh puluh tujuh</v>
      </c>
      <c r="C896" s="424"/>
      <c r="D896" s="424"/>
      <c r="E896" s="424"/>
      <c r="F896" s="424"/>
      <c r="G896" s="424"/>
      <c r="H896" s="424"/>
      <c r="I896" s="424"/>
      <c r="J896" s="424"/>
      <c r="K896" s="424"/>
      <c r="L896" s="424"/>
      <c r="M896" s="424"/>
      <c r="N896" s="424"/>
      <c r="O896" s="424"/>
      <c r="P896" s="424"/>
      <c r="Q896" s="435" t="n">
        <v>38</v>
      </c>
      <c r="R896" s="434" t="s">
        <v>526</v>
      </c>
      <c r="S896" s="424"/>
      <c r="T896" s="434" t="s">
        <v>527</v>
      </c>
      <c r="U896" s="434" t="s">
        <v>528</v>
      </c>
      <c r="V896" s="436" t="n">
        <f aca="false">AY901</f>
        <v>0</v>
      </c>
    </row>
    <row r="897" customFormat="false" ht="13.5" hidden="false" customHeight="false" outlineLevel="0" collapsed="false">
      <c r="A897" s="440"/>
      <c r="B897" s="435" t="str">
        <f aca="false">M876</f>
        <v> &amp; 77/100</v>
      </c>
      <c r="C897" s="424"/>
      <c r="D897" s="424"/>
      <c r="E897" s="424"/>
      <c r="F897" s="424"/>
      <c r="G897" s="424"/>
      <c r="H897" s="424"/>
      <c r="I897" s="424"/>
      <c r="J897" s="424"/>
      <c r="K897" s="424"/>
      <c r="L897" s="424"/>
      <c r="M897" s="424"/>
      <c r="N897" s="424"/>
      <c r="O897" s="424"/>
      <c r="P897" s="424"/>
      <c r="Q897" s="435" t="n">
        <v>39</v>
      </c>
      <c r="R897" s="434" t="s">
        <v>529</v>
      </c>
      <c r="S897" s="424"/>
      <c r="T897" s="434" t="s">
        <v>530</v>
      </c>
      <c r="U897" s="434" t="s">
        <v>531</v>
      </c>
      <c r="V897" s="436" t="n">
        <f aca="false">AY902</f>
        <v>0</v>
      </c>
    </row>
    <row r="898" customFormat="false" ht="13.5" hidden="false" customHeight="false" outlineLevel="0" collapsed="false">
      <c r="A898" s="436" t="e">
        <f aca="false">+#REF!</f>
        <v>#REF!</v>
      </c>
      <c r="B898" s="435" t="str">
        <f aca="false">O876</f>
        <v> ====</v>
      </c>
      <c r="C898" s="424"/>
      <c r="D898" s="424"/>
      <c r="E898" s="424"/>
      <c r="F898" s="424"/>
      <c r="G898" s="424"/>
      <c r="H898" s="424"/>
      <c r="I898" s="424"/>
      <c r="J898" s="424"/>
      <c r="K898" s="424"/>
      <c r="L898" s="424"/>
      <c r="M898" s="424"/>
      <c r="N898" s="424"/>
      <c r="O898" s="424"/>
      <c r="P898" s="424"/>
      <c r="Q898" s="435" t="n">
        <v>40</v>
      </c>
      <c r="R898" s="434" t="s">
        <v>532</v>
      </c>
      <c r="S898" s="424"/>
      <c r="T898" s="434" t="s">
        <v>533</v>
      </c>
      <c r="U898" s="434" t="s">
        <v>534</v>
      </c>
      <c r="V898" s="436" t="n">
        <f aca="false">AY903</f>
        <v>0</v>
      </c>
    </row>
    <row r="899" customFormat="false" ht="13.5" hidden="false" customHeight="false" outlineLevel="0" collapsed="false">
      <c r="A899" s="440"/>
      <c r="B899" s="435" t="str">
        <f aca="false">IF(N874&gt;0,"-","====")</f>
        <v>-</v>
      </c>
      <c r="C899" s="424"/>
      <c r="D899" s="424"/>
      <c r="E899" s="424"/>
      <c r="F899" s="424"/>
      <c r="G899" s="424"/>
      <c r="H899" s="424"/>
      <c r="I899" s="424"/>
      <c r="J899" s="424"/>
      <c r="K899" s="424"/>
      <c r="L899" s="424"/>
      <c r="M899" s="424"/>
      <c r="N899" s="424"/>
      <c r="O899" s="424"/>
      <c r="P899" s="424"/>
      <c r="Q899" s="435" t="n">
        <v>41</v>
      </c>
      <c r="R899" s="434" t="s">
        <v>535</v>
      </c>
      <c r="S899" s="424"/>
      <c r="T899" s="434" t="s">
        <v>536</v>
      </c>
      <c r="U899" s="434" t="s">
        <v>537</v>
      </c>
      <c r="V899" s="436" t="n">
        <f aca="false">AY904</f>
        <v>0</v>
      </c>
    </row>
    <row r="900" customFormat="false" ht="13.5" hidden="false" customHeight="false" outlineLevel="0" collapsed="false">
      <c r="A900" s="444" t="e">
        <f aca="false">B876&amp;C876&amp;D876&amp;E876&amp;F876&amp;G876&amp;H876&amp;I876&amp;J876&amp;K876&amp;L876&amp;M876&amp;O876</f>
        <v>#N/A</v>
      </c>
      <c r="B900" s="424"/>
      <c r="C900" s="424"/>
      <c r="D900" s="424"/>
      <c r="E900" s="424"/>
      <c r="F900" s="424"/>
      <c r="G900" s="424"/>
      <c r="H900" s="424"/>
      <c r="I900" s="424"/>
      <c r="J900" s="424"/>
      <c r="K900" s="424"/>
      <c r="L900" s="424"/>
      <c r="M900" s="424"/>
      <c r="N900" s="424"/>
      <c r="O900" s="424"/>
      <c r="P900" s="424"/>
      <c r="Q900" s="435" t="n">
        <v>42</v>
      </c>
      <c r="R900" s="434" t="s">
        <v>538</v>
      </c>
      <c r="S900" s="424"/>
      <c r="T900" s="434" t="s">
        <v>539</v>
      </c>
      <c r="U900" s="434" t="s">
        <v>540</v>
      </c>
      <c r="V900" s="436" t="n">
        <f aca="false">AY905</f>
        <v>0</v>
      </c>
    </row>
    <row r="901" customFormat="false" ht="13.5" hidden="false" customHeight="false" outlineLevel="0" collapsed="false">
      <c r="A901" s="440" t="str">
        <f aca="false">I876&amp;J876&amp;K876&amp;L876&amp;M876&amp;O876</f>
        <v> Tujuh puluh tujuh ribu Tujuh ratus Tujuh puluh tujuh &amp; 77/100 ====</v>
      </c>
      <c r="B901" s="424"/>
      <c r="C901" s="424"/>
      <c r="D901" s="424"/>
      <c r="E901" s="424"/>
      <c r="F901" s="424"/>
      <c r="G901" s="424"/>
      <c r="H901" s="424"/>
      <c r="I901" s="424"/>
      <c r="J901" s="424"/>
      <c r="K901" s="424"/>
      <c r="L901" s="424"/>
      <c r="M901" s="424"/>
      <c r="N901" s="424"/>
      <c r="O901" s="424"/>
      <c r="P901" s="424"/>
      <c r="Q901" s="435" t="n">
        <v>43</v>
      </c>
      <c r="R901" s="434" t="s">
        <v>541</v>
      </c>
      <c r="S901" s="424"/>
      <c r="T901" s="434" t="s">
        <v>542</v>
      </c>
      <c r="U901" s="434" t="s">
        <v>543</v>
      </c>
      <c r="V901" s="436" t="n">
        <f aca="false">AY906</f>
        <v>0</v>
      </c>
    </row>
    <row r="902" customFormat="false" ht="13.5" hidden="false" customHeight="false" outlineLevel="0" collapsed="false">
      <c r="A902" s="440"/>
      <c r="B902" s="424"/>
      <c r="C902" s="424"/>
      <c r="D902" s="424"/>
      <c r="E902" s="424"/>
      <c r="F902" s="424"/>
      <c r="G902" s="424"/>
      <c r="H902" s="424"/>
      <c r="I902" s="424"/>
      <c r="J902" s="424"/>
      <c r="K902" s="424"/>
      <c r="L902" s="424"/>
      <c r="M902" s="424"/>
      <c r="N902" s="424"/>
      <c r="O902" s="424"/>
      <c r="P902" s="424"/>
      <c r="Q902" s="435" t="n">
        <v>44</v>
      </c>
      <c r="R902" s="434" t="s">
        <v>544</v>
      </c>
      <c r="S902" s="424"/>
      <c r="T902" s="434" t="s">
        <v>545</v>
      </c>
      <c r="U902" s="434" t="s">
        <v>546</v>
      </c>
      <c r="V902" s="436" t="n">
        <f aca="false">AY907</f>
        <v>0</v>
      </c>
    </row>
    <row r="903" customFormat="false" ht="13.5" hidden="false" customHeight="false" outlineLevel="0" collapsed="false">
      <c r="A903" s="440"/>
      <c r="B903" s="424"/>
      <c r="C903" s="424"/>
      <c r="D903" s="424"/>
      <c r="E903" s="424"/>
      <c r="F903" s="424"/>
      <c r="G903" s="424"/>
      <c r="H903" s="424"/>
      <c r="I903" s="424"/>
      <c r="J903" s="424"/>
      <c r="K903" s="424"/>
      <c r="L903" s="424"/>
      <c r="M903" s="424"/>
      <c r="N903" s="424"/>
      <c r="O903" s="424"/>
      <c r="P903" s="424"/>
      <c r="Q903" s="435" t="n">
        <v>45</v>
      </c>
      <c r="R903" s="434" t="s">
        <v>547</v>
      </c>
      <c r="S903" s="424"/>
      <c r="T903" s="434" t="s">
        <v>548</v>
      </c>
      <c r="U903" s="434" t="s">
        <v>549</v>
      </c>
      <c r="V903" s="436" t="n">
        <f aca="false">AY908</f>
        <v>0</v>
      </c>
    </row>
    <row r="904" customFormat="false" ht="13.5" hidden="false" customHeight="false" outlineLevel="0" collapsed="false">
      <c r="A904" s="440"/>
      <c r="B904" s="424"/>
      <c r="C904" s="424"/>
      <c r="D904" s="424"/>
      <c r="E904" s="424"/>
      <c r="F904" s="424"/>
      <c r="G904" s="424"/>
      <c r="H904" s="424"/>
      <c r="I904" s="424"/>
      <c r="J904" s="424"/>
      <c r="K904" s="424"/>
      <c r="L904" s="424"/>
      <c r="M904" s="424"/>
      <c r="N904" s="424"/>
      <c r="O904" s="424"/>
      <c r="P904" s="424"/>
      <c r="Q904" s="435" t="n">
        <v>46</v>
      </c>
      <c r="R904" s="434" t="s">
        <v>550</v>
      </c>
      <c r="S904" s="424"/>
      <c r="T904" s="434" t="s">
        <v>551</v>
      </c>
      <c r="U904" s="434" t="s">
        <v>552</v>
      </c>
      <c r="V904" s="436" t="n">
        <f aca="false">AY909</f>
        <v>0</v>
      </c>
    </row>
    <row r="905" customFormat="false" ht="13.5" hidden="false" customHeight="false" outlineLevel="0" collapsed="false">
      <c r="A905" s="440"/>
      <c r="B905" s="424"/>
      <c r="C905" s="424"/>
      <c r="D905" s="424"/>
      <c r="E905" s="424"/>
      <c r="F905" s="424"/>
      <c r="G905" s="424"/>
      <c r="H905" s="424"/>
      <c r="I905" s="424"/>
      <c r="J905" s="424"/>
      <c r="K905" s="424"/>
      <c r="L905" s="424"/>
      <c r="M905" s="424"/>
      <c r="N905" s="424"/>
      <c r="O905" s="424"/>
      <c r="P905" s="424"/>
      <c r="Q905" s="435" t="n">
        <v>47</v>
      </c>
      <c r="R905" s="434" t="s">
        <v>553</v>
      </c>
      <c r="S905" s="424"/>
      <c r="T905" s="434" t="s">
        <v>554</v>
      </c>
      <c r="U905" s="434" t="s">
        <v>555</v>
      </c>
      <c r="V905" s="436" t="n">
        <f aca="false">AY910</f>
        <v>0</v>
      </c>
    </row>
    <row r="906" customFormat="false" ht="13.5" hidden="false" customHeight="false" outlineLevel="0" collapsed="false">
      <c r="A906" s="424"/>
      <c r="B906" s="424"/>
      <c r="C906" s="424"/>
      <c r="D906" s="424"/>
      <c r="E906" s="424"/>
      <c r="F906" s="424"/>
      <c r="G906" s="424"/>
      <c r="H906" s="424"/>
      <c r="I906" s="424"/>
      <c r="J906" s="424"/>
      <c r="K906" s="424"/>
      <c r="L906" s="424"/>
      <c r="M906" s="424"/>
      <c r="N906" s="424"/>
      <c r="O906" s="424"/>
      <c r="P906" s="424"/>
      <c r="Q906" s="435" t="n">
        <v>48</v>
      </c>
      <c r="R906" s="434" t="s">
        <v>556</v>
      </c>
      <c r="S906" s="424"/>
      <c r="T906" s="434" t="s">
        <v>557</v>
      </c>
      <c r="U906" s="434" t="s">
        <v>558</v>
      </c>
      <c r="V906" s="436" t="n">
        <f aca="false">AY911</f>
        <v>0</v>
      </c>
    </row>
    <row r="907" customFormat="false" ht="13.5" hidden="false" customHeight="false" outlineLevel="0" collapsed="false">
      <c r="A907" s="424"/>
      <c r="B907" s="424"/>
      <c r="C907" s="424"/>
      <c r="D907" s="424"/>
      <c r="E907" s="424"/>
      <c r="F907" s="424"/>
      <c r="G907" s="424"/>
      <c r="H907" s="424"/>
      <c r="I907" s="424"/>
      <c r="J907" s="424"/>
      <c r="K907" s="424"/>
      <c r="L907" s="424"/>
      <c r="M907" s="424"/>
      <c r="N907" s="424"/>
      <c r="O907" s="424"/>
      <c r="P907" s="424"/>
      <c r="Q907" s="435" t="n">
        <v>49</v>
      </c>
      <c r="R907" s="434" t="s">
        <v>559</v>
      </c>
      <c r="S907" s="424"/>
      <c r="T907" s="434" t="s">
        <v>560</v>
      </c>
      <c r="U907" s="434" t="s">
        <v>561</v>
      </c>
      <c r="V907" s="436" t="n">
        <f aca="false">AY912</f>
        <v>0</v>
      </c>
    </row>
    <row r="908" customFormat="false" ht="13.5" hidden="false" customHeight="false" outlineLevel="0" collapsed="false">
      <c r="A908" s="424"/>
      <c r="B908" s="424"/>
      <c r="C908" s="424"/>
      <c r="D908" s="424"/>
      <c r="E908" s="424"/>
      <c r="F908" s="424"/>
      <c r="G908" s="424"/>
      <c r="H908" s="424"/>
      <c r="I908" s="424"/>
      <c r="J908" s="424"/>
      <c r="K908" s="424"/>
      <c r="L908" s="424"/>
      <c r="M908" s="424"/>
      <c r="N908" s="424"/>
      <c r="O908" s="424"/>
      <c r="P908" s="424"/>
      <c r="Q908" s="435" t="n">
        <v>50</v>
      </c>
      <c r="R908" s="434" t="s">
        <v>562</v>
      </c>
      <c r="S908" s="424"/>
      <c r="T908" s="434" t="s">
        <v>563</v>
      </c>
      <c r="U908" s="434" t="s">
        <v>564</v>
      </c>
      <c r="V908" s="436" t="n">
        <f aca="false">AY913</f>
        <v>0</v>
      </c>
    </row>
    <row r="909" customFormat="false" ht="13.5" hidden="false" customHeight="false" outlineLevel="0" collapsed="false">
      <c r="A909" s="424"/>
      <c r="B909" s="424"/>
      <c r="C909" s="424"/>
      <c r="D909" s="424"/>
      <c r="E909" s="424"/>
      <c r="F909" s="424"/>
      <c r="G909" s="424"/>
      <c r="H909" s="424"/>
      <c r="I909" s="424"/>
      <c r="J909" s="424"/>
      <c r="K909" s="424"/>
      <c r="L909" s="424"/>
      <c r="M909" s="424"/>
      <c r="N909" s="424"/>
      <c r="O909" s="424"/>
      <c r="P909" s="424"/>
      <c r="Q909" s="435" t="n">
        <v>51</v>
      </c>
      <c r="R909" s="434" t="s">
        <v>565</v>
      </c>
      <c r="S909" s="424"/>
      <c r="T909" s="434" t="s">
        <v>566</v>
      </c>
      <c r="U909" s="434" t="s">
        <v>567</v>
      </c>
      <c r="V909" s="436" t="n">
        <f aca="false">AY914</f>
        <v>0</v>
      </c>
    </row>
    <row r="910" customFormat="false" ht="13.5" hidden="false" customHeight="false" outlineLevel="0" collapsed="false">
      <c r="A910" s="424"/>
      <c r="B910" s="424"/>
      <c r="C910" s="424"/>
      <c r="D910" s="424"/>
      <c r="E910" s="424"/>
      <c r="F910" s="424"/>
      <c r="G910" s="424"/>
      <c r="H910" s="424"/>
      <c r="I910" s="424"/>
      <c r="J910" s="424"/>
      <c r="K910" s="424"/>
      <c r="L910" s="424"/>
      <c r="M910" s="424"/>
      <c r="N910" s="424"/>
      <c r="O910" s="424"/>
      <c r="P910" s="424"/>
      <c r="Q910" s="435" t="n">
        <v>52</v>
      </c>
      <c r="R910" s="434" t="s">
        <v>568</v>
      </c>
      <c r="S910" s="424"/>
      <c r="T910" s="434" t="s">
        <v>569</v>
      </c>
      <c r="U910" s="434" t="s">
        <v>570</v>
      </c>
      <c r="V910" s="436" t="n">
        <f aca="false">AY915</f>
        <v>0</v>
      </c>
    </row>
    <row r="911" customFormat="false" ht="13.5" hidden="false" customHeight="false" outlineLevel="0" collapsed="false">
      <c r="A911" s="424"/>
      <c r="B911" s="424"/>
      <c r="C911" s="424"/>
      <c r="D911" s="424"/>
      <c r="E911" s="424"/>
      <c r="F911" s="424"/>
      <c r="G911" s="424"/>
      <c r="H911" s="424"/>
      <c r="I911" s="424"/>
      <c r="J911" s="424"/>
      <c r="K911" s="424"/>
      <c r="L911" s="424"/>
      <c r="M911" s="424"/>
      <c r="N911" s="424"/>
      <c r="O911" s="424"/>
      <c r="P911" s="424"/>
      <c r="Q911" s="435" t="n">
        <v>53</v>
      </c>
      <c r="R911" s="434" t="s">
        <v>571</v>
      </c>
      <c r="S911" s="424"/>
      <c r="T911" s="434" t="s">
        <v>572</v>
      </c>
      <c r="U911" s="434" t="s">
        <v>573</v>
      </c>
      <c r="V911" s="436" t="n">
        <f aca="false">AY916</f>
        <v>0</v>
      </c>
    </row>
    <row r="912" customFormat="false" ht="13.5" hidden="false" customHeight="false" outlineLevel="0" collapsed="false">
      <c r="A912" s="424"/>
      <c r="B912" s="424"/>
      <c r="C912" s="424"/>
      <c r="D912" s="424"/>
      <c r="E912" s="424"/>
      <c r="F912" s="424"/>
      <c r="G912" s="424"/>
      <c r="H912" s="424"/>
      <c r="I912" s="424"/>
      <c r="J912" s="424"/>
      <c r="K912" s="424"/>
      <c r="L912" s="424"/>
      <c r="M912" s="424"/>
      <c r="N912" s="424"/>
      <c r="O912" s="424"/>
      <c r="P912" s="424"/>
      <c r="Q912" s="435" t="n">
        <v>54</v>
      </c>
      <c r="R912" s="434" t="s">
        <v>574</v>
      </c>
      <c r="S912" s="424"/>
      <c r="T912" s="434" t="s">
        <v>575</v>
      </c>
      <c r="U912" s="434" t="s">
        <v>576</v>
      </c>
      <c r="V912" s="436" t="n">
        <f aca="false">AY917</f>
        <v>0</v>
      </c>
    </row>
    <row r="913" customFormat="false" ht="13.5" hidden="false" customHeight="false" outlineLevel="0" collapsed="false">
      <c r="A913" s="424"/>
      <c r="B913" s="424"/>
      <c r="C913" s="424"/>
      <c r="D913" s="424"/>
      <c r="E913" s="424"/>
      <c r="F913" s="424"/>
      <c r="G913" s="424"/>
      <c r="H913" s="424"/>
      <c r="I913" s="424"/>
      <c r="J913" s="424"/>
      <c r="K913" s="424"/>
      <c r="L913" s="424"/>
      <c r="M913" s="424"/>
      <c r="N913" s="424"/>
      <c r="O913" s="424"/>
      <c r="P913" s="424"/>
      <c r="Q913" s="435" t="n">
        <v>55</v>
      </c>
      <c r="R913" s="434" t="s">
        <v>577</v>
      </c>
      <c r="S913" s="424"/>
      <c r="T913" s="434" t="s">
        <v>578</v>
      </c>
      <c r="U913" s="434" t="s">
        <v>579</v>
      </c>
      <c r="V913" s="436" t="n">
        <f aca="false">AY918</f>
        <v>0</v>
      </c>
    </row>
    <row r="914" customFormat="false" ht="13.5" hidden="false" customHeight="false" outlineLevel="0" collapsed="false">
      <c r="A914" s="424"/>
      <c r="B914" s="424"/>
      <c r="C914" s="424"/>
      <c r="D914" s="424"/>
      <c r="E914" s="424"/>
      <c r="F914" s="424"/>
      <c r="G914" s="424"/>
      <c r="H914" s="424"/>
      <c r="I914" s="424"/>
      <c r="J914" s="424"/>
      <c r="K914" s="424"/>
      <c r="L914" s="424"/>
      <c r="M914" s="424"/>
      <c r="N914" s="424"/>
      <c r="O914" s="424"/>
      <c r="P914" s="424"/>
      <c r="Q914" s="435" t="n">
        <v>56</v>
      </c>
      <c r="R914" s="434" t="s">
        <v>580</v>
      </c>
      <c r="S914" s="424"/>
      <c r="T914" s="434" t="s">
        <v>581</v>
      </c>
      <c r="U914" s="434" t="s">
        <v>582</v>
      </c>
      <c r="V914" s="436" t="n">
        <f aca="false">AY919</f>
        <v>0</v>
      </c>
    </row>
    <row r="915" customFormat="false" ht="13.5" hidden="false" customHeight="false" outlineLevel="0" collapsed="false">
      <c r="A915" s="424"/>
      <c r="B915" s="424"/>
      <c r="C915" s="424"/>
      <c r="D915" s="424"/>
      <c r="E915" s="424"/>
      <c r="F915" s="424"/>
      <c r="G915" s="424"/>
      <c r="H915" s="424"/>
      <c r="I915" s="424"/>
      <c r="J915" s="424"/>
      <c r="K915" s="424"/>
      <c r="L915" s="424"/>
      <c r="M915" s="424"/>
      <c r="N915" s="424"/>
      <c r="O915" s="424"/>
      <c r="P915" s="424"/>
      <c r="Q915" s="435" t="n">
        <v>57</v>
      </c>
      <c r="R915" s="434" t="s">
        <v>583</v>
      </c>
      <c r="S915" s="424"/>
      <c r="T915" s="434" t="s">
        <v>584</v>
      </c>
      <c r="U915" s="434" t="s">
        <v>585</v>
      </c>
      <c r="V915" s="436" t="n">
        <f aca="false">AY920</f>
        <v>0</v>
      </c>
    </row>
    <row r="916" customFormat="false" ht="13.5" hidden="false" customHeight="false" outlineLevel="0" collapsed="false">
      <c r="A916" s="424"/>
      <c r="B916" s="424"/>
      <c r="C916" s="424"/>
      <c r="D916" s="424"/>
      <c r="E916" s="424"/>
      <c r="F916" s="424"/>
      <c r="G916" s="424"/>
      <c r="H916" s="424"/>
      <c r="I916" s="424"/>
      <c r="J916" s="424"/>
      <c r="K916" s="424"/>
      <c r="L916" s="424"/>
      <c r="M916" s="424"/>
      <c r="N916" s="424"/>
      <c r="O916" s="424"/>
      <c r="P916" s="424"/>
      <c r="Q916" s="435" t="n">
        <v>58</v>
      </c>
      <c r="R916" s="434" t="s">
        <v>586</v>
      </c>
      <c r="S916" s="424"/>
      <c r="T916" s="434" t="s">
        <v>587</v>
      </c>
      <c r="U916" s="434" t="s">
        <v>588</v>
      </c>
      <c r="V916" s="436" t="n">
        <f aca="false">AY921</f>
        <v>0</v>
      </c>
    </row>
    <row r="917" customFormat="false" ht="13.5" hidden="false" customHeight="false" outlineLevel="0" collapsed="false">
      <c r="A917" s="424"/>
      <c r="B917" s="424"/>
      <c r="C917" s="424"/>
      <c r="D917" s="424"/>
      <c r="E917" s="424"/>
      <c r="F917" s="424"/>
      <c r="G917" s="424"/>
      <c r="H917" s="424"/>
      <c r="I917" s="424"/>
      <c r="J917" s="424"/>
      <c r="K917" s="424"/>
      <c r="L917" s="424"/>
      <c r="M917" s="424"/>
      <c r="N917" s="424"/>
      <c r="O917" s="424"/>
      <c r="P917" s="424"/>
      <c r="Q917" s="435" t="n">
        <v>59</v>
      </c>
      <c r="R917" s="434" t="s">
        <v>589</v>
      </c>
      <c r="S917" s="424"/>
      <c r="T917" s="434" t="s">
        <v>590</v>
      </c>
      <c r="U917" s="434" t="s">
        <v>591</v>
      </c>
      <c r="V917" s="436" t="n">
        <f aca="false">AY922</f>
        <v>0</v>
      </c>
    </row>
    <row r="918" customFormat="false" ht="13.5" hidden="false" customHeight="false" outlineLevel="0" collapsed="false">
      <c r="A918" s="424"/>
      <c r="B918" s="424"/>
      <c r="C918" s="424"/>
      <c r="D918" s="424"/>
      <c r="E918" s="424"/>
      <c r="F918" s="424"/>
      <c r="G918" s="424"/>
      <c r="H918" s="424"/>
      <c r="I918" s="424"/>
      <c r="J918" s="424"/>
      <c r="K918" s="424"/>
      <c r="L918" s="424"/>
      <c r="M918" s="424"/>
      <c r="N918" s="424"/>
      <c r="O918" s="424"/>
      <c r="P918" s="424"/>
      <c r="Q918" s="435" t="n">
        <v>60</v>
      </c>
      <c r="R918" s="434" t="s">
        <v>592</v>
      </c>
      <c r="S918" s="424"/>
      <c r="T918" s="434" t="s">
        <v>593</v>
      </c>
      <c r="U918" s="434" t="s">
        <v>594</v>
      </c>
      <c r="V918" s="436" t="n">
        <f aca="false">AY923</f>
        <v>0</v>
      </c>
    </row>
    <row r="919" customFormat="false" ht="13.5" hidden="false" customHeight="false" outlineLevel="0" collapsed="false">
      <c r="A919" s="424"/>
      <c r="B919" s="424"/>
      <c r="C919" s="424"/>
      <c r="D919" s="424"/>
      <c r="E919" s="424"/>
      <c r="F919" s="424"/>
      <c r="G919" s="424"/>
      <c r="H919" s="424"/>
      <c r="I919" s="424"/>
      <c r="J919" s="424"/>
      <c r="K919" s="424"/>
      <c r="L919" s="424"/>
      <c r="M919" s="424"/>
      <c r="N919" s="424"/>
      <c r="O919" s="424"/>
      <c r="P919" s="424"/>
      <c r="Q919" s="435" t="n">
        <v>61</v>
      </c>
      <c r="R919" s="434" t="s">
        <v>595</v>
      </c>
      <c r="S919" s="424"/>
      <c r="T919" s="434" t="s">
        <v>596</v>
      </c>
      <c r="U919" s="434" t="s">
        <v>597</v>
      </c>
      <c r="V919" s="436" t="n">
        <f aca="false">AY924</f>
        <v>0</v>
      </c>
    </row>
    <row r="920" customFormat="false" ht="13.5" hidden="false" customHeight="false" outlineLevel="0" collapsed="false">
      <c r="A920" s="424"/>
      <c r="B920" s="424"/>
      <c r="C920" s="424"/>
      <c r="D920" s="424"/>
      <c r="E920" s="424"/>
      <c r="F920" s="424"/>
      <c r="G920" s="424"/>
      <c r="H920" s="424"/>
      <c r="I920" s="424"/>
      <c r="J920" s="424"/>
      <c r="K920" s="424"/>
      <c r="L920" s="424"/>
      <c r="M920" s="424"/>
      <c r="N920" s="424"/>
      <c r="O920" s="424"/>
      <c r="P920" s="424"/>
      <c r="Q920" s="435" t="n">
        <v>62</v>
      </c>
      <c r="R920" s="434" t="s">
        <v>598</v>
      </c>
      <c r="S920" s="424"/>
      <c r="T920" s="434" t="s">
        <v>599</v>
      </c>
      <c r="U920" s="434" t="s">
        <v>600</v>
      </c>
      <c r="V920" s="436" t="n">
        <f aca="false">AY925</f>
        <v>0</v>
      </c>
    </row>
    <row r="921" customFormat="false" ht="13.5" hidden="false" customHeight="false" outlineLevel="0" collapsed="false">
      <c r="A921" s="424"/>
      <c r="B921" s="424"/>
      <c r="C921" s="424"/>
      <c r="D921" s="424"/>
      <c r="E921" s="424"/>
      <c r="F921" s="424"/>
      <c r="G921" s="424"/>
      <c r="H921" s="424"/>
      <c r="I921" s="424"/>
      <c r="J921" s="424"/>
      <c r="K921" s="424"/>
      <c r="L921" s="424"/>
      <c r="M921" s="424"/>
      <c r="N921" s="424"/>
      <c r="O921" s="424"/>
      <c r="P921" s="424"/>
      <c r="Q921" s="435" t="n">
        <v>63</v>
      </c>
      <c r="R921" s="434" t="s">
        <v>601</v>
      </c>
      <c r="S921" s="424"/>
      <c r="T921" s="434" t="s">
        <v>602</v>
      </c>
      <c r="U921" s="434" t="s">
        <v>603</v>
      </c>
      <c r="V921" s="436" t="n">
        <f aca="false">AY926</f>
        <v>0</v>
      </c>
    </row>
    <row r="922" customFormat="false" ht="13.5" hidden="false" customHeight="false" outlineLevel="0" collapsed="false">
      <c r="A922" s="424"/>
      <c r="B922" s="424"/>
      <c r="C922" s="424"/>
      <c r="D922" s="424"/>
      <c r="E922" s="424"/>
      <c r="F922" s="424"/>
      <c r="G922" s="424"/>
      <c r="H922" s="424"/>
      <c r="I922" s="424"/>
      <c r="J922" s="424"/>
      <c r="K922" s="424"/>
      <c r="L922" s="424"/>
      <c r="M922" s="424"/>
      <c r="N922" s="424"/>
      <c r="O922" s="424"/>
      <c r="P922" s="424"/>
      <c r="Q922" s="435" t="n">
        <v>64</v>
      </c>
      <c r="R922" s="434" t="s">
        <v>604</v>
      </c>
      <c r="S922" s="424"/>
      <c r="T922" s="434" t="s">
        <v>605</v>
      </c>
      <c r="U922" s="434" t="s">
        <v>606</v>
      </c>
      <c r="V922" s="436" t="n">
        <f aca="false">AY927</f>
        <v>0</v>
      </c>
    </row>
    <row r="923" customFormat="false" ht="13.5" hidden="false" customHeight="false" outlineLevel="0" collapsed="false">
      <c r="A923" s="424"/>
      <c r="B923" s="424"/>
      <c r="C923" s="424"/>
      <c r="D923" s="424"/>
      <c r="E923" s="424"/>
      <c r="F923" s="424"/>
      <c r="G923" s="424"/>
      <c r="H923" s="424"/>
      <c r="I923" s="424"/>
      <c r="J923" s="424"/>
      <c r="K923" s="424"/>
      <c r="L923" s="424"/>
      <c r="M923" s="424"/>
      <c r="N923" s="424"/>
      <c r="O923" s="424"/>
      <c r="P923" s="424"/>
      <c r="Q923" s="435" t="n">
        <v>65</v>
      </c>
      <c r="R923" s="434" t="s">
        <v>607</v>
      </c>
      <c r="S923" s="424"/>
      <c r="T923" s="434" t="s">
        <v>608</v>
      </c>
      <c r="U923" s="434" t="s">
        <v>609</v>
      </c>
      <c r="V923" s="436" t="n">
        <f aca="false">AY928</f>
        <v>0</v>
      </c>
    </row>
    <row r="924" customFormat="false" ht="13.5" hidden="false" customHeight="false" outlineLevel="0" collapsed="false">
      <c r="A924" s="424"/>
      <c r="B924" s="424"/>
      <c r="C924" s="424"/>
      <c r="D924" s="424"/>
      <c r="E924" s="424"/>
      <c r="F924" s="424"/>
      <c r="G924" s="424"/>
      <c r="H924" s="424"/>
      <c r="I924" s="424"/>
      <c r="J924" s="424"/>
      <c r="K924" s="424"/>
      <c r="L924" s="424"/>
      <c r="M924" s="424"/>
      <c r="N924" s="424"/>
      <c r="O924" s="424"/>
      <c r="P924" s="424"/>
      <c r="Q924" s="435" t="n">
        <v>66</v>
      </c>
      <c r="R924" s="434" t="s">
        <v>610</v>
      </c>
      <c r="S924" s="424"/>
      <c r="T924" s="434" t="s">
        <v>611</v>
      </c>
      <c r="U924" s="434" t="s">
        <v>612</v>
      </c>
      <c r="V924" s="436" t="n">
        <f aca="false">AY929</f>
        <v>0</v>
      </c>
    </row>
    <row r="925" customFormat="false" ht="13.5" hidden="false" customHeight="false" outlineLevel="0" collapsed="false">
      <c r="A925" s="424"/>
      <c r="B925" s="424"/>
      <c r="C925" s="424"/>
      <c r="D925" s="424"/>
      <c r="E925" s="424"/>
      <c r="F925" s="424"/>
      <c r="G925" s="424"/>
      <c r="H925" s="424"/>
      <c r="I925" s="424"/>
      <c r="J925" s="424"/>
      <c r="K925" s="424"/>
      <c r="L925" s="424"/>
      <c r="M925" s="424"/>
      <c r="N925" s="424"/>
      <c r="O925" s="424"/>
      <c r="P925" s="424"/>
      <c r="Q925" s="435" t="n">
        <v>67</v>
      </c>
      <c r="R925" s="434" t="s">
        <v>613</v>
      </c>
      <c r="S925" s="424"/>
      <c r="T925" s="434" t="s">
        <v>614</v>
      </c>
      <c r="U925" s="434" t="s">
        <v>615</v>
      </c>
      <c r="V925" s="436" t="n">
        <f aca="false">AY930</f>
        <v>0</v>
      </c>
    </row>
    <row r="926" customFormat="false" ht="13.5" hidden="false" customHeight="false" outlineLevel="0" collapsed="false">
      <c r="A926" s="424"/>
      <c r="B926" s="424"/>
      <c r="C926" s="424"/>
      <c r="D926" s="424"/>
      <c r="E926" s="424"/>
      <c r="F926" s="424"/>
      <c r="G926" s="424"/>
      <c r="H926" s="424"/>
      <c r="I926" s="424"/>
      <c r="J926" s="424"/>
      <c r="K926" s="424"/>
      <c r="L926" s="424"/>
      <c r="M926" s="424"/>
      <c r="N926" s="424"/>
      <c r="O926" s="424"/>
      <c r="P926" s="424"/>
      <c r="Q926" s="435" t="n">
        <v>68</v>
      </c>
      <c r="R926" s="434" t="s">
        <v>616</v>
      </c>
      <c r="S926" s="424"/>
      <c r="T926" s="434" t="s">
        <v>617</v>
      </c>
      <c r="U926" s="434" t="s">
        <v>618</v>
      </c>
      <c r="V926" s="436" t="n">
        <f aca="false">AY931</f>
        <v>0</v>
      </c>
    </row>
    <row r="927" customFormat="false" ht="13.5" hidden="false" customHeight="false" outlineLevel="0" collapsed="false">
      <c r="A927" s="424"/>
      <c r="B927" s="424"/>
      <c r="C927" s="424"/>
      <c r="D927" s="424"/>
      <c r="E927" s="424"/>
      <c r="F927" s="424"/>
      <c r="G927" s="424"/>
      <c r="H927" s="424"/>
      <c r="I927" s="424"/>
      <c r="J927" s="424"/>
      <c r="K927" s="424"/>
      <c r="L927" s="424"/>
      <c r="M927" s="424"/>
      <c r="N927" s="424"/>
      <c r="O927" s="424"/>
      <c r="P927" s="424"/>
      <c r="Q927" s="435" t="n">
        <v>69</v>
      </c>
      <c r="R927" s="434" t="s">
        <v>619</v>
      </c>
      <c r="S927" s="424"/>
      <c r="T927" s="434" t="s">
        <v>620</v>
      </c>
      <c r="U927" s="434" t="s">
        <v>621</v>
      </c>
      <c r="V927" s="436" t="n">
        <f aca="false">AY932</f>
        <v>0</v>
      </c>
    </row>
    <row r="928" customFormat="false" ht="13.5" hidden="false" customHeight="false" outlineLevel="0" collapsed="false">
      <c r="A928" s="424"/>
      <c r="B928" s="424"/>
      <c r="C928" s="424"/>
      <c r="D928" s="424"/>
      <c r="E928" s="424"/>
      <c r="F928" s="424"/>
      <c r="G928" s="424"/>
      <c r="H928" s="424"/>
      <c r="I928" s="424"/>
      <c r="J928" s="424"/>
      <c r="K928" s="424"/>
      <c r="L928" s="424"/>
      <c r="M928" s="424"/>
      <c r="N928" s="424"/>
      <c r="O928" s="424"/>
      <c r="P928" s="424"/>
      <c r="Q928" s="435" t="n">
        <v>70</v>
      </c>
      <c r="R928" s="434" t="s">
        <v>622</v>
      </c>
      <c r="S928" s="424"/>
      <c r="T928" s="434" t="s">
        <v>623</v>
      </c>
      <c r="U928" s="434" t="s">
        <v>624</v>
      </c>
      <c r="V928" s="436" t="n">
        <f aca="false">AY933</f>
        <v>0</v>
      </c>
    </row>
    <row r="929" customFormat="false" ht="13.5" hidden="false" customHeight="false" outlineLevel="0" collapsed="false">
      <c r="A929" s="424"/>
      <c r="B929" s="424"/>
      <c r="C929" s="424"/>
      <c r="D929" s="424"/>
      <c r="E929" s="424"/>
      <c r="F929" s="424"/>
      <c r="G929" s="424"/>
      <c r="H929" s="424"/>
      <c r="I929" s="424"/>
      <c r="J929" s="424"/>
      <c r="K929" s="424"/>
      <c r="L929" s="424"/>
      <c r="M929" s="424"/>
      <c r="N929" s="424"/>
      <c r="O929" s="424"/>
      <c r="P929" s="424"/>
      <c r="Q929" s="435" t="n">
        <v>71</v>
      </c>
      <c r="R929" s="434" t="s">
        <v>625</v>
      </c>
      <c r="S929" s="424"/>
      <c r="T929" s="434" t="s">
        <v>626</v>
      </c>
      <c r="U929" s="434" t="s">
        <v>627</v>
      </c>
      <c r="V929" s="436" t="n">
        <f aca="false">AY934</f>
        <v>0</v>
      </c>
    </row>
    <row r="930" customFormat="false" ht="13.5" hidden="false" customHeight="false" outlineLevel="0" collapsed="false">
      <c r="A930" s="424"/>
      <c r="B930" s="424"/>
      <c r="C930" s="424"/>
      <c r="D930" s="424"/>
      <c r="E930" s="424"/>
      <c r="F930" s="424"/>
      <c r="G930" s="424"/>
      <c r="H930" s="424"/>
      <c r="I930" s="424"/>
      <c r="J930" s="424"/>
      <c r="K930" s="424"/>
      <c r="L930" s="424"/>
      <c r="M930" s="424"/>
      <c r="N930" s="424"/>
      <c r="O930" s="424"/>
      <c r="P930" s="424"/>
      <c r="Q930" s="435" t="n">
        <v>72</v>
      </c>
      <c r="R930" s="434" t="s">
        <v>628</v>
      </c>
      <c r="S930" s="424"/>
      <c r="T930" s="434" t="s">
        <v>629</v>
      </c>
      <c r="U930" s="434" t="s">
        <v>630</v>
      </c>
      <c r="V930" s="436" t="n">
        <f aca="false">AY935</f>
        <v>0</v>
      </c>
    </row>
    <row r="931" customFormat="false" ht="13.5" hidden="false" customHeight="false" outlineLevel="0" collapsed="false">
      <c r="A931" s="424"/>
      <c r="B931" s="424"/>
      <c r="C931" s="424"/>
      <c r="D931" s="424"/>
      <c r="E931" s="424"/>
      <c r="F931" s="424"/>
      <c r="G931" s="424"/>
      <c r="H931" s="424"/>
      <c r="I931" s="424"/>
      <c r="J931" s="424"/>
      <c r="K931" s="424"/>
      <c r="L931" s="424"/>
      <c r="M931" s="424"/>
      <c r="N931" s="424"/>
      <c r="O931" s="424"/>
      <c r="P931" s="424"/>
      <c r="Q931" s="435" t="n">
        <v>73</v>
      </c>
      <c r="R931" s="434" t="s">
        <v>631</v>
      </c>
      <c r="S931" s="424"/>
      <c r="T931" s="434" t="s">
        <v>632</v>
      </c>
      <c r="U931" s="434" t="s">
        <v>633</v>
      </c>
      <c r="V931" s="436" t="n">
        <f aca="false">AY936</f>
        <v>0</v>
      </c>
    </row>
    <row r="932" customFormat="false" ht="13.5" hidden="false" customHeight="false" outlineLevel="0" collapsed="false">
      <c r="A932" s="424"/>
      <c r="B932" s="424"/>
      <c r="C932" s="424"/>
      <c r="D932" s="424"/>
      <c r="E932" s="424"/>
      <c r="F932" s="424"/>
      <c r="G932" s="424"/>
      <c r="H932" s="424"/>
      <c r="I932" s="424"/>
      <c r="J932" s="424"/>
      <c r="K932" s="424"/>
      <c r="L932" s="424"/>
      <c r="M932" s="424"/>
      <c r="N932" s="424"/>
      <c r="O932" s="424"/>
      <c r="P932" s="424"/>
      <c r="Q932" s="435" t="n">
        <v>74</v>
      </c>
      <c r="R932" s="434" t="s">
        <v>634</v>
      </c>
      <c r="S932" s="424"/>
      <c r="T932" s="434" t="s">
        <v>635</v>
      </c>
      <c r="U932" s="434" t="s">
        <v>636</v>
      </c>
      <c r="V932" s="436" t="n">
        <f aca="false">AY937</f>
        <v>0</v>
      </c>
    </row>
    <row r="933" customFormat="false" ht="13.5" hidden="false" customHeight="false" outlineLevel="0" collapsed="false">
      <c r="A933" s="424"/>
      <c r="B933" s="424"/>
      <c r="C933" s="424"/>
      <c r="D933" s="424"/>
      <c r="E933" s="424"/>
      <c r="F933" s="424"/>
      <c r="G933" s="424"/>
      <c r="H933" s="424"/>
      <c r="I933" s="424"/>
      <c r="J933" s="424"/>
      <c r="K933" s="424"/>
      <c r="L933" s="424"/>
      <c r="M933" s="424"/>
      <c r="N933" s="424"/>
      <c r="O933" s="424"/>
      <c r="P933" s="424"/>
      <c r="Q933" s="435" t="n">
        <v>75</v>
      </c>
      <c r="R933" s="434" t="s">
        <v>637</v>
      </c>
      <c r="S933" s="424"/>
      <c r="T933" s="434" t="s">
        <v>638</v>
      </c>
      <c r="U933" s="434" t="s">
        <v>639</v>
      </c>
      <c r="V933" s="436" t="n">
        <f aca="false">AY938</f>
        <v>0</v>
      </c>
    </row>
    <row r="934" customFormat="false" ht="13.5" hidden="false" customHeight="false" outlineLevel="0" collapsed="false">
      <c r="A934" s="424"/>
      <c r="B934" s="424"/>
      <c r="C934" s="424"/>
      <c r="D934" s="424"/>
      <c r="E934" s="424"/>
      <c r="F934" s="424"/>
      <c r="G934" s="424"/>
      <c r="H934" s="424"/>
      <c r="I934" s="424"/>
      <c r="J934" s="424"/>
      <c r="K934" s="424"/>
      <c r="L934" s="424"/>
      <c r="M934" s="424"/>
      <c r="N934" s="424"/>
      <c r="O934" s="424"/>
      <c r="P934" s="424"/>
      <c r="Q934" s="435" t="n">
        <v>76</v>
      </c>
      <c r="R934" s="434" t="s">
        <v>640</v>
      </c>
      <c r="S934" s="424"/>
      <c r="T934" s="434" t="s">
        <v>641</v>
      </c>
      <c r="U934" s="434" t="s">
        <v>642</v>
      </c>
      <c r="V934" s="436" t="n">
        <f aca="false">AY939</f>
        <v>0</v>
      </c>
    </row>
    <row r="935" customFormat="false" ht="13.5" hidden="false" customHeight="false" outlineLevel="0" collapsed="false">
      <c r="A935" s="424"/>
      <c r="B935" s="424"/>
      <c r="C935" s="424"/>
      <c r="D935" s="424"/>
      <c r="E935" s="424"/>
      <c r="F935" s="424"/>
      <c r="G935" s="424"/>
      <c r="H935" s="424"/>
      <c r="I935" s="424"/>
      <c r="J935" s="424"/>
      <c r="K935" s="424"/>
      <c r="L935" s="424"/>
      <c r="M935" s="424"/>
      <c r="N935" s="424"/>
      <c r="O935" s="424"/>
      <c r="P935" s="424"/>
      <c r="Q935" s="435" t="n">
        <v>77</v>
      </c>
      <c r="R935" s="434" t="s">
        <v>643</v>
      </c>
      <c r="S935" s="424"/>
      <c r="T935" s="434" t="s">
        <v>644</v>
      </c>
      <c r="U935" s="434" t="s">
        <v>645</v>
      </c>
      <c r="V935" s="436" t="n">
        <f aca="false">AY940</f>
        <v>0</v>
      </c>
    </row>
    <row r="936" customFormat="false" ht="13.5" hidden="false" customHeight="false" outlineLevel="0" collapsed="false">
      <c r="A936" s="424"/>
      <c r="B936" s="424"/>
      <c r="C936" s="424"/>
      <c r="D936" s="424"/>
      <c r="E936" s="424"/>
      <c r="F936" s="424"/>
      <c r="G936" s="424"/>
      <c r="H936" s="424"/>
      <c r="I936" s="424"/>
      <c r="J936" s="424"/>
      <c r="K936" s="424"/>
      <c r="L936" s="424"/>
      <c r="M936" s="424"/>
      <c r="N936" s="424"/>
      <c r="O936" s="424"/>
      <c r="P936" s="424"/>
      <c r="Q936" s="435" t="n">
        <v>78</v>
      </c>
      <c r="R936" s="434" t="s">
        <v>646</v>
      </c>
      <c r="S936" s="424"/>
      <c r="T936" s="434" t="s">
        <v>647</v>
      </c>
      <c r="U936" s="434" t="s">
        <v>648</v>
      </c>
      <c r="V936" s="436" t="n">
        <f aca="false">AY941</f>
        <v>0</v>
      </c>
    </row>
    <row r="937" customFormat="false" ht="13.5" hidden="false" customHeight="false" outlineLevel="0" collapsed="false">
      <c r="A937" s="424"/>
      <c r="B937" s="424"/>
      <c r="C937" s="424"/>
      <c r="D937" s="424"/>
      <c r="E937" s="424"/>
      <c r="F937" s="424"/>
      <c r="G937" s="424"/>
      <c r="H937" s="424"/>
      <c r="I937" s="424"/>
      <c r="J937" s="424"/>
      <c r="K937" s="424"/>
      <c r="L937" s="424"/>
      <c r="M937" s="424"/>
      <c r="N937" s="424"/>
      <c r="O937" s="424"/>
      <c r="P937" s="424"/>
      <c r="Q937" s="435" t="n">
        <v>79</v>
      </c>
      <c r="R937" s="434" t="s">
        <v>649</v>
      </c>
      <c r="S937" s="424"/>
      <c r="T937" s="434" t="s">
        <v>650</v>
      </c>
      <c r="U937" s="434" t="s">
        <v>651</v>
      </c>
      <c r="V937" s="436" t="n">
        <f aca="false">AY942</f>
        <v>0</v>
      </c>
    </row>
    <row r="938" customFormat="false" ht="13.5" hidden="false" customHeight="false" outlineLevel="0" collapsed="false">
      <c r="A938" s="424"/>
      <c r="B938" s="424"/>
      <c r="C938" s="424"/>
      <c r="D938" s="424"/>
      <c r="E938" s="424"/>
      <c r="F938" s="424"/>
      <c r="G938" s="424"/>
      <c r="H938" s="424"/>
      <c r="I938" s="424"/>
      <c r="J938" s="424"/>
      <c r="K938" s="424"/>
      <c r="L938" s="424"/>
      <c r="M938" s="424"/>
      <c r="N938" s="424"/>
      <c r="O938" s="424"/>
      <c r="P938" s="424"/>
      <c r="Q938" s="435" t="n">
        <v>80</v>
      </c>
      <c r="R938" s="434" t="s">
        <v>652</v>
      </c>
      <c r="S938" s="424"/>
      <c r="T938" s="434" t="s">
        <v>653</v>
      </c>
      <c r="U938" s="434" t="s">
        <v>654</v>
      </c>
      <c r="V938" s="436" t="n">
        <f aca="false">AY943</f>
        <v>0</v>
      </c>
    </row>
    <row r="939" customFormat="false" ht="13.5" hidden="false" customHeight="false" outlineLevel="0" collapsed="false">
      <c r="A939" s="424"/>
      <c r="B939" s="424"/>
      <c r="C939" s="424"/>
      <c r="D939" s="424"/>
      <c r="E939" s="424"/>
      <c r="F939" s="424"/>
      <c r="G939" s="424"/>
      <c r="H939" s="424"/>
      <c r="I939" s="424"/>
      <c r="J939" s="424"/>
      <c r="K939" s="424"/>
      <c r="L939" s="424"/>
      <c r="M939" s="424"/>
      <c r="N939" s="424"/>
      <c r="O939" s="424"/>
      <c r="P939" s="424"/>
      <c r="Q939" s="435" t="n">
        <v>81</v>
      </c>
      <c r="R939" s="434" t="s">
        <v>655</v>
      </c>
      <c r="S939" s="424"/>
      <c r="T939" s="434" t="s">
        <v>656</v>
      </c>
      <c r="U939" s="434" t="s">
        <v>657</v>
      </c>
      <c r="V939" s="436" t="n">
        <f aca="false">AY944</f>
        <v>0</v>
      </c>
    </row>
    <row r="940" customFormat="false" ht="13.5" hidden="false" customHeight="false" outlineLevel="0" collapsed="false">
      <c r="A940" s="424"/>
      <c r="B940" s="424"/>
      <c r="C940" s="424"/>
      <c r="D940" s="424"/>
      <c r="E940" s="424"/>
      <c r="F940" s="424"/>
      <c r="G940" s="424"/>
      <c r="H940" s="424"/>
      <c r="I940" s="424"/>
      <c r="J940" s="424"/>
      <c r="K940" s="424"/>
      <c r="L940" s="424"/>
      <c r="M940" s="424"/>
      <c r="N940" s="424"/>
      <c r="O940" s="424"/>
      <c r="P940" s="424"/>
      <c r="Q940" s="435" t="n">
        <v>82</v>
      </c>
      <c r="R940" s="434" t="s">
        <v>658</v>
      </c>
      <c r="S940" s="424"/>
      <c r="T940" s="434" t="s">
        <v>659</v>
      </c>
      <c r="U940" s="434" t="s">
        <v>660</v>
      </c>
      <c r="V940" s="436" t="n">
        <f aca="false">AY945</f>
        <v>0</v>
      </c>
    </row>
    <row r="941" customFormat="false" ht="13.5" hidden="false" customHeight="false" outlineLevel="0" collapsed="false">
      <c r="A941" s="424"/>
      <c r="B941" s="424"/>
      <c r="C941" s="424"/>
      <c r="D941" s="424"/>
      <c r="E941" s="424"/>
      <c r="F941" s="424"/>
      <c r="G941" s="424"/>
      <c r="H941" s="424"/>
      <c r="I941" s="424"/>
      <c r="J941" s="424"/>
      <c r="K941" s="424"/>
      <c r="L941" s="424"/>
      <c r="M941" s="424"/>
      <c r="N941" s="424"/>
      <c r="O941" s="424"/>
      <c r="P941" s="424"/>
      <c r="Q941" s="435" t="n">
        <v>83</v>
      </c>
      <c r="R941" s="434" t="s">
        <v>661</v>
      </c>
      <c r="S941" s="424"/>
      <c r="T941" s="434" t="s">
        <v>662</v>
      </c>
      <c r="U941" s="434" t="s">
        <v>663</v>
      </c>
      <c r="V941" s="436" t="n">
        <f aca="false">AY946</f>
        <v>0</v>
      </c>
    </row>
    <row r="942" customFormat="false" ht="13.5" hidden="false" customHeight="false" outlineLevel="0" collapsed="false">
      <c r="A942" s="424"/>
      <c r="B942" s="424"/>
      <c r="C942" s="424"/>
      <c r="D942" s="424"/>
      <c r="E942" s="424"/>
      <c r="F942" s="424"/>
      <c r="G942" s="424"/>
      <c r="H942" s="424"/>
      <c r="I942" s="424"/>
      <c r="J942" s="424"/>
      <c r="K942" s="424"/>
      <c r="L942" s="424"/>
      <c r="M942" s="424"/>
      <c r="N942" s="424"/>
      <c r="O942" s="424"/>
      <c r="P942" s="424"/>
      <c r="Q942" s="435" t="n">
        <v>84</v>
      </c>
      <c r="R942" s="434" t="s">
        <v>664</v>
      </c>
      <c r="S942" s="424"/>
      <c r="T942" s="434" t="s">
        <v>665</v>
      </c>
      <c r="U942" s="434" t="s">
        <v>666</v>
      </c>
      <c r="V942" s="436" t="n">
        <f aca="false">AY947</f>
        <v>0</v>
      </c>
    </row>
    <row r="943" customFormat="false" ht="13.5" hidden="false" customHeight="false" outlineLevel="0" collapsed="false">
      <c r="A943" s="424"/>
      <c r="B943" s="424"/>
      <c r="C943" s="424"/>
      <c r="D943" s="424"/>
      <c r="E943" s="424"/>
      <c r="F943" s="424"/>
      <c r="G943" s="424"/>
      <c r="H943" s="424"/>
      <c r="I943" s="424"/>
      <c r="J943" s="424"/>
      <c r="K943" s="424"/>
      <c r="L943" s="424"/>
      <c r="M943" s="424"/>
      <c r="N943" s="424"/>
      <c r="O943" s="424"/>
      <c r="P943" s="424"/>
      <c r="Q943" s="435" t="n">
        <v>85</v>
      </c>
      <c r="R943" s="434" t="s">
        <v>667</v>
      </c>
      <c r="S943" s="424"/>
      <c r="T943" s="434" t="s">
        <v>668</v>
      </c>
      <c r="U943" s="434" t="s">
        <v>669</v>
      </c>
      <c r="V943" s="436" t="n">
        <f aca="false">AY948</f>
        <v>0</v>
      </c>
    </row>
    <row r="944" customFormat="false" ht="13.5" hidden="false" customHeight="false" outlineLevel="0" collapsed="false">
      <c r="A944" s="424"/>
      <c r="B944" s="424"/>
      <c r="C944" s="424"/>
      <c r="D944" s="424"/>
      <c r="E944" s="424"/>
      <c r="F944" s="424"/>
      <c r="G944" s="424"/>
      <c r="H944" s="424"/>
      <c r="I944" s="424"/>
      <c r="J944" s="424"/>
      <c r="K944" s="424"/>
      <c r="L944" s="424"/>
      <c r="M944" s="424"/>
      <c r="N944" s="424"/>
      <c r="O944" s="424"/>
      <c r="P944" s="424"/>
      <c r="Q944" s="435" t="n">
        <v>86</v>
      </c>
      <c r="R944" s="434" t="s">
        <v>670</v>
      </c>
      <c r="S944" s="424"/>
      <c r="T944" s="434" t="s">
        <v>671</v>
      </c>
      <c r="U944" s="434" t="s">
        <v>672</v>
      </c>
      <c r="V944" s="436" t="n">
        <f aca="false">AY949</f>
        <v>0</v>
      </c>
    </row>
    <row r="945" customFormat="false" ht="13.5" hidden="false" customHeight="false" outlineLevel="0" collapsed="false">
      <c r="A945" s="424"/>
      <c r="B945" s="424"/>
      <c r="C945" s="424"/>
      <c r="D945" s="424"/>
      <c r="E945" s="424"/>
      <c r="F945" s="424"/>
      <c r="G945" s="424"/>
      <c r="H945" s="424"/>
      <c r="I945" s="424"/>
      <c r="J945" s="424"/>
      <c r="K945" s="424"/>
      <c r="L945" s="424"/>
      <c r="M945" s="424"/>
      <c r="N945" s="424"/>
      <c r="O945" s="424"/>
      <c r="P945" s="424"/>
      <c r="Q945" s="435" t="n">
        <v>87</v>
      </c>
      <c r="R945" s="434" t="s">
        <v>673</v>
      </c>
      <c r="S945" s="424"/>
      <c r="T945" s="434" t="s">
        <v>674</v>
      </c>
      <c r="U945" s="434" t="s">
        <v>675</v>
      </c>
      <c r="V945" s="436" t="n">
        <f aca="false">AY950</f>
        <v>0</v>
      </c>
    </row>
    <row r="946" customFormat="false" ht="13.5" hidden="false" customHeight="false" outlineLevel="0" collapsed="false">
      <c r="A946" s="424"/>
      <c r="B946" s="424"/>
      <c r="C946" s="424"/>
      <c r="D946" s="424"/>
      <c r="E946" s="424"/>
      <c r="F946" s="424"/>
      <c r="G946" s="424"/>
      <c r="H946" s="424"/>
      <c r="I946" s="424"/>
      <c r="J946" s="424"/>
      <c r="K946" s="424"/>
      <c r="L946" s="424"/>
      <c r="M946" s="424"/>
      <c r="N946" s="424"/>
      <c r="O946" s="424"/>
      <c r="P946" s="424"/>
      <c r="Q946" s="435" t="n">
        <v>88</v>
      </c>
      <c r="R946" s="434" t="s">
        <v>676</v>
      </c>
      <c r="S946" s="424"/>
      <c r="T946" s="434" t="s">
        <v>677</v>
      </c>
      <c r="U946" s="434" t="s">
        <v>678</v>
      </c>
      <c r="V946" s="436" t="n">
        <f aca="false">AY951</f>
        <v>0</v>
      </c>
    </row>
    <row r="947" customFormat="false" ht="13.5" hidden="false" customHeight="false" outlineLevel="0" collapsed="false">
      <c r="A947" s="424"/>
      <c r="B947" s="424"/>
      <c r="C947" s="424"/>
      <c r="D947" s="424"/>
      <c r="E947" s="424"/>
      <c r="F947" s="424"/>
      <c r="G947" s="424"/>
      <c r="H947" s="424"/>
      <c r="I947" s="424"/>
      <c r="J947" s="424"/>
      <c r="K947" s="424"/>
      <c r="L947" s="424"/>
      <c r="M947" s="424"/>
      <c r="N947" s="424"/>
      <c r="O947" s="424"/>
      <c r="P947" s="424"/>
      <c r="Q947" s="435" t="n">
        <v>89</v>
      </c>
      <c r="R947" s="434" t="s">
        <v>679</v>
      </c>
      <c r="S947" s="424"/>
      <c r="T947" s="434" t="s">
        <v>680</v>
      </c>
      <c r="U947" s="434" t="s">
        <v>681</v>
      </c>
      <c r="V947" s="436" t="n">
        <f aca="false">AY952</f>
        <v>0</v>
      </c>
    </row>
    <row r="948" customFormat="false" ht="13.5" hidden="false" customHeight="false" outlineLevel="0" collapsed="false">
      <c r="A948" s="424"/>
      <c r="B948" s="424"/>
      <c r="C948" s="424"/>
      <c r="D948" s="424"/>
      <c r="E948" s="424"/>
      <c r="F948" s="424"/>
      <c r="G948" s="424"/>
      <c r="H948" s="424"/>
      <c r="I948" s="424"/>
      <c r="J948" s="424"/>
      <c r="K948" s="424"/>
      <c r="L948" s="424"/>
      <c r="M948" s="424"/>
      <c r="N948" s="424"/>
      <c r="O948" s="424"/>
      <c r="P948" s="424"/>
      <c r="Q948" s="435" t="n">
        <v>90</v>
      </c>
      <c r="R948" s="434" t="s">
        <v>682</v>
      </c>
      <c r="S948" s="424"/>
      <c r="T948" s="434" t="s">
        <v>683</v>
      </c>
      <c r="U948" s="434" t="s">
        <v>684</v>
      </c>
      <c r="V948" s="436" t="n">
        <f aca="false">AY953</f>
        <v>0</v>
      </c>
    </row>
    <row r="949" customFormat="false" ht="13.5" hidden="false" customHeight="false" outlineLevel="0" collapsed="false">
      <c r="A949" s="424"/>
      <c r="B949" s="424"/>
      <c r="C949" s="424"/>
      <c r="D949" s="424"/>
      <c r="E949" s="424"/>
      <c r="F949" s="424"/>
      <c r="G949" s="424"/>
      <c r="H949" s="424"/>
      <c r="I949" s="424"/>
      <c r="J949" s="424"/>
      <c r="K949" s="424"/>
      <c r="L949" s="424"/>
      <c r="M949" s="424"/>
      <c r="N949" s="424"/>
      <c r="O949" s="424"/>
      <c r="P949" s="424"/>
      <c r="Q949" s="435" t="n">
        <v>91</v>
      </c>
      <c r="R949" s="434" t="s">
        <v>685</v>
      </c>
      <c r="S949" s="424"/>
      <c r="T949" s="434" t="s">
        <v>686</v>
      </c>
      <c r="U949" s="434" t="s">
        <v>687</v>
      </c>
      <c r="V949" s="436" t="n">
        <f aca="false">AY954</f>
        <v>0</v>
      </c>
    </row>
    <row r="950" customFormat="false" ht="13.5" hidden="false" customHeight="false" outlineLevel="0" collapsed="false">
      <c r="A950" s="424"/>
      <c r="B950" s="424"/>
      <c r="C950" s="424"/>
      <c r="D950" s="424"/>
      <c r="E950" s="424"/>
      <c r="F950" s="424"/>
      <c r="G950" s="424"/>
      <c r="H950" s="424"/>
      <c r="I950" s="424"/>
      <c r="J950" s="424"/>
      <c r="K950" s="424"/>
      <c r="L950" s="424"/>
      <c r="M950" s="424"/>
      <c r="N950" s="424"/>
      <c r="O950" s="424"/>
      <c r="P950" s="424"/>
      <c r="Q950" s="435" t="n">
        <v>92</v>
      </c>
      <c r="R950" s="434" t="s">
        <v>688</v>
      </c>
      <c r="S950" s="424"/>
      <c r="T950" s="434" t="s">
        <v>689</v>
      </c>
      <c r="U950" s="434" t="s">
        <v>690</v>
      </c>
      <c r="V950" s="436" t="n">
        <f aca="false">AY955</f>
        <v>0</v>
      </c>
    </row>
    <row r="951" customFormat="false" ht="13.5" hidden="false" customHeight="false" outlineLevel="0" collapsed="false">
      <c r="A951" s="424"/>
      <c r="B951" s="424"/>
      <c r="C951" s="424"/>
      <c r="D951" s="424"/>
      <c r="E951" s="424"/>
      <c r="F951" s="424"/>
      <c r="G951" s="424"/>
      <c r="H951" s="424"/>
      <c r="I951" s="424"/>
      <c r="J951" s="424"/>
      <c r="K951" s="424"/>
      <c r="L951" s="424"/>
      <c r="M951" s="424"/>
      <c r="N951" s="424"/>
      <c r="O951" s="424"/>
      <c r="P951" s="424"/>
      <c r="Q951" s="435" t="n">
        <v>93</v>
      </c>
      <c r="R951" s="434" t="s">
        <v>691</v>
      </c>
      <c r="S951" s="424"/>
      <c r="T951" s="434" t="s">
        <v>692</v>
      </c>
      <c r="U951" s="434" t="s">
        <v>693</v>
      </c>
      <c r="V951" s="436" t="n">
        <f aca="false">AY956</f>
        <v>0</v>
      </c>
    </row>
    <row r="952" customFormat="false" ht="13.5" hidden="false" customHeight="false" outlineLevel="0" collapsed="false">
      <c r="A952" s="424"/>
      <c r="B952" s="424"/>
      <c r="C952" s="424"/>
      <c r="D952" s="424"/>
      <c r="E952" s="424"/>
      <c r="F952" s="424"/>
      <c r="G952" s="424"/>
      <c r="H952" s="424"/>
      <c r="I952" s="424"/>
      <c r="J952" s="424"/>
      <c r="K952" s="424"/>
      <c r="L952" s="424"/>
      <c r="M952" s="424"/>
      <c r="N952" s="424"/>
      <c r="O952" s="424"/>
      <c r="P952" s="424"/>
      <c r="Q952" s="435" t="n">
        <v>94</v>
      </c>
      <c r="R952" s="434" t="s">
        <v>694</v>
      </c>
      <c r="S952" s="424"/>
      <c r="T952" s="434" t="s">
        <v>695</v>
      </c>
      <c r="U952" s="434" t="s">
        <v>696</v>
      </c>
      <c r="V952" s="436" t="n">
        <f aca="false">AY957</f>
        <v>0</v>
      </c>
    </row>
    <row r="953" customFormat="false" ht="13.5" hidden="false" customHeight="false" outlineLevel="0" collapsed="false">
      <c r="A953" s="424"/>
      <c r="B953" s="424"/>
      <c r="C953" s="424"/>
      <c r="D953" s="424"/>
      <c r="E953" s="424"/>
      <c r="F953" s="424"/>
      <c r="G953" s="424"/>
      <c r="H953" s="424"/>
      <c r="I953" s="424"/>
      <c r="J953" s="424"/>
      <c r="K953" s="424"/>
      <c r="L953" s="424"/>
      <c r="M953" s="424"/>
      <c r="N953" s="424"/>
      <c r="O953" s="424"/>
      <c r="P953" s="424"/>
      <c r="Q953" s="435" t="n">
        <v>95</v>
      </c>
      <c r="R953" s="434" t="s">
        <v>697</v>
      </c>
      <c r="S953" s="424"/>
      <c r="T953" s="434" t="s">
        <v>698</v>
      </c>
      <c r="U953" s="434" t="s">
        <v>699</v>
      </c>
      <c r="V953" s="436" t="n">
        <f aca="false">AY958</f>
        <v>0</v>
      </c>
    </row>
    <row r="954" customFormat="false" ht="13.5" hidden="false" customHeight="false" outlineLevel="0" collapsed="false">
      <c r="A954" s="424"/>
      <c r="B954" s="424"/>
      <c r="C954" s="424"/>
      <c r="D954" s="424"/>
      <c r="E954" s="424"/>
      <c r="F954" s="424"/>
      <c r="G954" s="424"/>
      <c r="H954" s="424"/>
      <c r="I954" s="424"/>
      <c r="J954" s="424"/>
      <c r="K954" s="424"/>
      <c r="L954" s="424"/>
      <c r="M954" s="424"/>
      <c r="N954" s="424"/>
      <c r="O954" s="424"/>
      <c r="P954" s="424"/>
      <c r="Q954" s="435" t="n">
        <v>96</v>
      </c>
      <c r="R954" s="434" t="s">
        <v>700</v>
      </c>
      <c r="S954" s="424"/>
      <c r="T954" s="434" t="s">
        <v>701</v>
      </c>
      <c r="U954" s="434" t="s">
        <v>702</v>
      </c>
      <c r="V954" s="436" t="n">
        <f aca="false">AY959</f>
        <v>0</v>
      </c>
    </row>
    <row r="955" customFormat="false" ht="13.5" hidden="false" customHeight="false" outlineLevel="0" collapsed="false">
      <c r="A955" s="424"/>
      <c r="B955" s="424"/>
      <c r="C955" s="424"/>
      <c r="D955" s="424"/>
      <c r="E955" s="424"/>
      <c r="F955" s="424"/>
      <c r="G955" s="424"/>
      <c r="H955" s="424"/>
      <c r="I955" s="424"/>
      <c r="J955" s="424"/>
      <c r="K955" s="424"/>
      <c r="L955" s="424"/>
      <c r="M955" s="424"/>
      <c r="N955" s="424"/>
      <c r="O955" s="424"/>
      <c r="P955" s="424"/>
      <c r="Q955" s="435" t="n">
        <v>97</v>
      </c>
      <c r="R955" s="434" t="s">
        <v>703</v>
      </c>
      <c r="S955" s="424"/>
      <c r="T955" s="434" t="s">
        <v>704</v>
      </c>
      <c r="U955" s="434" t="s">
        <v>705</v>
      </c>
      <c r="V955" s="436" t="n">
        <f aca="false">AY960</f>
        <v>0</v>
      </c>
    </row>
    <row r="956" customFormat="false" ht="13.5" hidden="false" customHeight="false" outlineLevel="0" collapsed="false">
      <c r="A956" s="424"/>
      <c r="B956" s="424"/>
      <c r="C956" s="424"/>
      <c r="D956" s="424"/>
      <c r="E956" s="424"/>
      <c r="F956" s="424"/>
      <c r="G956" s="424"/>
      <c r="H956" s="424"/>
      <c r="I956" s="424"/>
      <c r="J956" s="424"/>
      <c r="K956" s="424"/>
      <c r="L956" s="424"/>
      <c r="M956" s="424"/>
      <c r="N956" s="424"/>
      <c r="O956" s="424"/>
      <c r="P956" s="424"/>
      <c r="Q956" s="435" t="n">
        <v>98</v>
      </c>
      <c r="R956" s="434" t="s">
        <v>706</v>
      </c>
      <c r="S956" s="424"/>
      <c r="T956" s="434" t="s">
        <v>707</v>
      </c>
      <c r="U956" s="434" t="s">
        <v>708</v>
      </c>
      <c r="V956" s="436" t="n">
        <f aca="false">AY961</f>
        <v>0</v>
      </c>
    </row>
    <row r="957" customFormat="false" ht="13.5" hidden="false" customHeight="false" outlineLevel="0" collapsed="false">
      <c r="A957" s="424"/>
      <c r="B957" s="424"/>
      <c r="C957" s="424"/>
      <c r="D957" s="424"/>
      <c r="E957" s="424"/>
      <c r="F957" s="424"/>
      <c r="G957" s="424"/>
      <c r="H957" s="424"/>
      <c r="I957" s="424"/>
      <c r="J957" s="424"/>
      <c r="K957" s="424"/>
      <c r="L957" s="424"/>
      <c r="M957" s="424"/>
      <c r="N957" s="424"/>
      <c r="O957" s="424"/>
      <c r="P957" s="424"/>
      <c r="Q957" s="435" t="n">
        <v>99</v>
      </c>
      <c r="R957" s="434" t="s">
        <v>709</v>
      </c>
      <c r="S957" s="424"/>
      <c r="T957" s="434" t="s">
        <v>710</v>
      </c>
      <c r="U957" s="434" t="s">
        <v>711</v>
      </c>
      <c r="V957" s="436" t="n">
        <f aca="false">AY962</f>
        <v>0</v>
      </c>
    </row>
    <row r="958" customFormat="false" ht="13.5" hidden="false" customHeight="false" outlineLevel="0" collapsed="false">
      <c r="A958" s="424"/>
      <c r="B958" s="424"/>
      <c r="C958" s="424"/>
      <c r="D958" s="424"/>
      <c r="E958" s="424"/>
      <c r="F958" s="424"/>
      <c r="G958" s="424"/>
      <c r="H958" s="424"/>
      <c r="I958" s="424"/>
      <c r="J958" s="424"/>
      <c r="K958" s="424"/>
      <c r="L958" s="424"/>
      <c r="M958" s="424"/>
      <c r="N958" s="424"/>
      <c r="O958" s="424"/>
      <c r="P958" s="424"/>
      <c r="Q958" s="424"/>
      <c r="R958" s="424"/>
      <c r="S958" s="424"/>
      <c r="T958" s="424"/>
      <c r="U958" s="424"/>
      <c r="V958" s="436" t="n">
        <f aca="false">AY963</f>
        <v>0</v>
      </c>
    </row>
    <row r="959" customFormat="false" ht="13.5" hidden="false" customHeight="false" outlineLevel="0" collapsed="false">
      <c r="A959" s="424"/>
      <c r="B959" s="424"/>
      <c r="C959" s="424"/>
      <c r="D959" s="424"/>
      <c r="E959" s="424"/>
      <c r="F959" s="424"/>
      <c r="G959" s="424"/>
      <c r="H959" s="424"/>
      <c r="I959" s="424"/>
      <c r="J959" s="424"/>
      <c r="K959" s="424"/>
      <c r="L959" s="424"/>
      <c r="M959" s="424"/>
      <c r="N959" s="424"/>
      <c r="O959" s="424"/>
      <c r="P959" s="424"/>
      <c r="Q959" s="424"/>
      <c r="R959" s="424"/>
      <c r="S959" s="424"/>
      <c r="T959" s="424"/>
      <c r="U959" s="424"/>
      <c r="V959" s="436" t="n">
        <f aca="false">AY964</f>
        <v>0</v>
      </c>
    </row>
    <row r="960" customFormat="false" ht="13.5" hidden="false" customHeight="false" outlineLevel="0" collapsed="false">
      <c r="A960" s="424"/>
      <c r="B960" s="424"/>
      <c r="C960" s="424"/>
      <c r="D960" s="424"/>
      <c r="E960" s="424"/>
      <c r="F960" s="424"/>
      <c r="G960" s="424"/>
      <c r="H960" s="424"/>
      <c r="I960" s="424"/>
      <c r="J960" s="424"/>
      <c r="K960" s="424"/>
      <c r="L960" s="424"/>
      <c r="M960" s="424"/>
      <c r="N960" s="424"/>
      <c r="O960" s="424"/>
      <c r="P960" s="424"/>
      <c r="Q960" s="424"/>
      <c r="R960" s="424"/>
      <c r="S960" s="424"/>
      <c r="T960" s="424"/>
      <c r="U960" s="424"/>
      <c r="V960" s="436" t="n">
        <f aca="false">AY965</f>
        <v>0</v>
      </c>
    </row>
    <row r="961" customFormat="false" ht="13.5" hidden="false" customHeight="false" outlineLevel="0" collapsed="false">
      <c r="A961" s="424"/>
      <c r="B961" s="424"/>
      <c r="C961" s="424"/>
      <c r="D961" s="424"/>
      <c r="E961" s="424"/>
      <c r="F961" s="424"/>
      <c r="G961" s="424"/>
      <c r="H961" s="424"/>
      <c r="I961" s="424"/>
      <c r="J961" s="424"/>
      <c r="K961" s="424"/>
      <c r="L961" s="424"/>
      <c r="M961" s="424"/>
      <c r="N961" s="424"/>
      <c r="O961" s="424"/>
      <c r="P961" s="424"/>
      <c r="Q961" s="424"/>
      <c r="R961" s="424"/>
      <c r="S961" s="424"/>
      <c r="T961" s="424"/>
      <c r="U961" s="424"/>
      <c r="V961" s="436" t="n">
        <f aca="false">AY966</f>
        <v>0</v>
      </c>
    </row>
    <row r="962" customFormat="false" ht="13.5" hidden="false" customHeight="false" outlineLevel="0" collapsed="false">
      <c r="A962" s="424"/>
      <c r="B962" s="424"/>
      <c r="C962" s="424"/>
      <c r="D962" s="424"/>
      <c r="E962" s="424"/>
      <c r="F962" s="424"/>
      <c r="G962" s="424"/>
      <c r="H962" s="424"/>
      <c r="I962" s="424"/>
      <c r="J962" s="424"/>
      <c r="K962" s="424"/>
      <c r="L962" s="424"/>
      <c r="M962" s="424"/>
      <c r="N962" s="424"/>
      <c r="O962" s="424"/>
      <c r="P962" s="424"/>
      <c r="Q962" s="424"/>
      <c r="R962" s="424"/>
      <c r="S962" s="424"/>
      <c r="T962" s="424"/>
      <c r="U962" s="424"/>
      <c r="V962" s="436" t="n">
        <f aca="false">AY967</f>
        <v>0</v>
      </c>
    </row>
    <row r="963" customFormat="false" ht="13.5" hidden="false" customHeight="false" outlineLevel="0" collapsed="false">
      <c r="A963" s="424"/>
      <c r="B963" s="424"/>
      <c r="C963" s="424"/>
      <c r="D963" s="424"/>
      <c r="E963" s="424"/>
      <c r="F963" s="424"/>
      <c r="G963" s="424"/>
      <c r="H963" s="424"/>
      <c r="I963" s="424"/>
      <c r="J963" s="424"/>
      <c r="K963" s="424"/>
      <c r="L963" s="424"/>
      <c r="M963" s="424"/>
      <c r="N963" s="424"/>
      <c r="O963" s="424"/>
      <c r="P963" s="424"/>
      <c r="Q963" s="424"/>
      <c r="R963" s="424"/>
      <c r="S963" s="424"/>
      <c r="T963" s="424"/>
      <c r="U963" s="424"/>
      <c r="V963" s="436" t="n">
        <f aca="false">AY968</f>
        <v>0</v>
      </c>
    </row>
    <row r="964" customFormat="false" ht="13.5" hidden="false" customHeight="false" outlineLevel="0" collapsed="false">
      <c r="A964" s="424"/>
      <c r="B964" s="424"/>
      <c r="C964" s="424"/>
      <c r="D964" s="424"/>
      <c r="E964" s="424"/>
      <c r="F964" s="424"/>
      <c r="G964" s="424"/>
      <c r="H964" s="424"/>
      <c r="I964" s="424"/>
      <c r="J964" s="424"/>
      <c r="K964" s="424"/>
      <c r="L964" s="424"/>
      <c r="M964" s="424"/>
      <c r="N964" s="424"/>
      <c r="O964" s="424"/>
      <c r="P964" s="424"/>
      <c r="Q964" s="424"/>
      <c r="R964" s="424"/>
      <c r="S964" s="424"/>
      <c r="T964" s="424"/>
      <c r="U964" s="424"/>
      <c r="V964" s="436" t="n">
        <f aca="false">AY969</f>
        <v>0</v>
      </c>
    </row>
    <row r="965" customFormat="false" ht="13.5" hidden="false" customHeight="false" outlineLevel="0" collapsed="false">
      <c r="A965" s="424"/>
      <c r="B965" s="424"/>
      <c r="C965" s="424"/>
      <c r="D965" s="424"/>
      <c r="E965" s="424"/>
      <c r="F965" s="424"/>
      <c r="G965" s="424"/>
      <c r="H965" s="424"/>
      <c r="I965" s="424"/>
      <c r="J965" s="424"/>
      <c r="K965" s="424"/>
      <c r="L965" s="424"/>
      <c r="M965" s="424"/>
      <c r="N965" s="424"/>
      <c r="O965" s="424"/>
      <c r="P965" s="424"/>
      <c r="Q965" s="424"/>
      <c r="R965" s="424"/>
      <c r="S965" s="424"/>
      <c r="T965" s="424"/>
      <c r="U965" s="424"/>
      <c r="V965" s="436" t="n">
        <f aca="false">AY970</f>
        <v>0</v>
      </c>
    </row>
    <row r="966" customFormat="false" ht="13.5" hidden="false" customHeight="false" outlineLevel="0" collapsed="false">
      <c r="A966" s="424"/>
      <c r="B966" s="424"/>
      <c r="C966" s="424"/>
      <c r="D966" s="424"/>
      <c r="E966" s="424"/>
      <c r="F966" s="424"/>
      <c r="G966" s="424"/>
      <c r="H966" s="424"/>
      <c r="I966" s="424"/>
      <c r="J966" s="424"/>
      <c r="K966" s="424"/>
      <c r="L966" s="424"/>
      <c r="M966" s="424"/>
      <c r="N966" s="424"/>
      <c r="O966" s="424"/>
      <c r="P966" s="424"/>
      <c r="Q966" s="424"/>
      <c r="R966" s="424"/>
      <c r="S966" s="424"/>
      <c r="T966" s="424"/>
      <c r="U966" s="424"/>
      <c r="V966" s="436" t="n">
        <f aca="false">AY971</f>
        <v>0</v>
      </c>
    </row>
    <row r="967" customFormat="false" ht="13.5" hidden="false" customHeight="false" outlineLevel="0" collapsed="false">
      <c r="A967" s="424"/>
      <c r="B967" s="424"/>
      <c r="C967" s="424"/>
      <c r="D967" s="424"/>
      <c r="E967" s="424"/>
      <c r="F967" s="424"/>
      <c r="G967" s="424"/>
      <c r="H967" s="424"/>
      <c r="I967" s="424"/>
      <c r="J967" s="424"/>
      <c r="K967" s="424"/>
      <c r="L967" s="424"/>
      <c r="M967" s="424"/>
      <c r="N967" s="424"/>
      <c r="O967" s="424"/>
      <c r="P967" s="424"/>
      <c r="Q967" s="424"/>
      <c r="R967" s="424"/>
      <c r="S967" s="424"/>
      <c r="T967" s="424"/>
      <c r="U967" s="424"/>
      <c r="V967" s="436" t="n">
        <f aca="false">AY972</f>
        <v>0</v>
      </c>
    </row>
    <row r="968" customFormat="false" ht="13.5" hidden="false" customHeight="false" outlineLevel="0" collapsed="false">
      <c r="A968" s="424"/>
      <c r="B968" s="424"/>
      <c r="C968" s="424"/>
      <c r="D968" s="424"/>
      <c r="E968" s="424"/>
      <c r="F968" s="424"/>
      <c r="G968" s="424"/>
      <c r="H968" s="424"/>
      <c r="I968" s="424"/>
      <c r="J968" s="424"/>
      <c r="K968" s="424"/>
      <c r="L968" s="424"/>
      <c r="M968" s="424"/>
      <c r="N968" s="424"/>
      <c r="O968" s="424"/>
      <c r="P968" s="424"/>
      <c r="Q968" s="424"/>
      <c r="R968" s="424"/>
      <c r="S968" s="424"/>
      <c r="T968" s="424"/>
      <c r="U968" s="424"/>
      <c r="V968" s="436" t="n">
        <f aca="false">AY973</f>
        <v>0</v>
      </c>
    </row>
    <row r="969" customFormat="false" ht="13.5" hidden="false" customHeight="false" outlineLevel="0" collapsed="false">
      <c r="A969" s="424"/>
      <c r="B969" s="424"/>
      <c r="C969" s="424"/>
      <c r="D969" s="424"/>
      <c r="E969" s="424"/>
      <c r="F969" s="424"/>
      <c r="G969" s="424"/>
      <c r="H969" s="424"/>
      <c r="I969" s="424"/>
      <c r="J969" s="424"/>
      <c r="K969" s="424"/>
      <c r="L969" s="424"/>
      <c r="M969" s="424"/>
      <c r="N969" s="424"/>
      <c r="O969" s="424"/>
      <c r="P969" s="424"/>
      <c r="Q969" s="424"/>
      <c r="R969" s="424"/>
      <c r="S969" s="424"/>
      <c r="T969" s="424"/>
      <c r="U969" s="424"/>
      <c r="V969" s="436" t="n">
        <f aca="false">AY974</f>
        <v>0</v>
      </c>
    </row>
    <row r="970" customFormat="false" ht="13.5" hidden="false" customHeight="false" outlineLevel="0" collapsed="false">
      <c r="A970" s="424"/>
      <c r="B970" s="424"/>
      <c r="C970" s="424"/>
      <c r="D970" s="424"/>
      <c r="E970" s="424"/>
      <c r="F970" s="424"/>
      <c r="G970" s="424"/>
      <c r="H970" s="424"/>
      <c r="I970" s="424"/>
      <c r="J970" s="424"/>
      <c r="K970" s="424"/>
      <c r="L970" s="424"/>
      <c r="M970" s="424"/>
      <c r="N970" s="424"/>
      <c r="O970" s="424"/>
      <c r="P970" s="424"/>
      <c r="Q970" s="424"/>
      <c r="R970" s="424"/>
      <c r="S970" s="424"/>
      <c r="T970" s="424"/>
      <c r="U970" s="424"/>
      <c r="V970" s="436" t="n">
        <f aca="false">AY975</f>
        <v>0</v>
      </c>
    </row>
    <row r="971" customFormat="false" ht="13.5" hidden="false" customHeight="false" outlineLevel="0" collapsed="false">
      <c r="A971" s="424"/>
      <c r="B971" s="424"/>
      <c r="C971" s="424"/>
      <c r="D971" s="424"/>
      <c r="E971" s="424"/>
      <c r="F971" s="424"/>
      <c r="G971" s="424"/>
      <c r="H971" s="424"/>
      <c r="I971" s="424"/>
      <c r="J971" s="424"/>
      <c r="K971" s="424"/>
      <c r="L971" s="424"/>
      <c r="M971" s="424"/>
      <c r="N971" s="424"/>
      <c r="O971" s="424"/>
      <c r="P971" s="424"/>
      <c r="Q971" s="424"/>
      <c r="R971" s="424"/>
      <c r="S971" s="424"/>
      <c r="T971" s="424"/>
      <c r="U971" s="424"/>
      <c r="V971" s="436" t="n">
        <f aca="false">AY976</f>
        <v>0</v>
      </c>
    </row>
    <row r="972" customFormat="false" ht="13.5" hidden="false" customHeight="false" outlineLevel="0" collapsed="false">
      <c r="A972" s="424"/>
      <c r="B972" s="424"/>
      <c r="C972" s="424"/>
      <c r="D972" s="424"/>
      <c r="E972" s="424"/>
      <c r="F972" s="424"/>
      <c r="G972" s="424"/>
      <c r="H972" s="424"/>
      <c r="I972" s="424"/>
      <c r="J972" s="424"/>
      <c r="K972" s="424"/>
      <c r="L972" s="424"/>
      <c r="M972" s="424"/>
      <c r="N972" s="424"/>
      <c r="O972" s="424"/>
      <c r="P972" s="424"/>
      <c r="Q972" s="424"/>
      <c r="R972" s="424"/>
      <c r="S972" s="424"/>
      <c r="T972" s="424"/>
      <c r="U972" s="424"/>
      <c r="V972" s="436" t="n">
        <f aca="false">AY977</f>
        <v>0</v>
      </c>
    </row>
    <row r="973" customFormat="false" ht="13.5" hidden="false" customHeight="false" outlineLevel="0" collapsed="false">
      <c r="A973" s="424"/>
      <c r="B973" s="424"/>
      <c r="C973" s="424"/>
      <c r="D973" s="424"/>
      <c r="E973" s="424"/>
      <c r="F973" s="424"/>
      <c r="G973" s="424"/>
      <c r="H973" s="424"/>
      <c r="I973" s="424"/>
      <c r="J973" s="424"/>
      <c r="K973" s="424"/>
      <c r="L973" s="424"/>
      <c r="M973" s="424"/>
      <c r="N973" s="424"/>
      <c r="O973" s="424"/>
      <c r="P973" s="424"/>
      <c r="Q973" s="424"/>
      <c r="R973" s="424"/>
      <c r="S973" s="424"/>
      <c r="T973" s="424"/>
      <c r="U973" s="424"/>
      <c r="V973" s="436" t="n">
        <f aca="false">AY978</f>
        <v>0</v>
      </c>
    </row>
    <row r="974" customFormat="false" ht="13.5" hidden="false" customHeight="false" outlineLevel="0" collapsed="false">
      <c r="A974" s="424"/>
      <c r="B974" s="424"/>
      <c r="C974" s="424"/>
      <c r="D974" s="424"/>
      <c r="E974" s="424"/>
      <c r="F974" s="424"/>
      <c r="G974" s="424"/>
      <c r="H974" s="424"/>
      <c r="I974" s="424"/>
      <c r="J974" s="424"/>
      <c r="K974" s="424"/>
      <c r="L974" s="424"/>
      <c r="M974" s="424"/>
      <c r="N974" s="424"/>
      <c r="O974" s="424"/>
      <c r="P974" s="424"/>
      <c r="Q974" s="424"/>
      <c r="R974" s="424"/>
      <c r="S974" s="424"/>
      <c r="T974" s="424"/>
      <c r="U974" s="424"/>
      <c r="V974" s="436" t="n">
        <f aca="false">AY979</f>
        <v>0</v>
      </c>
    </row>
    <row r="975" customFormat="false" ht="13.5" hidden="false" customHeight="false" outlineLevel="0" collapsed="false">
      <c r="A975" s="424"/>
      <c r="B975" s="424"/>
      <c r="C975" s="424"/>
      <c r="D975" s="424"/>
      <c r="E975" s="424"/>
      <c r="F975" s="424"/>
      <c r="G975" s="424"/>
      <c r="H975" s="424"/>
      <c r="I975" s="424"/>
      <c r="J975" s="424"/>
      <c r="K975" s="424"/>
      <c r="L975" s="424"/>
      <c r="M975" s="424"/>
      <c r="N975" s="424"/>
      <c r="O975" s="424"/>
      <c r="P975" s="424"/>
      <c r="Q975" s="424"/>
      <c r="R975" s="424"/>
      <c r="S975" s="424"/>
      <c r="T975" s="424"/>
      <c r="U975" s="424"/>
      <c r="V975" s="436" t="n">
        <f aca="false">AY980</f>
        <v>0</v>
      </c>
    </row>
    <row r="977" customFormat="false" ht="13.5" hidden="false" customHeight="false" outlineLevel="0" collapsed="false">
      <c r="A977" s="424"/>
      <c r="B977" s="424"/>
      <c r="C977" s="424"/>
      <c r="D977" s="424"/>
      <c r="E977" s="424"/>
      <c r="F977" s="424"/>
      <c r="G977" s="424"/>
      <c r="H977" s="424"/>
      <c r="I977" s="424"/>
      <c r="J977" s="424"/>
      <c r="K977" s="424"/>
      <c r="L977" s="424"/>
      <c r="M977" s="424"/>
      <c r="N977" s="424"/>
      <c r="O977" s="424"/>
      <c r="P977" s="424"/>
      <c r="Q977" s="424"/>
      <c r="R977" s="424"/>
      <c r="S977" s="424"/>
      <c r="T977" s="424"/>
      <c r="U977" s="424"/>
      <c r="V977" s="424"/>
    </row>
    <row r="978" customFormat="false" ht="13.5" hidden="false" customHeight="false" outlineLevel="0" collapsed="false">
      <c r="A978" s="424"/>
      <c r="B978" s="424"/>
      <c r="C978" s="424"/>
      <c r="D978" s="424"/>
      <c r="E978" s="424"/>
      <c r="F978" s="424"/>
      <c r="G978" s="424"/>
      <c r="H978" s="424"/>
      <c r="I978" s="424"/>
      <c r="J978" s="424"/>
      <c r="K978" s="424"/>
      <c r="L978" s="424"/>
      <c r="M978" s="424"/>
      <c r="N978" s="424"/>
      <c r="O978" s="424"/>
      <c r="P978" s="424"/>
      <c r="Q978" s="424"/>
      <c r="R978" s="424"/>
      <c r="S978" s="424"/>
      <c r="T978" s="424"/>
      <c r="U978" s="424"/>
      <c r="V978" s="424"/>
    </row>
    <row r="979" customFormat="false" ht="13.5" hidden="false" customHeight="false" outlineLevel="0" collapsed="false">
      <c r="A979" s="424"/>
      <c r="B979" s="424"/>
      <c r="C979" s="424"/>
      <c r="D979" s="424"/>
      <c r="E979" s="424"/>
      <c r="F979" s="424"/>
      <c r="G979" s="424"/>
      <c r="H979" s="424"/>
      <c r="I979" s="424"/>
      <c r="J979" s="424"/>
      <c r="K979" s="424"/>
      <c r="L979" s="424"/>
      <c r="M979" s="424"/>
      <c r="N979" s="424"/>
      <c r="O979" s="424"/>
      <c r="P979" s="424"/>
      <c r="Q979" s="424"/>
      <c r="R979" s="434" t="s">
        <v>400</v>
      </c>
      <c r="S979" s="424"/>
      <c r="T979" s="424"/>
      <c r="U979" s="424"/>
      <c r="V979" s="435" t="n">
        <f aca="false">SUM(V981:V1013)</f>
        <v>0</v>
      </c>
    </row>
    <row r="980" customFormat="false" ht="13.5" hidden="false" customHeight="false" outlineLevel="0" collapsed="false">
      <c r="A980" s="424"/>
      <c r="B980" s="424"/>
      <c r="C980" s="424"/>
      <c r="D980" s="424"/>
      <c r="E980" s="424"/>
      <c r="F980" s="424"/>
      <c r="G980" s="424"/>
      <c r="H980" s="424"/>
      <c r="I980" s="424"/>
      <c r="J980" s="424"/>
      <c r="K980" s="424"/>
      <c r="L980" s="424"/>
      <c r="M980" s="424"/>
      <c r="N980" s="424"/>
      <c r="O980" s="424"/>
      <c r="P980" s="424"/>
      <c r="Q980" s="435" t="n">
        <v>0</v>
      </c>
      <c r="R980" s="424"/>
      <c r="S980" s="435" t="n">
        <v>0</v>
      </c>
      <c r="T980" s="424"/>
      <c r="U980" s="424"/>
      <c r="V980" s="436" t="n">
        <f aca="false">AY980</f>
        <v>0</v>
      </c>
    </row>
    <row r="981" customFormat="false" ht="13.5" hidden="false" customHeight="false" outlineLevel="0" collapsed="false">
      <c r="A981" s="424"/>
      <c r="B981" s="424"/>
      <c r="C981" s="424"/>
      <c r="D981" s="424"/>
      <c r="E981" s="424"/>
      <c r="F981" s="424"/>
      <c r="G981" s="424"/>
      <c r="H981" s="424"/>
      <c r="I981" s="424"/>
      <c r="J981" s="424"/>
      <c r="K981" s="424"/>
      <c r="L981" s="424"/>
      <c r="M981" s="424"/>
      <c r="N981" s="424"/>
      <c r="O981" s="424"/>
      <c r="P981" s="424"/>
      <c r="Q981" s="435" t="n">
        <v>1</v>
      </c>
      <c r="R981" s="434" t="s">
        <v>401</v>
      </c>
      <c r="S981" s="434" t="s">
        <v>402</v>
      </c>
      <c r="T981" s="434" t="s">
        <v>403</v>
      </c>
      <c r="U981" s="434" t="s">
        <v>404</v>
      </c>
      <c r="V981" s="436" t="n">
        <f aca="false">AY981</f>
        <v>0</v>
      </c>
    </row>
    <row r="982" customFormat="false" ht="13.5" hidden="false" customHeight="false" outlineLevel="0" collapsed="false">
      <c r="A982" s="424"/>
      <c r="B982" s="424"/>
      <c r="C982" s="424"/>
      <c r="D982" s="424"/>
      <c r="E982" s="424"/>
      <c r="F982" s="424"/>
      <c r="G982" s="424"/>
      <c r="H982" s="424"/>
      <c r="I982" s="424"/>
      <c r="J982" s="424"/>
      <c r="K982" s="424"/>
      <c r="L982" s="424"/>
      <c r="M982" s="424"/>
      <c r="N982" s="424"/>
      <c r="O982" s="424"/>
      <c r="P982" s="424"/>
      <c r="Q982" s="435" t="n">
        <v>2</v>
      </c>
      <c r="R982" s="434" t="s">
        <v>405</v>
      </c>
      <c r="S982" s="434" t="s">
        <v>406</v>
      </c>
      <c r="T982" s="434" t="s">
        <v>407</v>
      </c>
      <c r="U982" s="434" t="s">
        <v>408</v>
      </c>
      <c r="V982" s="436" t="n">
        <f aca="false">AY982</f>
        <v>0</v>
      </c>
    </row>
    <row r="983" customFormat="false" ht="13.5" hidden="false" customHeight="false" outlineLevel="0" collapsed="false">
      <c r="A983" s="424"/>
      <c r="B983" s="424"/>
      <c r="C983" s="424"/>
      <c r="D983" s="424"/>
      <c r="E983" s="424"/>
      <c r="F983" s="424"/>
      <c r="G983" s="424"/>
      <c r="H983" s="424"/>
      <c r="I983" s="424"/>
      <c r="J983" s="424"/>
      <c r="K983" s="424"/>
      <c r="L983" s="424"/>
      <c r="M983" s="424"/>
      <c r="N983" s="424"/>
      <c r="O983" s="424"/>
      <c r="P983" s="424"/>
      <c r="Q983" s="435" t="n">
        <v>3</v>
      </c>
      <c r="R983" s="434" t="s">
        <v>409</v>
      </c>
      <c r="S983" s="434" t="s">
        <v>410</v>
      </c>
      <c r="T983" s="434" t="s">
        <v>411</v>
      </c>
      <c r="U983" s="434" t="s">
        <v>412</v>
      </c>
      <c r="V983" s="436" t="n">
        <f aca="false">AY983</f>
        <v>0</v>
      </c>
    </row>
    <row r="984" customFormat="false" ht="13.5" hidden="false" customHeight="false" outlineLevel="0" collapsed="false">
      <c r="A984" s="424"/>
      <c r="B984" s="424"/>
      <c r="C984" s="424"/>
      <c r="D984" s="424"/>
      <c r="E984" s="424"/>
      <c r="F984" s="424"/>
      <c r="G984" s="424"/>
      <c r="H984" s="424"/>
      <c r="I984" s="424"/>
      <c r="J984" s="424"/>
      <c r="K984" s="424"/>
      <c r="L984" s="424"/>
      <c r="M984" s="424"/>
      <c r="N984" s="424"/>
      <c r="O984" s="424"/>
      <c r="P984" s="424"/>
      <c r="Q984" s="435" t="n">
        <v>4</v>
      </c>
      <c r="R984" s="434" t="s">
        <v>413</v>
      </c>
      <c r="S984" s="434" t="s">
        <v>414</v>
      </c>
      <c r="T984" s="434" t="s">
        <v>415</v>
      </c>
      <c r="U984" s="434" t="s">
        <v>416</v>
      </c>
      <c r="V984" s="436" t="n">
        <f aca="false">AY984</f>
        <v>0</v>
      </c>
    </row>
    <row r="985" customFormat="false" ht="13.5" hidden="false" customHeight="false" outlineLevel="0" collapsed="false">
      <c r="A985" s="424"/>
      <c r="B985" s="424"/>
      <c r="C985" s="424"/>
      <c r="D985" s="424"/>
      <c r="E985" s="424"/>
      <c r="F985" s="424"/>
      <c r="G985" s="424"/>
      <c r="H985" s="424"/>
      <c r="I985" s="424"/>
      <c r="J985" s="424"/>
      <c r="K985" s="424"/>
      <c r="L985" s="424"/>
      <c r="M985" s="424"/>
      <c r="N985" s="424"/>
      <c r="O985" s="424"/>
      <c r="P985" s="438" t="s">
        <v>417</v>
      </c>
      <c r="Q985" s="435" t="n">
        <v>5</v>
      </c>
      <c r="R985" s="434" t="s">
        <v>418</v>
      </c>
      <c r="S985" s="434" t="s">
        <v>419</v>
      </c>
      <c r="T985" s="434" t="s">
        <v>420</v>
      </c>
      <c r="U985" s="434" t="s">
        <v>421</v>
      </c>
      <c r="V985" s="436" t="n">
        <f aca="false">AY985</f>
        <v>0</v>
      </c>
    </row>
    <row r="986" customFormat="false" ht="13.5" hidden="false" customHeight="false" outlineLevel="0" collapsed="false">
      <c r="A986" s="424"/>
      <c r="B986" s="424"/>
      <c r="C986" s="424"/>
      <c r="D986" s="424"/>
      <c r="E986" s="424"/>
      <c r="F986" s="424"/>
      <c r="G986" s="424"/>
      <c r="H986" s="424"/>
      <c r="I986" s="424"/>
      <c r="J986" s="424"/>
      <c r="K986" s="424"/>
      <c r="L986" s="424"/>
      <c r="M986" s="424"/>
      <c r="N986" s="424"/>
      <c r="O986" s="424"/>
      <c r="P986" s="438" t="s">
        <v>417</v>
      </c>
      <c r="Q986" s="435" t="n">
        <v>6</v>
      </c>
      <c r="R986" s="434" t="s">
        <v>422</v>
      </c>
      <c r="S986" s="434" t="s">
        <v>423</v>
      </c>
      <c r="T986" s="434" t="s">
        <v>424</v>
      </c>
      <c r="U986" s="434" t="s">
        <v>425</v>
      </c>
      <c r="V986" s="436" t="n">
        <f aca="false">AY986</f>
        <v>0</v>
      </c>
    </row>
    <row r="987" customFormat="false" ht="13.5" hidden="false" customHeight="false" outlineLevel="0" collapsed="false">
      <c r="A987" s="424"/>
      <c r="B987" s="424"/>
      <c r="C987" s="424"/>
      <c r="D987" s="424"/>
      <c r="E987" s="424"/>
      <c r="F987" s="424"/>
      <c r="G987" s="424"/>
      <c r="H987" s="424"/>
      <c r="I987" s="424"/>
      <c r="J987" s="424"/>
      <c r="K987" s="424"/>
      <c r="L987" s="424"/>
      <c r="M987" s="424"/>
      <c r="N987" s="424"/>
      <c r="O987" s="424"/>
      <c r="P987" s="438" t="s">
        <v>417</v>
      </c>
      <c r="Q987" s="435" t="n">
        <v>7</v>
      </c>
      <c r="R987" s="434" t="s">
        <v>426</v>
      </c>
      <c r="S987" s="434" t="s">
        <v>427</v>
      </c>
      <c r="T987" s="434" t="s">
        <v>428</v>
      </c>
      <c r="U987" s="434" t="s">
        <v>429</v>
      </c>
      <c r="V987" s="436" t="n">
        <f aca="false">AY987</f>
        <v>0</v>
      </c>
    </row>
    <row r="988" customFormat="false" ht="13.5" hidden="false" customHeight="false" outlineLevel="0" collapsed="false">
      <c r="A988" s="424"/>
      <c r="B988" s="424"/>
      <c r="C988" s="424"/>
      <c r="D988" s="424"/>
      <c r="E988" s="424"/>
      <c r="F988" s="424"/>
      <c r="G988" s="424"/>
      <c r="H988" s="424"/>
      <c r="I988" s="424"/>
      <c r="J988" s="424"/>
      <c r="K988" s="424"/>
      <c r="L988" s="424"/>
      <c r="M988" s="424"/>
      <c r="N988" s="424"/>
      <c r="O988" s="424"/>
      <c r="P988" s="438" t="s">
        <v>417</v>
      </c>
      <c r="Q988" s="435" t="n">
        <v>8</v>
      </c>
      <c r="R988" s="434" t="s">
        <v>430</v>
      </c>
      <c r="S988" s="434" t="s">
        <v>431</v>
      </c>
      <c r="T988" s="434" t="s">
        <v>432</v>
      </c>
      <c r="U988" s="434" t="s">
        <v>433</v>
      </c>
      <c r="V988" s="436" t="n">
        <f aca="false">AY988</f>
        <v>0</v>
      </c>
    </row>
    <row r="989" customFormat="false" ht="13.5" hidden="false" customHeight="false" outlineLevel="0" collapsed="false">
      <c r="A989" s="424"/>
      <c r="B989" s="424"/>
      <c r="C989" s="424"/>
      <c r="D989" s="424"/>
      <c r="E989" s="424"/>
      <c r="F989" s="424"/>
      <c r="G989" s="424"/>
      <c r="H989" s="424"/>
      <c r="I989" s="424"/>
      <c r="J989" s="424"/>
      <c r="K989" s="424"/>
      <c r="L989" s="424"/>
      <c r="M989" s="424"/>
      <c r="N989" s="424"/>
      <c r="O989" s="424"/>
      <c r="P989" s="438" t="s">
        <v>417</v>
      </c>
      <c r="Q989" s="435" t="n">
        <v>9</v>
      </c>
      <c r="R989" s="434" t="s">
        <v>434</v>
      </c>
      <c r="S989" s="434" t="s">
        <v>435</v>
      </c>
      <c r="T989" s="434" t="s">
        <v>436</v>
      </c>
      <c r="U989" s="434" t="s">
        <v>437</v>
      </c>
      <c r="V989" s="436" t="n">
        <f aca="false">AY989</f>
        <v>0</v>
      </c>
    </row>
    <row r="990" customFormat="false" ht="13.5" hidden="false" customHeight="false" outlineLevel="0" collapsed="false">
      <c r="A990" s="424"/>
      <c r="B990" s="424"/>
      <c r="C990" s="424"/>
      <c r="D990" s="424"/>
      <c r="E990" s="424"/>
      <c r="F990" s="424"/>
      <c r="G990" s="424"/>
      <c r="H990" s="424"/>
      <c r="I990" s="424"/>
      <c r="J990" s="424"/>
      <c r="K990" s="424"/>
      <c r="L990" s="424"/>
      <c r="M990" s="424"/>
      <c r="N990" s="424"/>
      <c r="O990" s="424"/>
      <c r="P990" s="438" t="s">
        <v>417</v>
      </c>
      <c r="Q990" s="435" t="n">
        <v>10</v>
      </c>
      <c r="R990" s="434" t="s">
        <v>438</v>
      </c>
      <c r="S990" s="424"/>
      <c r="T990" s="434" t="s">
        <v>439</v>
      </c>
      <c r="U990" s="434" t="s">
        <v>440</v>
      </c>
      <c r="V990" s="436" t="n">
        <f aca="false">AY990</f>
        <v>0</v>
      </c>
    </row>
    <row r="991" customFormat="false" ht="13.5" hidden="false" customHeight="false" outlineLevel="0" collapsed="false">
      <c r="A991" s="424"/>
      <c r="B991" s="424"/>
      <c r="C991" s="424"/>
      <c r="D991" s="424"/>
      <c r="E991" s="424"/>
      <c r="F991" s="435" t="n">
        <f aca="false">TRUNC(+A993/1000000)</f>
        <v>0</v>
      </c>
      <c r="G991" s="424"/>
      <c r="H991" s="424"/>
      <c r="I991" s="424"/>
      <c r="J991" s="424"/>
      <c r="K991" s="424"/>
      <c r="L991" s="424"/>
      <c r="M991" s="424"/>
      <c r="N991" s="424"/>
      <c r="O991" s="424"/>
      <c r="P991" s="438" t="s">
        <v>417</v>
      </c>
      <c r="Q991" s="435" t="n">
        <v>11</v>
      </c>
      <c r="R991" s="434" t="s">
        <v>441</v>
      </c>
      <c r="S991" s="424"/>
      <c r="T991" s="434" t="s">
        <v>442</v>
      </c>
      <c r="U991" s="434" t="s">
        <v>443</v>
      </c>
      <c r="V991" s="436" t="n">
        <f aca="false">AY991</f>
        <v>0</v>
      </c>
    </row>
    <row r="992" customFormat="false" ht="13.5" hidden="false" customHeight="false" outlineLevel="0" collapsed="false">
      <c r="A992" s="424"/>
      <c r="B992" s="424"/>
      <c r="C992" s="424"/>
      <c r="D992" s="424"/>
      <c r="E992" s="424"/>
      <c r="F992" s="435" t="e">
        <f aca="false">(+B996*100000+C996*1000+E996*100)</f>
        <v>#VALUE!</v>
      </c>
      <c r="G992" s="424"/>
      <c r="H992" s="424"/>
      <c r="I992" s="424"/>
      <c r="J992" s="424"/>
      <c r="K992" s="424"/>
      <c r="L992" s="434" t="s">
        <v>444</v>
      </c>
      <c r="M992" s="424"/>
      <c r="N992" s="424"/>
      <c r="O992" s="424"/>
      <c r="P992" s="438" t="s">
        <v>417</v>
      </c>
      <c r="Q992" s="435" t="n">
        <v>12</v>
      </c>
      <c r="R992" s="434" t="s">
        <v>445</v>
      </c>
      <c r="S992" s="424"/>
      <c r="T992" s="434" t="s">
        <v>446</v>
      </c>
      <c r="U992" s="434" t="s">
        <v>447</v>
      </c>
      <c r="V992" s="436" t="n">
        <f aca="false">AY992</f>
        <v>0</v>
      </c>
    </row>
    <row r="993" customFormat="false" ht="13.5" hidden="false" customHeight="false" outlineLevel="0" collapsed="false">
      <c r="A993" s="436" t="n">
        <f aca="false">TRUNC(+A994)</f>
        <v>12</v>
      </c>
      <c r="B993" s="424"/>
      <c r="C993" s="424"/>
      <c r="D993" s="424"/>
      <c r="E993" s="440" t="n">
        <f aca="false">TRUNC(+A993/100000000)</f>
        <v>0</v>
      </c>
      <c r="F993" s="424"/>
      <c r="G993" s="424"/>
      <c r="H993" s="424"/>
      <c r="I993" s="424"/>
      <c r="J993" s="424"/>
      <c r="K993" s="424"/>
      <c r="L993" s="424"/>
      <c r="M993" s="424"/>
      <c r="N993" s="424"/>
      <c r="O993" s="424"/>
      <c r="P993" s="438" t="s">
        <v>417</v>
      </c>
      <c r="Q993" s="435" t="n">
        <v>13</v>
      </c>
      <c r="R993" s="434" t="s">
        <v>448</v>
      </c>
      <c r="S993" s="424"/>
      <c r="T993" s="434" t="s">
        <v>449</v>
      </c>
      <c r="U993" s="434" t="s">
        <v>450</v>
      </c>
      <c r="V993" s="436" t="n">
        <f aca="false">AY993</f>
        <v>0</v>
      </c>
    </row>
    <row r="994" customFormat="false" ht="13.5" hidden="false" customHeight="false" outlineLevel="0" collapsed="false">
      <c r="A994" s="441" t="n">
        <v>12</v>
      </c>
      <c r="B994" s="434" t="s">
        <v>451</v>
      </c>
      <c r="C994" s="434" t="s">
        <v>452</v>
      </c>
      <c r="D994" s="424"/>
      <c r="E994" s="434" t="s">
        <v>452</v>
      </c>
      <c r="F994" s="424"/>
      <c r="G994" s="424"/>
      <c r="H994" s="424"/>
      <c r="I994" s="440" t="n">
        <f aca="false">TRUNC((+A993-(+F991*1000000))/1000)</f>
        <v>0</v>
      </c>
      <c r="J994" s="424"/>
      <c r="K994" s="440" t="n">
        <f aca="false">(TRUNC((+A993-(+F991*1000000))/1))-I994*1000</f>
        <v>12</v>
      </c>
      <c r="L994" s="424"/>
      <c r="M994" s="424"/>
      <c r="N994" s="424"/>
      <c r="O994" s="424"/>
      <c r="P994" s="438" t="s">
        <v>417</v>
      </c>
      <c r="Q994" s="435" t="n">
        <v>14</v>
      </c>
      <c r="R994" s="434" t="s">
        <v>453</v>
      </c>
      <c r="S994" s="424"/>
      <c r="T994" s="434" t="s">
        <v>454</v>
      </c>
      <c r="U994" s="434" t="s">
        <v>455</v>
      </c>
      <c r="V994" s="436" t="n">
        <f aca="false">AY994</f>
        <v>0</v>
      </c>
    </row>
    <row r="995" customFormat="false" ht="13.5" hidden="false" customHeight="false" outlineLevel="0" collapsed="false">
      <c r="A995" s="424"/>
      <c r="B995" s="442" t="s">
        <v>712</v>
      </c>
      <c r="C995" s="442" t="s">
        <v>712</v>
      </c>
      <c r="D995" s="424"/>
      <c r="E995" s="442" t="s">
        <v>712</v>
      </c>
      <c r="F995" s="424"/>
      <c r="G995" s="424"/>
      <c r="H995" s="424"/>
      <c r="I995" s="424"/>
      <c r="J995" s="424"/>
      <c r="K995" s="424"/>
      <c r="L995" s="424"/>
      <c r="M995" s="424"/>
      <c r="N995" s="440" t="n">
        <f aca="false">ROUND(((+A994-A993)*100),1)</f>
        <v>0</v>
      </c>
      <c r="O995" s="424"/>
      <c r="P995" s="438" t="s">
        <v>417</v>
      </c>
      <c r="Q995" s="435" t="n">
        <v>15</v>
      </c>
      <c r="R995" s="434" t="s">
        <v>457</v>
      </c>
      <c r="S995" s="424"/>
      <c r="T995" s="434" t="s">
        <v>458</v>
      </c>
      <c r="U995" s="434" t="s">
        <v>459</v>
      </c>
      <c r="V995" s="436" t="n">
        <f aca="false">AY995</f>
        <v>0</v>
      </c>
    </row>
    <row r="996" customFormat="false" ht="13.5" hidden="false" customHeight="false" outlineLevel="0" collapsed="false">
      <c r="A996" s="424"/>
      <c r="B996" s="440" t="n">
        <f aca="false">TRUNC(+A994/100000000000)</f>
        <v>0</v>
      </c>
      <c r="C996" s="440" t="n">
        <f aca="false">(TRUNC(+A993/1000000000))-B996*100</f>
        <v>0</v>
      </c>
      <c r="D996" s="424"/>
      <c r="E996" s="435" t="str">
        <f aca="false">IF(E993&gt;0,TRUNC(+E993-B996*1000-C996*10),"")</f>
        <v/>
      </c>
      <c r="F996" s="435" t="e">
        <f aca="false">F991-F992</f>
        <v>#VALUE!</v>
      </c>
      <c r="G996" s="435" t="e">
        <f aca="false">G998</f>
        <v>#VALUE!</v>
      </c>
      <c r="H996" s="440" t="n">
        <f aca="false">TRUNC((+A993-(+F991*1000000))/100000)</f>
        <v>0</v>
      </c>
      <c r="I996" s="440" t="n">
        <f aca="false">I994-H996*100</f>
        <v>0</v>
      </c>
      <c r="J996" s="424"/>
      <c r="K996" s="440" t="n">
        <f aca="false">TRUNC(+K994/100)</f>
        <v>0</v>
      </c>
      <c r="L996" s="440" t="n">
        <f aca="false">K994-K996*100</f>
        <v>12</v>
      </c>
      <c r="M996" s="440" t="str">
        <f aca="false">IF(N996&gt;0," &amp; Sen ","")</f>
        <v/>
      </c>
      <c r="N996" s="435" t="n">
        <f aca="false">N995</f>
        <v>0</v>
      </c>
      <c r="O996" s="424"/>
      <c r="P996" s="438" t="s">
        <v>417</v>
      </c>
      <c r="Q996" s="435" t="n">
        <v>16</v>
      </c>
      <c r="R996" s="434" t="s">
        <v>460</v>
      </c>
      <c r="S996" s="424"/>
      <c r="T996" s="434" t="s">
        <v>461</v>
      </c>
      <c r="U996" s="434" t="s">
        <v>462</v>
      </c>
      <c r="V996" s="436" t="n">
        <f aca="false">AY996</f>
        <v>0</v>
      </c>
    </row>
    <row r="997" customFormat="false" ht="13.5" hidden="false" customHeight="false" outlineLevel="0" collapsed="false">
      <c r="A997" s="424"/>
      <c r="B997" s="424"/>
      <c r="C997" s="424"/>
      <c r="D997" s="424"/>
      <c r="E997" s="424"/>
      <c r="F997" s="424"/>
      <c r="G997" s="424"/>
      <c r="H997" s="424"/>
      <c r="I997" s="424"/>
      <c r="J997" s="424"/>
      <c r="K997" s="424"/>
      <c r="L997" s="424"/>
      <c r="M997" s="424"/>
      <c r="N997" s="424"/>
      <c r="O997" s="424"/>
      <c r="P997" s="438" t="s">
        <v>417</v>
      </c>
      <c r="Q997" s="435" t="n">
        <v>17</v>
      </c>
      <c r="R997" s="434" t="s">
        <v>463</v>
      </c>
      <c r="S997" s="424"/>
      <c r="T997" s="434" t="s">
        <v>464</v>
      </c>
      <c r="U997" s="434" t="s">
        <v>465</v>
      </c>
      <c r="V997" s="436" t="n">
        <f aca="false">AY997</f>
        <v>0</v>
      </c>
    </row>
    <row r="998" customFormat="false" ht="13.5" hidden="false" customHeight="false" outlineLevel="0" collapsed="false">
      <c r="A998" s="440" t="n">
        <f aca="false">B996*100000000000</f>
        <v>0</v>
      </c>
      <c r="B998" s="440" t="str">
        <f aca="false">IF(B996&gt;0,VLOOKUP(B996,$Q$7:$T$15,3),"")</f>
        <v/>
      </c>
      <c r="C998" s="440" t="str">
        <f aca="false">IF(C996&gt;0,VLOOKUP(C996,Q981:R1079,2),"")</f>
        <v/>
      </c>
      <c r="D998" s="440" t="str">
        <f aca="false">IF(B993+C996&gt;0,"Milyar","")</f>
        <v/>
      </c>
      <c r="E998" s="440" t="e">
        <f aca="false">IF(E996&gt;0,VLOOKUP(E996,$Q$7:$T$15,3),"")</f>
        <v>#N/A</v>
      </c>
      <c r="F998" s="440" t="e">
        <f aca="false">IF(F996&gt;0,VLOOKUP(F996,Q981:R1079,2),"")</f>
        <v>#VALUE!</v>
      </c>
      <c r="G998" s="435" t="e">
        <f aca="false">IF(F996+E996&gt;0," Juta","")</f>
        <v>#VALUE!</v>
      </c>
      <c r="H998" s="440" t="str">
        <f aca="false">IF(H996&gt;0,VLOOKUP(H996,$Q$7:$T$15,3),"")</f>
        <v/>
      </c>
      <c r="I998" s="440" t="str">
        <f aca="false">IF(I996=1," Se",IF(I996=0,"",VLOOKUP(I996,Q981:R1079,2)))</f>
        <v/>
      </c>
      <c r="J998" s="435" t="str">
        <f aca="false">IF(I996+H996&gt;0," ribu","")</f>
        <v/>
      </c>
      <c r="K998" s="440" t="str">
        <f aca="false">IF(K996&gt;0,VLOOKUP(K996,Q981:S989,3),"")</f>
        <v/>
      </c>
      <c r="L998" s="440" t="str">
        <f aca="false">IF(L996&gt;0,VLOOKUP(L996,Q981:R1079,2),"")</f>
        <v> Dua belas</v>
      </c>
      <c r="M998" s="440" t="str">
        <f aca="false">IF(N996&gt;0,VLOOKUP(N995,Q980:U1079,5)," Rupiah ")</f>
        <v> Rupiah </v>
      </c>
      <c r="N998" s="424"/>
      <c r="O998" s="435" t="str">
        <f aca="false">IF(N996&gt;0," ====","")</f>
        <v/>
      </c>
      <c r="P998" s="435" t="str">
        <f aca="false">IF(N996&gt;0,"-","====")</f>
        <v>====</v>
      </c>
      <c r="Q998" s="435" t="n">
        <v>18</v>
      </c>
      <c r="R998" s="434" t="s">
        <v>466</v>
      </c>
      <c r="S998" s="424"/>
      <c r="T998" s="434" t="s">
        <v>467</v>
      </c>
      <c r="U998" s="434" t="s">
        <v>468</v>
      </c>
      <c r="V998" s="436" t="n">
        <f aca="false">AY998</f>
        <v>0</v>
      </c>
    </row>
    <row r="999" customFormat="false" ht="13.5" hidden="false" customHeight="false" outlineLevel="0" collapsed="false">
      <c r="A999" s="440"/>
      <c r="B999" s="435" t="str">
        <f aca="false">B998</f>
        <v/>
      </c>
      <c r="C999" s="424"/>
      <c r="D999" s="424"/>
      <c r="E999" s="424"/>
      <c r="F999" s="424"/>
      <c r="G999" s="424"/>
      <c r="H999" s="424"/>
      <c r="I999" s="424"/>
      <c r="J999" s="424"/>
      <c r="K999" s="424"/>
      <c r="L999" s="424"/>
      <c r="M999" s="424"/>
      <c r="N999" s="424"/>
      <c r="O999" s="424"/>
      <c r="P999" s="438" t="s">
        <v>417</v>
      </c>
      <c r="Q999" s="435" t="n">
        <v>19</v>
      </c>
      <c r="R999" s="434" t="s">
        <v>469</v>
      </c>
      <c r="S999" s="424"/>
      <c r="T999" s="434" t="s">
        <v>470</v>
      </c>
      <c r="U999" s="434" t="s">
        <v>471</v>
      </c>
      <c r="V999" s="436" t="n">
        <f aca="false">AY1004</f>
        <v>0</v>
      </c>
    </row>
    <row r="1000" customFormat="false" ht="13.5" hidden="false" customHeight="false" outlineLevel="0" collapsed="false">
      <c r="A1000" s="440"/>
      <c r="B1000" s="435" t="str">
        <f aca="false">C998</f>
        <v/>
      </c>
      <c r="C1000" s="424"/>
      <c r="D1000" s="424"/>
      <c r="E1000" s="424"/>
      <c r="F1000" s="424"/>
      <c r="G1000" s="424"/>
      <c r="H1000" s="424"/>
      <c r="I1000" s="424"/>
      <c r="J1000" s="424"/>
      <c r="K1000" s="424"/>
      <c r="L1000" s="424"/>
      <c r="M1000" s="424"/>
      <c r="N1000" s="424"/>
      <c r="O1000" s="424"/>
      <c r="P1000" s="438" t="s">
        <v>417</v>
      </c>
      <c r="Q1000" s="435" t="n">
        <v>20</v>
      </c>
      <c r="R1000" s="434" t="s">
        <v>472</v>
      </c>
      <c r="S1000" s="424"/>
      <c r="T1000" s="434" t="s">
        <v>473</v>
      </c>
      <c r="U1000" s="434" t="s">
        <v>474</v>
      </c>
      <c r="V1000" s="436" t="n">
        <f aca="false">AY1005</f>
        <v>0</v>
      </c>
    </row>
    <row r="1001" customFormat="false" ht="13.5" hidden="false" customHeight="false" outlineLevel="0" collapsed="false">
      <c r="A1001" s="440"/>
      <c r="B1001" s="435" t="str">
        <f aca="false">D998</f>
        <v/>
      </c>
      <c r="C1001" s="424"/>
      <c r="D1001" s="424"/>
      <c r="E1001" s="424"/>
      <c r="F1001" s="424"/>
      <c r="G1001" s="424"/>
      <c r="H1001" s="424"/>
      <c r="I1001" s="424"/>
      <c r="J1001" s="424"/>
      <c r="K1001" s="424"/>
      <c r="L1001" s="424"/>
      <c r="M1001" s="424"/>
      <c r="N1001" s="424"/>
      <c r="O1001" s="424"/>
      <c r="P1001" s="438" t="s">
        <v>417</v>
      </c>
      <c r="Q1001" s="435" t="n">
        <v>21</v>
      </c>
      <c r="R1001" s="434" t="s">
        <v>475</v>
      </c>
      <c r="S1001" s="424"/>
      <c r="T1001" s="434" t="s">
        <v>476</v>
      </c>
      <c r="U1001" s="434" t="s">
        <v>477</v>
      </c>
      <c r="V1001" s="436" t="n">
        <f aca="false">AY1006</f>
        <v>0</v>
      </c>
    </row>
    <row r="1002" customFormat="false" ht="13.5" hidden="false" customHeight="false" outlineLevel="0" collapsed="false">
      <c r="A1002" s="440"/>
      <c r="B1002" s="435" t="e">
        <f aca="false">E998</f>
        <v>#N/A</v>
      </c>
      <c r="C1002" s="424"/>
      <c r="D1002" s="424"/>
      <c r="E1002" s="424"/>
      <c r="F1002" s="424"/>
      <c r="G1002" s="424"/>
      <c r="H1002" s="424"/>
      <c r="I1002" s="424"/>
      <c r="J1002" s="424"/>
      <c r="K1002" s="424"/>
      <c r="L1002" s="424"/>
      <c r="M1002" s="424"/>
      <c r="N1002" s="424"/>
      <c r="O1002" s="424"/>
      <c r="P1002" s="424"/>
      <c r="Q1002" s="435" t="n">
        <v>22</v>
      </c>
      <c r="R1002" s="434" t="s">
        <v>478</v>
      </c>
      <c r="S1002" s="424"/>
      <c r="T1002" s="434" t="s">
        <v>479</v>
      </c>
      <c r="U1002" s="434" t="s">
        <v>480</v>
      </c>
      <c r="V1002" s="436" t="n">
        <f aca="false">AY1007</f>
        <v>0</v>
      </c>
    </row>
    <row r="1003" customFormat="false" ht="13.5" hidden="false" customHeight="false" outlineLevel="0" collapsed="false">
      <c r="A1003" s="440"/>
      <c r="B1003" s="435" t="e">
        <f aca="false">F998</f>
        <v>#VALUE!</v>
      </c>
      <c r="C1003" s="424"/>
      <c r="D1003" s="424"/>
      <c r="E1003" s="424"/>
      <c r="F1003" s="424"/>
      <c r="G1003" s="424"/>
      <c r="H1003" s="424"/>
      <c r="I1003" s="424"/>
      <c r="J1003" s="424"/>
      <c r="K1003" s="424"/>
      <c r="L1003" s="424"/>
      <c r="M1003" s="424"/>
      <c r="N1003" s="424"/>
      <c r="O1003" s="424"/>
      <c r="P1003" s="438" t="s">
        <v>417</v>
      </c>
      <c r="Q1003" s="435" t="n">
        <v>23</v>
      </c>
      <c r="R1003" s="434" t="s">
        <v>481</v>
      </c>
      <c r="S1003" s="424"/>
      <c r="T1003" s="434" t="s">
        <v>482</v>
      </c>
      <c r="U1003" s="434" t="s">
        <v>483</v>
      </c>
      <c r="V1003" s="436" t="n">
        <f aca="false">AY1008</f>
        <v>0</v>
      </c>
    </row>
    <row r="1004" customFormat="false" ht="13.5" hidden="false" customHeight="false" outlineLevel="0" collapsed="false">
      <c r="A1004" s="424"/>
      <c r="B1004" s="424"/>
      <c r="C1004" s="424"/>
      <c r="D1004" s="424"/>
      <c r="E1004" s="424"/>
      <c r="F1004" s="424"/>
      <c r="G1004" s="424"/>
      <c r="H1004" s="424"/>
      <c r="I1004" s="424"/>
      <c r="J1004" s="424"/>
      <c r="K1004" s="424"/>
      <c r="L1004" s="424"/>
      <c r="M1004" s="424"/>
      <c r="N1004" s="424"/>
      <c r="O1004" s="424"/>
      <c r="P1004" s="438" t="s">
        <v>417</v>
      </c>
      <c r="Q1004" s="435" t="n">
        <v>24</v>
      </c>
      <c r="R1004" s="434" t="s">
        <v>484</v>
      </c>
      <c r="S1004" s="424"/>
      <c r="T1004" s="434" t="s">
        <v>485</v>
      </c>
      <c r="U1004" s="434" t="s">
        <v>486</v>
      </c>
      <c r="V1004" s="436" t="n">
        <f aca="false">AY1009</f>
        <v>0</v>
      </c>
    </row>
    <row r="1005" customFormat="false" ht="13.5" hidden="false" customHeight="false" outlineLevel="0" collapsed="false">
      <c r="A1005" s="424"/>
      <c r="B1005" s="424"/>
      <c r="C1005" s="424"/>
      <c r="D1005" s="424"/>
      <c r="E1005" s="424"/>
      <c r="F1005" s="424"/>
      <c r="G1005" s="424"/>
      <c r="H1005" s="424"/>
      <c r="I1005" s="424"/>
      <c r="J1005" s="424"/>
      <c r="K1005" s="424"/>
      <c r="L1005" s="424"/>
      <c r="M1005" s="424"/>
      <c r="N1005" s="424"/>
      <c r="O1005" s="424"/>
      <c r="P1005" s="438" t="s">
        <v>417</v>
      </c>
      <c r="Q1005" s="435" t="n">
        <v>25</v>
      </c>
      <c r="R1005" s="434" t="s">
        <v>487</v>
      </c>
      <c r="S1005" s="424"/>
      <c r="T1005" s="434" t="s">
        <v>488</v>
      </c>
      <c r="U1005" s="434" t="s">
        <v>489</v>
      </c>
      <c r="V1005" s="436" t="n">
        <f aca="false">AY1010</f>
        <v>0</v>
      </c>
    </row>
    <row r="1006" customFormat="false" ht="13.5" hidden="false" customHeight="false" outlineLevel="0" collapsed="false">
      <c r="A1006" s="424"/>
      <c r="B1006" s="424"/>
      <c r="C1006" s="424"/>
      <c r="D1006" s="424"/>
      <c r="E1006" s="424"/>
      <c r="F1006" s="424"/>
      <c r="G1006" s="424"/>
      <c r="H1006" s="424"/>
      <c r="I1006" s="424"/>
      <c r="J1006" s="424"/>
      <c r="K1006" s="424"/>
      <c r="L1006" s="424"/>
      <c r="M1006" s="424"/>
      <c r="N1006" s="424"/>
      <c r="O1006" s="424"/>
      <c r="P1006" s="438" t="s">
        <v>417</v>
      </c>
      <c r="Q1006" s="435" t="n">
        <v>26</v>
      </c>
      <c r="R1006" s="434" t="s">
        <v>490</v>
      </c>
      <c r="S1006" s="424"/>
      <c r="T1006" s="434" t="s">
        <v>491</v>
      </c>
      <c r="U1006" s="434" t="s">
        <v>492</v>
      </c>
      <c r="V1006" s="436" t="n">
        <f aca="false">AY1011</f>
        <v>0</v>
      </c>
    </row>
    <row r="1007" customFormat="false" ht="13.5" hidden="false" customHeight="false" outlineLevel="0" collapsed="false">
      <c r="A1007" s="424"/>
      <c r="B1007" s="424"/>
      <c r="C1007" s="424"/>
      <c r="D1007" s="424"/>
      <c r="E1007" s="424"/>
      <c r="F1007" s="424"/>
      <c r="G1007" s="424"/>
      <c r="H1007" s="424"/>
      <c r="I1007" s="424"/>
      <c r="J1007" s="424"/>
      <c r="K1007" s="424"/>
      <c r="L1007" s="424"/>
      <c r="M1007" s="424"/>
      <c r="N1007" s="424"/>
      <c r="O1007" s="424"/>
      <c r="P1007" s="424"/>
      <c r="Q1007" s="435" t="n">
        <v>27</v>
      </c>
      <c r="R1007" s="434" t="s">
        <v>493</v>
      </c>
      <c r="S1007" s="424"/>
      <c r="T1007" s="434" t="s">
        <v>494</v>
      </c>
      <c r="U1007" s="434" t="s">
        <v>495</v>
      </c>
      <c r="V1007" s="436" t="n">
        <f aca="false">AY1012</f>
        <v>0</v>
      </c>
    </row>
    <row r="1008" customFormat="false" ht="13.5" hidden="false" customHeight="false" outlineLevel="0" collapsed="false">
      <c r="A1008" s="424"/>
      <c r="B1008" s="424"/>
      <c r="C1008" s="424"/>
      <c r="D1008" s="424"/>
      <c r="E1008" s="424"/>
      <c r="F1008" s="424"/>
      <c r="G1008" s="424"/>
      <c r="H1008" s="424"/>
      <c r="I1008" s="424"/>
      <c r="J1008" s="424"/>
      <c r="K1008" s="424"/>
      <c r="L1008" s="424"/>
      <c r="M1008" s="424"/>
      <c r="N1008" s="424"/>
      <c r="O1008" s="424"/>
      <c r="P1008" s="424"/>
      <c r="Q1008" s="435" t="n">
        <v>28</v>
      </c>
      <c r="R1008" s="434" t="s">
        <v>496</v>
      </c>
      <c r="S1008" s="424"/>
      <c r="T1008" s="434" t="s">
        <v>497</v>
      </c>
      <c r="U1008" s="434" t="s">
        <v>498</v>
      </c>
      <c r="V1008" s="436" t="n">
        <f aca="false">AY1013</f>
        <v>0</v>
      </c>
    </row>
    <row r="1009" customFormat="false" ht="13.5" hidden="false" customHeight="false" outlineLevel="0" collapsed="false">
      <c r="A1009" s="424"/>
      <c r="B1009" s="424"/>
      <c r="C1009" s="424"/>
      <c r="D1009" s="424"/>
      <c r="E1009" s="424"/>
      <c r="F1009" s="424"/>
      <c r="G1009" s="424"/>
      <c r="H1009" s="424"/>
      <c r="I1009" s="424"/>
      <c r="J1009" s="424"/>
      <c r="K1009" s="424"/>
      <c r="L1009" s="424"/>
      <c r="M1009" s="424"/>
      <c r="N1009" s="424"/>
      <c r="O1009" s="424"/>
      <c r="P1009" s="424"/>
      <c r="Q1009" s="435" t="n">
        <v>29</v>
      </c>
      <c r="R1009" s="434" t="s">
        <v>499</v>
      </c>
      <c r="S1009" s="424"/>
      <c r="T1009" s="434" t="s">
        <v>500</v>
      </c>
      <c r="U1009" s="434" t="s">
        <v>501</v>
      </c>
      <c r="V1009" s="436" t="n">
        <f aca="false">AY1014</f>
        <v>0</v>
      </c>
    </row>
    <row r="1010" customFormat="false" ht="13.5" hidden="false" customHeight="false" outlineLevel="0" collapsed="false">
      <c r="A1010" s="424"/>
      <c r="B1010" s="424"/>
      <c r="C1010" s="424"/>
      <c r="D1010" s="424"/>
      <c r="E1010" s="424"/>
      <c r="F1010" s="424"/>
      <c r="G1010" s="424"/>
      <c r="H1010" s="424"/>
      <c r="I1010" s="424"/>
      <c r="J1010" s="424"/>
      <c r="K1010" s="424"/>
      <c r="L1010" s="424"/>
      <c r="M1010" s="424"/>
      <c r="N1010" s="424"/>
      <c r="O1010" s="424"/>
      <c r="P1010" s="424"/>
      <c r="Q1010" s="435" t="n">
        <v>30</v>
      </c>
      <c r="R1010" s="434" t="s">
        <v>502</v>
      </c>
      <c r="S1010" s="424"/>
      <c r="T1010" s="434" t="s">
        <v>503</v>
      </c>
      <c r="U1010" s="434" t="s">
        <v>504</v>
      </c>
      <c r="V1010" s="436" t="n">
        <f aca="false">AY1015</f>
        <v>0</v>
      </c>
    </row>
    <row r="1011" customFormat="false" ht="13.5" hidden="false" customHeight="false" outlineLevel="0" collapsed="false">
      <c r="A1011" s="424"/>
      <c r="B1011" s="424"/>
      <c r="C1011" s="424"/>
      <c r="D1011" s="424"/>
      <c r="E1011" s="424"/>
      <c r="F1011" s="424"/>
      <c r="G1011" s="424"/>
      <c r="H1011" s="424"/>
      <c r="I1011" s="424"/>
      <c r="J1011" s="424"/>
      <c r="K1011" s="424"/>
      <c r="L1011" s="424"/>
      <c r="M1011" s="424"/>
      <c r="N1011" s="424"/>
      <c r="O1011" s="424"/>
      <c r="P1011" s="424"/>
      <c r="Q1011" s="435" t="n">
        <v>31</v>
      </c>
      <c r="R1011" s="434" t="s">
        <v>505</v>
      </c>
      <c r="S1011" s="424"/>
      <c r="T1011" s="434" t="s">
        <v>506</v>
      </c>
      <c r="U1011" s="434" t="s">
        <v>507</v>
      </c>
      <c r="V1011" s="436" t="n">
        <f aca="false">AY1016</f>
        <v>0</v>
      </c>
    </row>
    <row r="1012" customFormat="false" ht="13.5" hidden="false" customHeight="false" outlineLevel="0" collapsed="false">
      <c r="A1012" s="424"/>
      <c r="B1012" s="424"/>
      <c r="C1012" s="424"/>
      <c r="D1012" s="424"/>
      <c r="E1012" s="424"/>
      <c r="F1012" s="424"/>
      <c r="G1012" s="424"/>
      <c r="H1012" s="424"/>
      <c r="I1012" s="424"/>
      <c r="J1012" s="424"/>
      <c r="K1012" s="424"/>
      <c r="L1012" s="424"/>
      <c r="M1012" s="424"/>
      <c r="N1012" s="424"/>
      <c r="O1012" s="424"/>
      <c r="P1012" s="424"/>
      <c r="Q1012" s="435" t="n">
        <v>32</v>
      </c>
      <c r="R1012" s="434" t="s">
        <v>508</v>
      </c>
      <c r="S1012" s="424"/>
      <c r="T1012" s="434" t="s">
        <v>509</v>
      </c>
      <c r="U1012" s="434" t="s">
        <v>510</v>
      </c>
      <c r="V1012" s="436" t="n">
        <f aca="false">AY1017</f>
        <v>0</v>
      </c>
    </row>
    <row r="1013" customFormat="false" ht="13.5" hidden="false" customHeight="false" outlineLevel="0" collapsed="false">
      <c r="A1013" s="440"/>
      <c r="B1013" s="435" t="e">
        <f aca="false">G998</f>
        <v>#VALUE!</v>
      </c>
      <c r="C1013" s="424"/>
      <c r="D1013" s="424"/>
      <c r="E1013" s="424"/>
      <c r="F1013" s="424"/>
      <c r="G1013" s="424"/>
      <c r="H1013" s="424"/>
      <c r="I1013" s="424"/>
      <c r="J1013" s="424"/>
      <c r="K1013" s="424"/>
      <c r="L1013" s="424"/>
      <c r="M1013" s="424"/>
      <c r="N1013" s="424"/>
      <c r="O1013" s="424"/>
      <c r="P1013" s="424"/>
      <c r="Q1013" s="435" t="n">
        <v>33</v>
      </c>
      <c r="R1013" s="434" t="s">
        <v>511</v>
      </c>
      <c r="S1013" s="424"/>
      <c r="T1013" s="434" t="s">
        <v>512</v>
      </c>
      <c r="U1013" s="434" t="s">
        <v>513</v>
      </c>
      <c r="V1013" s="436" t="n">
        <f aca="false">AY1018</f>
        <v>0</v>
      </c>
    </row>
    <row r="1014" customFormat="false" ht="13.5" hidden="false" customHeight="false" outlineLevel="0" collapsed="false">
      <c r="A1014" s="440"/>
      <c r="B1014" s="435" t="str">
        <f aca="false">H998</f>
        <v/>
      </c>
      <c r="C1014" s="424"/>
      <c r="D1014" s="424"/>
      <c r="E1014" s="424"/>
      <c r="F1014" s="424"/>
      <c r="G1014" s="424"/>
      <c r="H1014" s="424"/>
      <c r="I1014" s="424"/>
      <c r="J1014" s="424"/>
      <c r="K1014" s="424"/>
      <c r="L1014" s="424"/>
      <c r="M1014" s="424"/>
      <c r="N1014" s="424"/>
      <c r="O1014" s="424"/>
      <c r="P1014" s="424"/>
      <c r="Q1014" s="435" t="n">
        <v>34</v>
      </c>
      <c r="R1014" s="434" t="s">
        <v>514</v>
      </c>
      <c r="S1014" s="424"/>
      <c r="T1014" s="434" t="s">
        <v>515</v>
      </c>
      <c r="U1014" s="434" t="s">
        <v>516</v>
      </c>
      <c r="V1014" s="436" t="n">
        <f aca="false">AY1019</f>
        <v>0</v>
      </c>
    </row>
    <row r="1015" customFormat="false" ht="13.5" hidden="false" customHeight="false" outlineLevel="0" collapsed="false">
      <c r="A1015" s="440"/>
      <c r="B1015" s="435" t="str">
        <f aca="false">I998</f>
        <v/>
      </c>
      <c r="C1015" s="424"/>
      <c r="D1015" s="424"/>
      <c r="E1015" s="424"/>
      <c r="F1015" s="424"/>
      <c r="G1015" s="424"/>
      <c r="H1015" s="424"/>
      <c r="I1015" s="424"/>
      <c r="J1015" s="424"/>
      <c r="K1015" s="424"/>
      <c r="L1015" s="424"/>
      <c r="M1015" s="424"/>
      <c r="N1015" s="424"/>
      <c r="O1015" s="424"/>
      <c r="P1015" s="424"/>
      <c r="Q1015" s="435" t="n">
        <v>35</v>
      </c>
      <c r="R1015" s="434" t="s">
        <v>517</v>
      </c>
      <c r="S1015" s="424"/>
      <c r="T1015" s="434" t="s">
        <v>518</v>
      </c>
      <c r="U1015" s="434" t="s">
        <v>519</v>
      </c>
      <c r="V1015" s="436" t="n">
        <f aca="false">AY1020</f>
        <v>0</v>
      </c>
    </row>
    <row r="1016" customFormat="false" ht="13.5" hidden="false" customHeight="false" outlineLevel="0" collapsed="false">
      <c r="A1016" s="440"/>
      <c r="B1016" s="435" t="str">
        <f aca="false">J998</f>
        <v/>
      </c>
      <c r="C1016" s="424"/>
      <c r="D1016" s="424"/>
      <c r="E1016" s="424"/>
      <c r="F1016" s="424"/>
      <c r="G1016" s="424"/>
      <c r="H1016" s="424"/>
      <c r="I1016" s="424"/>
      <c r="J1016" s="424"/>
      <c r="K1016" s="424"/>
      <c r="L1016" s="424"/>
      <c r="M1016" s="424"/>
      <c r="N1016" s="424"/>
      <c r="O1016" s="424"/>
      <c r="P1016" s="424"/>
      <c r="Q1016" s="435" t="n">
        <v>36</v>
      </c>
      <c r="R1016" s="434" t="s">
        <v>520</v>
      </c>
      <c r="S1016" s="424"/>
      <c r="T1016" s="434" t="s">
        <v>521</v>
      </c>
      <c r="U1016" s="434" t="s">
        <v>522</v>
      </c>
      <c r="V1016" s="436" t="n">
        <f aca="false">AY1021</f>
        <v>0</v>
      </c>
    </row>
    <row r="1017" customFormat="false" ht="13.5" hidden="false" customHeight="false" outlineLevel="0" collapsed="false">
      <c r="A1017" s="440"/>
      <c r="B1017" s="440" t="str">
        <f aca="false">K998</f>
        <v/>
      </c>
      <c r="C1017" s="424"/>
      <c r="D1017" s="424"/>
      <c r="E1017" s="424"/>
      <c r="F1017" s="424"/>
      <c r="G1017" s="424"/>
      <c r="H1017" s="424"/>
      <c r="I1017" s="424"/>
      <c r="J1017" s="424"/>
      <c r="K1017" s="424"/>
      <c r="L1017" s="424"/>
      <c r="M1017" s="424"/>
      <c r="N1017" s="424"/>
      <c r="O1017" s="424"/>
      <c r="P1017" s="424"/>
      <c r="Q1017" s="435" t="n">
        <v>37</v>
      </c>
      <c r="R1017" s="434" t="s">
        <v>523</v>
      </c>
      <c r="S1017" s="424"/>
      <c r="T1017" s="434" t="s">
        <v>524</v>
      </c>
      <c r="U1017" s="434" t="s">
        <v>525</v>
      </c>
      <c r="V1017" s="436" t="n">
        <f aca="false">AY1022</f>
        <v>0</v>
      </c>
    </row>
    <row r="1018" customFormat="false" ht="13.5" hidden="false" customHeight="false" outlineLevel="0" collapsed="false">
      <c r="A1018" s="440"/>
      <c r="B1018" s="435" t="str">
        <f aca="false">L998</f>
        <v> Dua belas</v>
      </c>
      <c r="C1018" s="424"/>
      <c r="D1018" s="424"/>
      <c r="E1018" s="424"/>
      <c r="F1018" s="424"/>
      <c r="G1018" s="424"/>
      <c r="H1018" s="424"/>
      <c r="I1018" s="424"/>
      <c r="J1018" s="424"/>
      <c r="K1018" s="424"/>
      <c r="L1018" s="424"/>
      <c r="M1018" s="424"/>
      <c r="N1018" s="424"/>
      <c r="O1018" s="424"/>
      <c r="P1018" s="424"/>
      <c r="Q1018" s="435" t="n">
        <v>38</v>
      </c>
      <c r="R1018" s="434" t="s">
        <v>526</v>
      </c>
      <c r="S1018" s="424"/>
      <c r="T1018" s="434" t="s">
        <v>527</v>
      </c>
      <c r="U1018" s="434" t="s">
        <v>528</v>
      </c>
      <c r="V1018" s="436" t="n">
        <f aca="false">AY1023</f>
        <v>0</v>
      </c>
    </row>
    <row r="1019" customFormat="false" ht="13.5" hidden="false" customHeight="false" outlineLevel="0" collapsed="false">
      <c r="A1019" s="440"/>
      <c r="B1019" s="435" t="str">
        <f aca="false">M998</f>
        <v> Rupiah </v>
      </c>
      <c r="C1019" s="424"/>
      <c r="D1019" s="424"/>
      <c r="E1019" s="424"/>
      <c r="F1019" s="424"/>
      <c r="G1019" s="424"/>
      <c r="H1019" s="424"/>
      <c r="I1019" s="424"/>
      <c r="J1019" s="424"/>
      <c r="K1019" s="424"/>
      <c r="L1019" s="424"/>
      <c r="M1019" s="424"/>
      <c r="N1019" s="424"/>
      <c r="O1019" s="424"/>
      <c r="P1019" s="424"/>
      <c r="Q1019" s="435" t="n">
        <v>39</v>
      </c>
      <c r="R1019" s="434" t="s">
        <v>529</v>
      </c>
      <c r="S1019" s="424"/>
      <c r="T1019" s="434" t="s">
        <v>530</v>
      </c>
      <c r="U1019" s="434" t="s">
        <v>531</v>
      </c>
      <c r="V1019" s="436" t="n">
        <f aca="false">AY1024</f>
        <v>0</v>
      </c>
    </row>
    <row r="1020" customFormat="false" ht="13.5" hidden="false" customHeight="false" outlineLevel="0" collapsed="false">
      <c r="A1020" s="436" t="e">
        <f aca="false">+#REF!</f>
        <v>#REF!</v>
      </c>
      <c r="B1020" s="435" t="str">
        <f aca="false">O998</f>
        <v/>
      </c>
      <c r="C1020" s="424"/>
      <c r="D1020" s="424"/>
      <c r="E1020" s="424"/>
      <c r="F1020" s="424"/>
      <c r="G1020" s="424"/>
      <c r="H1020" s="424"/>
      <c r="I1020" s="424"/>
      <c r="J1020" s="424"/>
      <c r="K1020" s="424"/>
      <c r="L1020" s="424"/>
      <c r="M1020" s="424"/>
      <c r="N1020" s="424"/>
      <c r="O1020" s="424"/>
      <c r="P1020" s="424"/>
      <c r="Q1020" s="435" t="n">
        <v>40</v>
      </c>
      <c r="R1020" s="434" t="s">
        <v>532</v>
      </c>
      <c r="S1020" s="424"/>
      <c r="T1020" s="434" t="s">
        <v>533</v>
      </c>
      <c r="U1020" s="434" t="s">
        <v>534</v>
      </c>
      <c r="V1020" s="436" t="n">
        <f aca="false">AY1025</f>
        <v>0</v>
      </c>
    </row>
    <row r="1021" customFormat="false" ht="13.5" hidden="false" customHeight="false" outlineLevel="0" collapsed="false">
      <c r="A1021" s="440"/>
      <c r="B1021" s="435" t="str">
        <f aca="false">IF(N996&gt;0,"-","====")</f>
        <v>====</v>
      </c>
      <c r="C1021" s="424"/>
      <c r="D1021" s="424"/>
      <c r="E1021" s="424"/>
      <c r="F1021" s="424"/>
      <c r="G1021" s="424"/>
      <c r="H1021" s="424"/>
      <c r="I1021" s="424"/>
      <c r="J1021" s="424"/>
      <c r="K1021" s="424"/>
      <c r="L1021" s="424"/>
      <c r="M1021" s="424"/>
      <c r="N1021" s="424"/>
      <c r="O1021" s="424"/>
      <c r="P1021" s="424"/>
      <c r="Q1021" s="435" t="n">
        <v>41</v>
      </c>
      <c r="R1021" s="434" t="s">
        <v>535</v>
      </c>
      <c r="S1021" s="424"/>
      <c r="T1021" s="434" t="s">
        <v>536</v>
      </c>
      <c r="U1021" s="434" t="s">
        <v>537</v>
      </c>
      <c r="V1021" s="436" t="n">
        <f aca="false">AY1026</f>
        <v>0</v>
      </c>
    </row>
    <row r="1022" customFormat="false" ht="13.5" hidden="false" customHeight="false" outlineLevel="0" collapsed="false">
      <c r="A1022" s="444" t="e">
        <f aca="false">B998&amp;C998&amp;D998&amp;E998&amp;F998&amp;G998&amp;H998&amp;I998&amp;J998&amp;K998&amp;L998&amp;M998&amp;O998</f>
        <v>#N/A</v>
      </c>
      <c r="B1022" s="424"/>
      <c r="C1022" s="424"/>
      <c r="D1022" s="424"/>
      <c r="E1022" s="424"/>
      <c r="F1022" s="424"/>
      <c r="G1022" s="424"/>
      <c r="H1022" s="424"/>
      <c r="I1022" s="424"/>
      <c r="J1022" s="424"/>
      <c r="K1022" s="424"/>
      <c r="L1022" s="424"/>
      <c r="M1022" s="424"/>
      <c r="N1022" s="424"/>
      <c r="O1022" s="424"/>
      <c r="P1022" s="424"/>
      <c r="Q1022" s="435" t="n">
        <v>42</v>
      </c>
      <c r="R1022" s="434" t="s">
        <v>538</v>
      </c>
      <c r="S1022" s="424"/>
      <c r="T1022" s="434" t="s">
        <v>539</v>
      </c>
      <c r="U1022" s="434" t="s">
        <v>540</v>
      </c>
      <c r="V1022" s="436" t="n">
        <f aca="false">AY1027</f>
        <v>0</v>
      </c>
    </row>
    <row r="1023" customFormat="false" ht="13.5" hidden="false" customHeight="false" outlineLevel="0" collapsed="false">
      <c r="A1023" s="440" t="str">
        <f aca="false">I998&amp;J998&amp;K998&amp;L998&amp;M998&amp;O998</f>
        <v> Dua belas Rupiah </v>
      </c>
      <c r="B1023" s="424"/>
      <c r="C1023" s="424"/>
      <c r="D1023" s="424"/>
      <c r="E1023" s="424"/>
      <c r="F1023" s="424"/>
      <c r="G1023" s="424"/>
      <c r="H1023" s="424"/>
      <c r="I1023" s="424"/>
      <c r="J1023" s="424"/>
      <c r="K1023" s="424"/>
      <c r="L1023" s="424"/>
      <c r="M1023" s="424"/>
      <c r="N1023" s="424"/>
      <c r="O1023" s="424"/>
      <c r="P1023" s="424"/>
      <c r="Q1023" s="435" t="n">
        <v>43</v>
      </c>
      <c r="R1023" s="434" t="s">
        <v>541</v>
      </c>
      <c r="S1023" s="424"/>
      <c r="T1023" s="434" t="s">
        <v>542</v>
      </c>
      <c r="U1023" s="434" t="s">
        <v>543</v>
      </c>
      <c r="V1023" s="436" t="n">
        <f aca="false">AY1028</f>
        <v>0</v>
      </c>
    </row>
    <row r="1024" customFormat="false" ht="13.5" hidden="false" customHeight="false" outlineLevel="0" collapsed="false">
      <c r="A1024" s="440"/>
      <c r="B1024" s="424"/>
      <c r="C1024" s="424"/>
      <c r="D1024" s="424"/>
      <c r="E1024" s="424"/>
      <c r="F1024" s="424"/>
      <c r="G1024" s="424"/>
      <c r="H1024" s="424"/>
      <c r="I1024" s="424"/>
      <c r="J1024" s="424"/>
      <c r="K1024" s="424"/>
      <c r="L1024" s="424"/>
      <c r="M1024" s="424"/>
      <c r="N1024" s="424"/>
      <c r="O1024" s="424"/>
      <c r="P1024" s="424"/>
      <c r="Q1024" s="435" t="n">
        <v>44</v>
      </c>
      <c r="R1024" s="434" t="s">
        <v>544</v>
      </c>
      <c r="S1024" s="424"/>
      <c r="T1024" s="434" t="s">
        <v>545</v>
      </c>
      <c r="U1024" s="434" t="s">
        <v>546</v>
      </c>
      <c r="V1024" s="436" t="n">
        <f aca="false">AY1029</f>
        <v>0</v>
      </c>
    </row>
    <row r="1025" customFormat="false" ht="13.5" hidden="false" customHeight="false" outlineLevel="0" collapsed="false">
      <c r="A1025" s="440"/>
      <c r="B1025" s="424"/>
      <c r="C1025" s="424"/>
      <c r="D1025" s="424"/>
      <c r="E1025" s="424"/>
      <c r="F1025" s="424"/>
      <c r="G1025" s="424"/>
      <c r="H1025" s="424"/>
      <c r="I1025" s="424"/>
      <c r="J1025" s="424"/>
      <c r="K1025" s="424"/>
      <c r="L1025" s="424"/>
      <c r="M1025" s="424"/>
      <c r="N1025" s="424"/>
      <c r="O1025" s="424"/>
      <c r="P1025" s="424"/>
      <c r="Q1025" s="435" t="n">
        <v>45</v>
      </c>
      <c r="R1025" s="434" t="s">
        <v>547</v>
      </c>
      <c r="S1025" s="424"/>
      <c r="T1025" s="434" t="s">
        <v>548</v>
      </c>
      <c r="U1025" s="434" t="s">
        <v>549</v>
      </c>
      <c r="V1025" s="436" t="n">
        <f aca="false">AY1030</f>
        <v>0</v>
      </c>
    </row>
    <row r="1026" customFormat="false" ht="13.5" hidden="false" customHeight="false" outlineLevel="0" collapsed="false">
      <c r="A1026" s="440"/>
      <c r="B1026" s="424"/>
      <c r="C1026" s="424"/>
      <c r="D1026" s="424"/>
      <c r="E1026" s="424"/>
      <c r="F1026" s="424"/>
      <c r="G1026" s="424"/>
      <c r="H1026" s="424"/>
      <c r="I1026" s="424"/>
      <c r="J1026" s="424"/>
      <c r="K1026" s="424"/>
      <c r="L1026" s="424"/>
      <c r="M1026" s="424"/>
      <c r="N1026" s="424"/>
      <c r="O1026" s="424"/>
      <c r="P1026" s="424"/>
      <c r="Q1026" s="435" t="n">
        <v>46</v>
      </c>
      <c r="R1026" s="434" t="s">
        <v>550</v>
      </c>
      <c r="S1026" s="424"/>
      <c r="T1026" s="434" t="s">
        <v>551</v>
      </c>
      <c r="U1026" s="434" t="s">
        <v>552</v>
      </c>
      <c r="V1026" s="436" t="n">
        <f aca="false">AY1031</f>
        <v>0</v>
      </c>
    </row>
    <row r="1027" customFormat="false" ht="13.5" hidden="false" customHeight="false" outlineLevel="0" collapsed="false">
      <c r="A1027" s="440"/>
      <c r="B1027" s="424"/>
      <c r="C1027" s="424"/>
      <c r="D1027" s="424"/>
      <c r="E1027" s="424"/>
      <c r="F1027" s="424"/>
      <c r="G1027" s="424"/>
      <c r="H1027" s="424"/>
      <c r="I1027" s="424"/>
      <c r="J1027" s="424"/>
      <c r="K1027" s="424"/>
      <c r="L1027" s="424"/>
      <c r="M1027" s="424"/>
      <c r="N1027" s="424"/>
      <c r="O1027" s="424"/>
      <c r="P1027" s="424"/>
      <c r="Q1027" s="435" t="n">
        <v>47</v>
      </c>
      <c r="R1027" s="434" t="s">
        <v>553</v>
      </c>
      <c r="S1027" s="424"/>
      <c r="T1027" s="434" t="s">
        <v>554</v>
      </c>
      <c r="U1027" s="434" t="s">
        <v>555</v>
      </c>
      <c r="V1027" s="436" t="n">
        <f aca="false">AY1032</f>
        <v>0</v>
      </c>
    </row>
    <row r="1028" customFormat="false" ht="13.5" hidden="false" customHeight="false" outlineLevel="0" collapsed="false">
      <c r="A1028" s="424"/>
      <c r="B1028" s="424"/>
      <c r="C1028" s="424"/>
      <c r="D1028" s="424"/>
      <c r="E1028" s="424"/>
      <c r="F1028" s="424"/>
      <c r="G1028" s="424"/>
      <c r="H1028" s="424"/>
      <c r="I1028" s="424"/>
      <c r="J1028" s="424"/>
      <c r="K1028" s="424"/>
      <c r="L1028" s="424"/>
      <c r="M1028" s="424"/>
      <c r="N1028" s="424"/>
      <c r="O1028" s="424"/>
      <c r="P1028" s="424"/>
      <c r="Q1028" s="435" t="n">
        <v>48</v>
      </c>
      <c r="R1028" s="434" t="s">
        <v>556</v>
      </c>
      <c r="S1028" s="424"/>
      <c r="T1028" s="434" t="s">
        <v>557</v>
      </c>
      <c r="U1028" s="434" t="s">
        <v>558</v>
      </c>
      <c r="V1028" s="436" t="n">
        <f aca="false">AY1033</f>
        <v>0</v>
      </c>
    </row>
    <row r="1029" customFormat="false" ht="13.5" hidden="false" customHeight="false" outlineLevel="0" collapsed="false">
      <c r="A1029" s="424"/>
      <c r="B1029" s="424"/>
      <c r="C1029" s="424"/>
      <c r="D1029" s="424"/>
      <c r="E1029" s="424"/>
      <c r="F1029" s="424"/>
      <c r="G1029" s="424"/>
      <c r="H1029" s="424"/>
      <c r="I1029" s="424"/>
      <c r="J1029" s="424"/>
      <c r="K1029" s="424"/>
      <c r="L1029" s="424"/>
      <c r="M1029" s="424"/>
      <c r="N1029" s="424"/>
      <c r="O1029" s="424"/>
      <c r="P1029" s="424"/>
      <c r="Q1029" s="435" t="n">
        <v>49</v>
      </c>
      <c r="R1029" s="434" t="s">
        <v>559</v>
      </c>
      <c r="S1029" s="424"/>
      <c r="T1029" s="434" t="s">
        <v>560</v>
      </c>
      <c r="U1029" s="434" t="s">
        <v>561</v>
      </c>
      <c r="V1029" s="436" t="n">
        <f aca="false">AY1034</f>
        <v>0</v>
      </c>
    </row>
    <row r="1030" customFormat="false" ht="13.5" hidden="false" customHeight="false" outlineLevel="0" collapsed="false">
      <c r="A1030" s="424"/>
      <c r="B1030" s="424"/>
      <c r="C1030" s="424"/>
      <c r="D1030" s="424"/>
      <c r="E1030" s="424"/>
      <c r="F1030" s="424"/>
      <c r="G1030" s="424"/>
      <c r="H1030" s="424"/>
      <c r="I1030" s="424"/>
      <c r="J1030" s="424"/>
      <c r="K1030" s="424"/>
      <c r="L1030" s="424"/>
      <c r="M1030" s="424"/>
      <c r="N1030" s="424"/>
      <c r="O1030" s="424"/>
      <c r="P1030" s="424"/>
      <c r="Q1030" s="435" t="n">
        <v>50</v>
      </c>
      <c r="R1030" s="434" t="s">
        <v>562</v>
      </c>
      <c r="S1030" s="424"/>
      <c r="T1030" s="434" t="s">
        <v>563</v>
      </c>
      <c r="U1030" s="434" t="s">
        <v>564</v>
      </c>
      <c r="V1030" s="436" t="n">
        <f aca="false">AY1035</f>
        <v>0</v>
      </c>
    </row>
    <row r="1031" customFormat="false" ht="13.5" hidden="false" customHeight="false" outlineLevel="0" collapsed="false">
      <c r="A1031" s="424"/>
      <c r="B1031" s="424"/>
      <c r="C1031" s="424"/>
      <c r="D1031" s="424"/>
      <c r="E1031" s="424"/>
      <c r="F1031" s="424"/>
      <c r="G1031" s="424"/>
      <c r="H1031" s="424"/>
      <c r="I1031" s="424"/>
      <c r="J1031" s="424"/>
      <c r="K1031" s="424"/>
      <c r="L1031" s="424"/>
      <c r="M1031" s="424"/>
      <c r="N1031" s="424"/>
      <c r="O1031" s="424"/>
      <c r="P1031" s="424"/>
      <c r="Q1031" s="435" t="n">
        <v>51</v>
      </c>
      <c r="R1031" s="434" t="s">
        <v>565</v>
      </c>
      <c r="S1031" s="424"/>
      <c r="T1031" s="434" t="s">
        <v>566</v>
      </c>
      <c r="U1031" s="434" t="s">
        <v>567</v>
      </c>
      <c r="V1031" s="436" t="n">
        <f aca="false">AY1036</f>
        <v>0</v>
      </c>
    </row>
    <row r="1032" customFormat="false" ht="13.5" hidden="false" customHeight="false" outlineLevel="0" collapsed="false">
      <c r="A1032" s="424"/>
      <c r="B1032" s="424"/>
      <c r="C1032" s="424"/>
      <c r="D1032" s="424"/>
      <c r="E1032" s="424"/>
      <c r="F1032" s="424"/>
      <c r="G1032" s="424"/>
      <c r="H1032" s="424"/>
      <c r="I1032" s="424"/>
      <c r="J1032" s="424"/>
      <c r="K1032" s="424"/>
      <c r="L1032" s="424"/>
      <c r="M1032" s="424"/>
      <c r="N1032" s="424"/>
      <c r="O1032" s="424"/>
      <c r="P1032" s="424"/>
      <c r="Q1032" s="435" t="n">
        <v>52</v>
      </c>
      <c r="R1032" s="434" t="s">
        <v>568</v>
      </c>
      <c r="S1032" s="424"/>
      <c r="T1032" s="434" t="s">
        <v>569</v>
      </c>
      <c r="U1032" s="434" t="s">
        <v>570</v>
      </c>
      <c r="V1032" s="436" t="n">
        <f aca="false">AY1037</f>
        <v>0</v>
      </c>
    </row>
    <row r="1033" customFormat="false" ht="13.5" hidden="false" customHeight="false" outlineLevel="0" collapsed="false">
      <c r="A1033" s="424"/>
      <c r="B1033" s="424"/>
      <c r="C1033" s="424"/>
      <c r="D1033" s="424"/>
      <c r="E1033" s="424"/>
      <c r="F1033" s="424"/>
      <c r="G1033" s="424"/>
      <c r="H1033" s="424"/>
      <c r="I1033" s="424"/>
      <c r="J1033" s="424"/>
      <c r="K1033" s="424"/>
      <c r="L1033" s="424"/>
      <c r="M1033" s="424"/>
      <c r="N1033" s="424"/>
      <c r="O1033" s="424"/>
      <c r="P1033" s="424"/>
      <c r="Q1033" s="435" t="n">
        <v>53</v>
      </c>
      <c r="R1033" s="434" t="s">
        <v>571</v>
      </c>
      <c r="S1033" s="424"/>
      <c r="T1033" s="434" t="s">
        <v>572</v>
      </c>
      <c r="U1033" s="434" t="s">
        <v>573</v>
      </c>
      <c r="V1033" s="436" t="n">
        <f aca="false">AY1038</f>
        <v>0</v>
      </c>
    </row>
    <row r="1034" customFormat="false" ht="13.5" hidden="false" customHeight="false" outlineLevel="0" collapsed="false">
      <c r="A1034" s="424"/>
      <c r="B1034" s="424"/>
      <c r="C1034" s="424"/>
      <c r="D1034" s="424"/>
      <c r="E1034" s="424"/>
      <c r="F1034" s="424"/>
      <c r="G1034" s="424"/>
      <c r="H1034" s="424"/>
      <c r="I1034" s="424"/>
      <c r="J1034" s="424"/>
      <c r="K1034" s="424"/>
      <c r="L1034" s="424"/>
      <c r="M1034" s="424"/>
      <c r="N1034" s="424"/>
      <c r="O1034" s="424"/>
      <c r="P1034" s="424"/>
      <c r="Q1034" s="435" t="n">
        <v>54</v>
      </c>
      <c r="R1034" s="434" t="s">
        <v>574</v>
      </c>
      <c r="S1034" s="424"/>
      <c r="T1034" s="434" t="s">
        <v>575</v>
      </c>
      <c r="U1034" s="434" t="s">
        <v>576</v>
      </c>
      <c r="V1034" s="436" t="n">
        <f aca="false">AY1039</f>
        <v>0</v>
      </c>
    </row>
    <row r="1035" customFormat="false" ht="13.5" hidden="false" customHeight="false" outlineLevel="0" collapsed="false">
      <c r="A1035" s="424"/>
      <c r="B1035" s="424"/>
      <c r="C1035" s="424"/>
      <c r="D1035" s="424"/>
      <c r="E1035" s="424"/>
      <c r="F1035" s="424"/>
      <c r="G1035" s="424"/>
      <c r="H1035" s="424"/>
      <c r="I1035" s="424"/>
      <c r="J1035" s="424"/>
      <c r="K1035" s="424"/>
      <c r="L1035" s="424"/>
      <c r="M1035" s="424"/>
      <c r="N1035" s="424"/>
      <c r="O1035" s="424"/>
      <c r="P1035" s="424"/>
      <c r="Q1035" s="435" t="n">
        <v>55</v>
      </c>
      <c r="R1035" s="434" t="s">
        <v>577</v>
      </c>
      <c r="S1035" s="424"/>
      <c r="T1035" s="434" t="s">
        <v>578</v>
      </c>
      <c r="U1035" s="434" t="s">
        <v>579</v>
      </c>
      <c r="V1035" s="436" t="n">
        <f aca="false">AY1040</f>
        <v>0</v>
      </c>
    </row>
    <row r="1036" customFormat="false" ht="13.5" hidden="false" customHeight="false" outlineLevel="0" collapsed="false">
      <c r="A1036" s="424"/>
      <c r="B1036" s="424"/>
      <c r="C1036" s="424"/>
      <c r="D1036" s="424"/>
      <c r="E1036" s="424"/>
      <c r="F1036" s="424"/>
      <c r="G1036" s="424"/>
      <c r="H1036" s="424"/>
      <c r="I1036" s="424"/>
      <c r="J1036" s="424"/>
      <c r="K1036" s="424"/>
      <c r="L1036" s="424"/>
      <c r="M1036" s="424"/>
      <c r="N1036" s="424"/>
      <c r="O1036" s="424"/>
      <c r="P1036" s="424"/>
      <c r="Q1036" s="435" t="n">
        <v>56</v>
      </c>
      <c r="R1036" s="434" t="s">
        <v>580</v>
      </c>
      <c r="S1036" s="424"/>
      <c r="T1036" s="434" t="s">
        <v>581</v>
      </c>
      <c r="U1036" s="434" t="s">
        <v>582</v>
      </c>
      <c r="V1036" s="436" t="n">
        <f aca="false">AY1041</f>
        <v>0</v>
      </c>
    </row>
    <row r="1037" customFormat="false" ht="13.5" hidden="false" customHeight="false" outlineLevel="0" collapsed="false">
      <c r="A1037" s="424"/>
      <c r="B1037" s="424"/>
      <c r="C1037" s="424"/>
      <c r="D1037" s="424"/>
      <c r="E1037" s="424"/>
      <c r="F1037" s="424"/>
      <c r="G1037" s="424"/>
      <c r="H1037" s="424"/>
      <c r="I1037" s="424"/>
      <c r="J1037" s="424"/>
      <c r="K1037" s="424"/>
      <c r="L1037" s="424"/>
      <c r="M1037" s="424"/>
      <c r="N1037" s="424"/>
      <c r="O1037" s="424"/>
      <c r="P1037" s="424"/>
      <c r="Q1037" s="435" t="n">
        <v>57</v>
      </c>
      <c r="R1037" s="434" t="s">
        <v>583</v>
      </c>
      <c r="S1037" s="424"/>
      <c r="T1037" s="434" t="s">
        <v>584</v>
      </c>
      <c r="U1037" s="434" t="s">
        <v>585</v>
      </c>
      <c r="V1037" s="436" t="n">
        <f aca="false">AY1042</f>
        <v>0</v>
      </c>
    </row>
    <row r="1038" customFormat="false" ht="13.5" hidden="false" customHeight="false" outlineLevel="0" collapsed="false">
      <c r="A1038" s="424"/>
      <c r="B1038" s="424"/>
      <c r="C1038" s="424"/>
      <c r="D1038" s="424"/>
      <c r="E1038" s="424"/>
      <c r="F1038" s="424"/>
      <c r="G1038" s="424"/>
      <c r="H1038" s="424"/>
      <c r="I1038" s="424"/>
      <c r="J1038" s="424"/>
      <c r="K1038" s="424"/>
      <c r="L1038" s="424"/>
      <c r="M1038" s="424"/>
      <c r="N1038" s="424"/>
      <c r="O1038" s="424"/>
      <c r="P1038" s="424"/>
      <c r="Q1038" s="435" t="n">
        <v>58</v>
      </c>
      <c r="R1038" s="434" t="s">
        <v>586</v>
      </c>
      <c r="S1038" s="424"/>
      <c r="T1038" s="434" t="s">
        <v>587</v>
      </c>
      <c r="U1038" s="434" t="s">
        <v>588</v>
      </c>
      <c r="V1038" s="436" t="n">
        <f aca="false">AY1043</f>
        <v>0</v>
      </c>
    </row>
    <row r="1039" customFormat="false" ht="13.5" hidden="false" customHeight="false" outlineLevel="0" collapsed="false">
      <c r="A1039" s="424"/>
      <c r="B1039" s="424"/>
      <c r="C1039" s="424"/>
      <c r="D1039" s="424"/>
      <c r="E1039" s="424"/>
      <c r="F1039" s="424"/>
      <c r="G1039" s="424"/>
      <c r="H1039" s="424"/>
      <c r="I1039" s="424"/>
      <c r="J1039" s="424"/>
      <c r="K1039" s="424"/>
      <c r="L1039" s="424"/>
      <c r="M1039" s="424"/>
      <c r="N1039" s="424"/>
      <c r="O1039" s="424"/>
      <c r="P1039" s="424"/>
      <c r="Q1039" s="435" t="n">
        <v>59</v>
      </c>
      <c r="R1039" s="434" t="s">
        <v>589</v>
      </c>
      <c r="S1039" s="424"/>
      <c r="T1039" s="434" t="s">
        <v>590</v>
      </c>
      <c r="U1039" s="434" t="s">
        <v>591</v>
      </c>
      <c r="V1039" s="436" t="n">
        <f aca="false">AY1044</f>
        <v>0</v>
      </c>
    </row>
    <row r="1040" customFormat="false" ht="13.5" hidden="false" customHeight="false" outlineLevel="0" collapsed="false">
      <c r="A1040" s="424"/>
      <c r="B1040" s="424"/>
      <c r="C1040" s="424"/>
      <c r="D1040" s="424"/>
      <c r="E1040" s="424"/>
      <c r="F1040" s="424"/>
      <c r="G1040" s="424"/>
      <c r="H1040" s="424"/>
      <c r="I1040" s="424"/>
      <c r="J1040" s="424"/>
      <c r="K1040" s="424"/>
      <c r="L1040" s="424"/>
      <c r="M1040" s="424"/>
      <c r="N1040" s="424"/>
      <c r="O1040" s="424"/>
      <c r="P1040" s="424"/>
      <c r="Q1040" s="435" t="n">
        <v>60</v>
      </c>
      <c r="R1040" s="434" t="s">
        <v>592</v>
      </c>
      <c r="S1040" s="424"/>
      <c r="T1040" s="434" t="s">
        <v>593</v>
      </c>
      <c r="U1040" s="434" t="s">
        <v>594</v>
      </c>
      <c r="V1040" s="436" t="n">
        <f aca="false">AY1045</f>
        <v>0</v>
      </c>
    </row>
    <row r="1041" customFormat="false" ht="13.5" hidden="false" customHeight="false" outlineLevel="0" collapsed="false">
      <c r="A1041" s="424"/>
      <c r="B1041" s="424"/>
      <c r="C1041" s="424"/>
      <c r="D1041" s="424"/>
      <c r="E1041" s="424"/>
      <c r="F1041" s="424"/>
      <c r="G1041" s="424"/>
      <c r="H1041" s="424"/>
      <c r="I1041" s="424"/>
      <c r="J1041" s="424"/>
      <c r="K1041" s="424"/>
      <c r="L1041" s="424"/>
      <c r="M1041" s="424"/>
      <c r="N1041" s="424"/>
      <c r="O1041" s="424"/>
      <c r="P1041" s="424"/>
      <c r="Q1041" s="435" t="n">
        <v>61</v>
      </c>
      <c r="R1041" s="434" t="s">
        <v>595</v>
      </c>
      <c r="S1041" s="424"/>
      <c r="T1041" s="434" t="s">
        <v>596</v>
      </c>
      <c r="U1041" s="434" t="s">
        <v>597</v>
      </c>
      <c r="V1041" s="436" t="n">
        <f aca="false">AY1046</f>
        <v>0</v>
      </c>
    </row>
    <row r="1042" customFormat="false" ht="13.5" hidden="false" customHeight="false" outlineLevel="0" collapsed="false">
      <c r="A1042" s="424"/>
      <c r="B1042" s="424"/>
      <c r="C1042" s="424"/>
      <c r="D1042" s="424"/>
      <c r="E1042" s="424"/>
      <c r="F1042" s="424"/>
      <c r="G1042" s="424"/>
      <c r="H1042" s="424"/>
      <c r="I1042" s="424"/>
      <c r="J1042" s="424"/>
      <c r="K1042" s="424"/>
      <c r="L1042" s="424"/>
      <c r="M1042" s="424"/>
      <c r="N1042" s="424"/>
      <c r="O1042" s="424"/>
      <c r="P1042" s="424"/>
      <c r="Q1042" s="435" t="n">
        <v>62</v>
      </c>
      <c r="R1042" s="434" t="s">
        <v>598</v>
      </c>
      <c r="S1042" s="424"/>
      <c r="T1042" s="434" t="s">
        <v>599</v>
      </c>
      <c r="U1042" s="434" t="s">
        <v>600</v>
      </c>
      <c r="V1042" s="436" t="n">
        <f aca="false">AY1047</f>
        <v>0</v>
      </c>
    </row>
    <row r="1043" customFormat="false" ht="13.5" hidden="false" customHeight="false" outlineLevel="0" collapsed="false">
      <c r="A1043" s="424"/>
      <c r="B1043" s="424"/>
      <c r="C1043" s="424"/>
      <c r="D1043" s="424"/>
      <c r="E1043" s="424"/>
      <c r="F1043" s="424"/>
      <c r="G1043" s="424"/>
      <c r="H1043" s="424"/>
      <c r="I1043" s="424"/>
      <c r="J1043" s="424"/>
      <c r="K1043" s="424"/>
      <c r="L1043" s="424"/>
      <c r="M1043" s="424"/>
      <c r="N1043" s="424"/>
      <c r="O1043" s="424"/>
      <c r="P1043" s="424"/>
      <c r="Q1043" s="435" t="n">
        <v>63</v>
      </c>
      <c r="R1043" s="434" t="s">
        <v>601</v>
      </c>
      <c r="S1043" s="424"/>
      <c r="T1043" s="434" t="s">
        <v>602</v>
      </c>
      <c r="U1043" s="434" t="s">
        <v>603</v>
      </c>
      <c r="V1043" s="436" t="n">
        <f aca="false">AY1048</f>
        <v>0</v>
      </c>
    </row>
    <row r="1044" customFormat="false" ht="13.5" hidden="false" customHeight="false" outlineLevel="0" collapsed="false">
      <c r="A1044" s="424"/>
      <c r="B1044" s="424"/>
      <c r="C1044" s="424"/>
      <c r="D1044" s="424"/>
      <c r="E1044" s="424"/>
      <c r="F1044" s="424"/>
      <c r="G1044" s="424"/>
      <c r="H1044" s="424"/>
      <c r="I1044" s="424"/>
      <c r="J1044" s="424"/>
      <c r="K1044" s="424"/>
      <c r="L1044" s="424"/>
      <c r="M1044" s="424"/>
      <c r="N1044" s="424"/>
      <c r="O1044" s="424"/>
      <c r="P1044" s="424"/>
      <c r="Q1044" s="435" t="n">
        <v>64</v>
      </c>
      <c r="R1044" s="434" t="s">
        <v>604</v>
      </c>
      <c r="S1044" s="424"/>
      <c r="T1044" s="434" t="s">
        <v>605</v>
      </c>
      <c r="U1044" s="434" t="s">
        <v>606</v>
      </c>
      <c r="V1044" s="436" t="n">
        <f aca="false">AY1049</f>
        <v>0</v>
      </c>
    </row>
    <row r="1045" customFormat="false" ht="13.5" hidden="false" customHeight="false" outlineLevel="0" collapsed="false">
      <c r="A1045" s="424"/>
      <c r="B1045" s="424"/>
      <c r="C1045" s="424"/>
      <c r="D1045" s="424"/>
      <c r="E1045" s="424"/>
      <c r="F1045" s="424"/>
      <c r="G1045" s="424"/>
      <c r="H1045" s="424"/>
      <c r="I1045" s="424"/>
      <c r="J1045" s="424"/>
      <c r="K1045" s="424"/>
      <c r="L1045" s="424"/>
      <c r="M1045" s="424"/>
      <c r="N1045" s="424"/>
      <c r="O1045" s="424"/>
      <c r="P1045" s="424"/>
      <c r="Q1045" s="435" t="n">
        <v>65</v>
      </c>
      <c r="R1045" s="434" t="s">
        <v>607</v>
      </c>
      <c r="S1045" s="424"/>
      <c r="T1045" s="434" t="s">
        <v>608</v>
      </c>
      <c r="U1045" s="434" t="s">
        <v>609</v>
      </c>
      <c r="V1045" s="436" t="n">
        <f aca="false">AY1050</f>
        <v>0</v>
      </c>
    </row>
    <row r="1046" customFormat="false" ht="13.5" hidden="false" customHeight="false" outlineLevel="0" collapsed="false">
      <c r="A1046" s="424"/>
      <c r="B1046" s="424"/>
      <c r="C1046" s="424"/>
      <c r="D1046" s="424"/>
      <c r="E1046" s="424"/>
      <c r="F1046" s="424"/>
      <c r="G1046" s="424"/>
      <c r="H1046" s="424"/>
      <c r="I1046" s="424"/>
      <c r="J1046" s="424"/>
      <c r="K1046" s="424"/>
      <c r="L1046" s="424"/>
      <c r="M1046" s="424"/>
      <c r="N1046" s="424"/>
      <c r="O1046" s="424"/>
      <c r="P1046" s="424"/>
      <c r="Q1046" s="435" t="n">
        <v>66</v>
      </c>
      <c r="R1046" s="434" t="s">
        <v>610</v>
      </c>
      <c r="S1046" s="424"/>
      <c r="T1046" s="434" t="s">
        <v>611</v>
      </c>
      <c r="U1046" s="434" t="s">
        <v>612</v>
      </c>
      <c r="V1046" s="436" t="n">
        <f aca="false">AY1051</f>
        <v>0</v>
      </c>
    </row>
    <row r="1047" customFormat="false" ht="13.5" hidden="false" customHeight="false" outlineLevel="0" collapsed="false">
      <c r="A1047" s="424"/>
      <c r="B1047" s="424"/>
      <c r="C1047" s="424"/>
      <c r="D1047" s="424"/>
      <c r="E1047" s="424"/>
      <c r="F1047" s="424"/>
      <c r="G1047" s="424"/>
      <c r="H1047" s="424"/>
      <c r="I1047" s="424"/>
      <c r="J1047" s="424"/>
      <c r="K1047" s="424"/>
      <c r="L1047" s="424"/>
      <c r="M1047" s="424"/>
      <c r="N1047" s="424"/>
      <c r="O1047" s="424"/>
      <c r="P1047" s="424"/>
      <c r="Q1047" s="435" t="n">
        <v>67</v>
      </c>
      <c r="R1047" s="434" t="s">
        <v>613</v>
      </c>
      <c r="S1047" s="424"/>
      <c r="T1047" s="434" t="s">
        <v>614</v>
      </c>
      <c r="U1047" s="434" t="s">
        <v>615</v>
      </c>
      <c r="V1047" s="436" t="n">
        <f aca="false">AY1052</f>
        <v>0</v>
      </c>
    </row>
    <row r="1048" customFormat="false" ht="13.5" hidden="false" customHeight="false" outlineLevel="0" collapsed="false">
      <c r="A1048" s="424"/>
      <c r="B1048" s="424"/>
      <c r="C1048" s="424"/>
      <c r="D1048" s="424"/>
      <c r="E1048" s="424"/>
      <c r="F1048" s="424"/>
      <c r="G1048" s="424"/>
      <c r="H1048" s="424"/>
      <c r="I1048" s="424"/>
      <c r="J1048" s="424"/>
      <c r="K1048" s="424"/>
      <c r="L1048" s="424"/>
      <c r="M1048" s="424"/>
      <c r="N1048" s="424"/>
      <c r="O1048" s="424"/>
      <c r="P1048" s="424"/>
      <c r="Q1048" s="435" t="n">
        <v>68</v>
      </c>
      <c r="R1048" s="434" t="s">
        <v>616</v>
      </c>
      <c r="S1048" s="424"/>
      <c r="T1048" s="434" t="s">
        <v>617</v>
      </c>
      <c r="U1048" s="434" t="s">
        <v>618</v>
      </c>
      <c r="V1048" s="436" t="n">
        <f aca="false">AY1053</f>
        <v>0</v>
      </c>
    </row>
    <row r="1049" customFormat="false" ht="13.5" hidden="false" customHeight="false" outlineLevel="0" collapsed="false">
      <c r="A1049" s="424"/>
      <c r="B1049" s="424"/>
      <c r="C1049" s="424"/>
      <c r="D1049" s="424"/>
      <c r="E1049" s="424"/>
      <c r="F1049" s="424"/>
      <c r="G1049" s="424"/>
      <c r="H1049" s="424"/>
      <c r="I1049" s="424"/>
      <c r="J1049" s="424"/>
      <c r="K1049" s="424"/>
      <c r="L1049" s="424"/>
      <c r="M1049" s="424"/>
      <c r="N1049" s="424"/>
      <c r="O1049" s="424"/>
      <c r="P1049" s="424"/>
      <c r="Q1049" s="435" t="n">
        <v>69</v>
      </c>
      <c r="R1049" s="434" t="s">
        <v>619</v>
      </c>
      <c r="S1049" s="424"/>
      <c r="T1049" s="434" t="s">
        <v>620</v>
      </c>
      <c r="U1049" s="434" t="s">
        <v>621</v>
      </c>
      <c r="V1049" s="436" t="n">
        <f aca="false">AY1054</f>
        <v>0</v>
      </c>
    </row>
    <row r="1050" customFormat="false" ht="13.5" hidden="false" customHeight="false" outlineLevel="0" collapsed="false">
      <c r="A1050" s="424"/>
      <c r="B1050" s="424"/>
      <c r="C1050" s="424"/>
      <c r="D1050" s="424"/>
      <c r="E1050" s="424"/>
      <c r="F1050" s="424"/>
      <c r="G1050" s="424"/>
      <c r="H1050" s="424"/>
      <c r="I1050" s="424"/>
      <c r="J1050" s="424"/>
      <c r="K1050" s="424"/>
      <c r="L1050" s="424"/>
      <c r="M1050" s="424"/>
      <c r="N1050" s="424"/>
      <c r="O1050" s="424"/>
      <c r="P1050" s="424"/>
      <c r="Q1050" s="435" t="n">
        <v>70</v>
      </c>
      <c r="R1050" s="434" t="s">
        <v>622</v>
      </c>
      <c r="S1050" s="424"/>
      <c r="T1050" s="434" t="s">
        <v>623</v>
      </c>
      <c r="U1050" s="434" t="s">
        <v>624</v>
      </c>
      <c r="V1050" s="436" t="n">
        <f aca="false">AY1055</f>
        <v>0</v>
      </c>
    </row>
    <row r="1051" customFormat="false" ht="13.5" hidden="false" customHeight="false" outlineLevel="0" collapsed="false">
      <c r="A1051" s="424"/>
      <c r="B1051" s="424"/>
      <c r="C1051" s="424"/>
      <c r="D1051" s="424"/>
      <c r="E1051" s="424"/>
      <c r="F1051" s="424"/>
      <c r="G1051" s="424"/>
      <c r="H1051" s="424"/>
      <c r="I1051" s="424"/>
      <c r="J1051" s="424"/>
      <c r="K1051" s="424"/>
      <c r="L1051" s="424"/>
      <c r="M1051" s="424"/>
      <c r="N1051" s="424"/>
      <c r="O1051" s="424"/>
      <c r="P1051" s="424"/>
      <c r="Q1051" s="435" t="n">
        <v>71</v>
      </c>
      <c r="R1051" s="434" t="s">
        <v>625</v>
      </c>
      <c r="S1051" s="424"/>
      <c r="T1051" s="434" t="s">
        <v>626</v>
      </c>
      <c r="U1051" s="434" t="s">
        <v>627</v>
      </c>
      <c r="V1051" s="436" t="n">
        <f aca="false">AY1056</f>
        <v>0</v>
      </c>
    </row>
    <row r="1052" customFormat="false" ht="13.5" hidden="false" customHeight="false" outlineLevel="0" collapsed="false">
      <c r="A1052" s="424"/>
      <c r="B1052" s="424"/>
      <c r="C1052" s="424"/>
      <c r="D1052" s="424"/>
      <c r="E1052" s="424"/>
      <c r="F1052" s="424"/>
      <c r="G1052" s="424"/>
      <c r="H1052" s="424"/>
      <c r="I1052" s="424"/>
      <c r="J1052" s="424"/>
      <c r="K1052" s="424"/>
      <c r="L1052" s="424"/>
      <c r="M1052" s="424"/>
      <c r="N1052" s="424"/>
      <c r="O1052" s="424"/>
      <c r="P1052" s="424"/>
      <c r="Q1052" s="435" t="n">
        <v>72</v>
      </c>
      <c r="R1052" s="434" t="s">
        <v>628</v>
      </c>
      <c r="S1052" s="424"/>
      <c r="T1052" s="434" t="s">
        <v>629</v>
      </c>
      <c r="U1052" s="434" t="s">
        <v>630</v>
      </c>
      <c r="V1052" s="436" t="n">
        <f aca="false">AY1057</f>
        <v>0</v>
      </c>
    </row>
    <row r="1053" customFormat="false" ht="13.5" hidden="false" customHeight="false" outlineLevel="0" collapsed="false">
      <c r="A1053" s="424"/>
      <c r="B1053" s="424"/>
      <c r="C1053" s="424"/>
      <c r="D1053" s="424"/>
      <c r="E1053" s="424"/>
      <c r="F1053" s="424"/>
      <c r="G1053" s="424"/>
      <c r="H1053" s="424"/>
      <c r="I1053" s="424"/>
      <c r="J1053" s="424"/>
      <c r="K1053" s="424"/>
      <c r="L1053" s="424"/>
      <c r="M1053" s="424"/>
      <c r="N1053" s="424"/>
      <c r="O1053" s="424"/>
      <c r="P1053" s="424"/>
      <c r="Q1053" s="435" t="n">
        <v>73</v>
      </c>
      <c r="R1053" s="434" t="s">
        <v>631</v>
      </c>
      <c r="S1053" s="424"/>
      <c r="T1053" s="434" t="s">
        <v>632</v>
      </c>
      <c r="U1053" s="434" t="s">
        <v>633</v>
      </c>
      <c r="V1053" s="436" t="n">
        <f aca="false">AY1058</f>
        <v>0</v>
      </c>
    </row>
    <row r="1054" customFormat="false" ht="13.5" hidden="false" customHeight="false" outlineLevel="0" collapsed="false">
      <c r="A1054" s="424"/>
      <c r="B1054" s="424"/>
      <c r="C1054" s="424"/>
      <c r="D1054" s="424"/>
      <c r="E1054" s="424"/>
      <c r="F1054" s="424"/>
      <c r="G1054" s="424"/>
      <c r="H1054" s="424"/>
      <c r="I1054" s="424"/>
      <c r="J1054" s="424"/>
      <c r="K1054" s="424"/>
      <c r="L1054" s="424"/>
      <c r="M1054" s="424"/>
      <c r="N1054" s="424"/>
      <c r="O1054" s="424"/>
      <c r="P1054" s="424"/>
      <c r="Q1054" s="435" t="n">
        <v>74</v>
      </c>
      <c r="R1054" s="434" t="s">
        <v>634</v>
      </c>
      <c r="S1054" s="424"/>
      <c r="T1054" s="434" t="s">
        <v>635</v>
      </c>
      <c r="U1054" s="434" t="s">
        <v>636</v>
      </c>
      <c r="V1054" s="436" t="n">
        <f aca="false">AY1059</f>
        <v>0</v>
      </c>
    </row>
    <row r="1055" customFormat="false" ht="13.5" hidden="false" customHeight="false" outlineLevel="0" collapsed="false">
      <c r="A1055" s="424"/>
      <c r="B1055" s="424"/>
      <c r="C1055" s="424"/>
      <c r="D1055" s="424"/>
      <c r="E1055" s="424"/>
      <c r="F1055" s="424"/>
      <c r="G1055" s="424"/>
      <c r="H1055" s="424"/>
      <c r="I1055" s="424"/>
      <c r="J1055" s="424"/>
      <c r="K1055" s="424"/>
      <c r="L1055" s="424"/>
      <c r="M1055" s="424"/>
      <c r="N1055" s="424"/>
      <c r="O1055" s="424"/>
      <c r="P1055" s="424"/>
      <c r="Q1055" s="435" t="n">
        <v>75</v>
      </c>
      <c r="R1055" s="434" t="s">
        <v>637</v>
      </c>
      <c r="S1055" s="424"/>
      <c r="T1055" s="434" t="s">
        <v>638</v>
      </c>
      <c r="U1055" s="434" t="s">
        <v>639</v>
      </c>
      <c r="V1055" s="436" t="n">
        <f aca="false">AY1060</f>
        <v>0</v>
      </c>
    </row>
    <row r="1056" customFormat="false" ht="13.5" hidden="false" customHeight="false" outlineLevel="0" collapsed="false">
      <c r="A1056" s="424"/>
      <c r="B1056" s="424"/>
      <c r="C1056" s="424"/>
      <c r="D1056" s="424"/>
      <c r="E1056" s="424"/>
      <c r="F1056" s="424"/>
      <c r="G1056" s="424"/>
      <c r="H1056" s="424"/>
      <c r="I1056" s="424"/>
      <c r="J1056" s="424"/>
      <c r="K1056" s="424"/>
      <c r="L1056" s="424"/>
      <c r="M1056" s="424"/>
      <c r="N1056" s="424"/>
      <c r="O1056" s="424"/>
      <c r="P1056" s="424"/>
      <c r="Q1056" s="435" t="n">
        <v>76</v>
      </c>
      <c r="R1056" s="434" t="s">
        <v>640</v>
      </c>
      <c r="S1056" s="424"/>
      <c r="T1056" s="434" t="s">
        <v>641</v>
      </c>
      <c r="U1056" s="434" t="s">
        <v>642</v>
      </c>
      <c r="V1056" s="436" t="n">
        <f aca="false">AY1061</f>
        <v>0</v>
      </c>
    </row>
    <row r="1057" customFormat="false" ht="13.5" hidden="false" customHeight="false" outlineLevel="0" collapsed="false">
      <c r="A1057" s="424"/>
      <c r="B1057" s="424"/>
      <c r="C1057" s="424"/>
      <c r="D1057" s="424"/>
      <c r="E1057" s="424"/>
      <c r="F1057" s="424"/>
      <c r="G1057" s="424"/>
      <c r="H1057" s="424"/>
      <c r="I1057" s="424"/>
      <c r="J1057" s="424"/>
      <c r="K1057" s="424"/>
      <c r="L1057" s="424"/>
      <c r="M1057" s="424"/>
      <c r="N1057" s="424"/>
      <c r="O1057" s="424"/>
      <c r="P1057" s="424"/>
      <c r="Q1057" s="435" t="n">
        <v>77</v>
      </c>
      <c r="R1057" s="434" t="s">
        <v>643</v>
      </c>
      <c r="S1057" s="424"/>
      <c r="T1057" s="434" t="s">
        <v>644</v>
      </c>
      <c r="U1057" s="434" t="s">
        <v>645</v>
      </c>
      <c r="V1057" s="436" t="n">
        <f aca="false">AY1062</f>
        <v>0</v>
      </c>
    </row>
    <row r="1058" customFormat="false" ht="13.5" hidden="false" customHeight="false" outlineLevel="0" collapsed="false">
      <c r="A1058" s="424"/>
      <c r="B1058" s="424"/>
      <c r="C1058" s="424"/>
      <c r="D1058" s="424"/>
      <c r="E1058" s="424"/>
      <c r="F1058" s="424"/>
      <c r="G1058" s="424"/>
      <c r="H1058" s="424"/>
      <c r="I1058" s="424"/>
      <c r="J1058" s="424"/>
      <c r="K1058" s="424"/>
      <c r="L1058" s="424"/>
      <c r="M1058" s="424"/>
      <c r="N1058" s="424"/>
      <c r="O1058" s="424"/>
      <c r="P1058" s="424"/>
      <c r="Q1058" s="435" t="n">
        <v>78</v>
      </c>
      <c r="R1058" s="434" t="s">
        <v>646</v>
      </c>
      <c r="S1058" s="424"/>
      <c r="T1058" s="434" t="s">
        <v>647</v>
      </c>
      <c r="U1058" s="434" t="s">
        <v>648</v>
      </c>
      <c r="V1058" s="436" t="n">
        <f aca="false">AY1063</f>
        <v>0</v>
      </c>
    </row>
    <row r="1059" customFormat="false" ht="13.5" hidden="false" customHeight="false" outlineLevel="0" collapsed="false">
      <c r="A1059" s="424"/>
      <c r="B1059" s="424"/>
      <c r="C1059" s="424"/>
      <c r="D1059" s="424"/>
      <c r="E1059" s="424"/>
      <c r="F1059" s="424"/>
      <c r="G1059" s="424"/>
      <c r="H1059" s="424"/>
      <c r="I1059" s="424"/>
      <c r="J1059" s="424"/>
      <c r="K1059" s="424"/>
      <c r="L1059" s="424"/>
      <c r="M1059" s="424"/>
      <c r="N1059" s="424"/>
      <c r="O1059" s="424"/>
      <c r="P1059" s="424"/>
      <c r="Q1059" s="435" t="n">
        <v>79</v>
      </c>
      <c r="R1059" s="434" t="s">
        <v>649</v>
      </c>
      <c r="S1059" s="424"/>
      <c r="T1059" s="434" t="s">
        <v>650</v>
      </c>
      <c r="U1059" s="434" t="s">
        <v>651</v>
      </c>
      <c r="V1059" s="436" t="n">
        <f aca="false">AY1064</f>
        <v>0</v>
      </c>
    </row>
    <row r="1060" customFormat="false" ht="13.5" hidden="false" customHeight="false" outlineLevel="0" collapsed="false">
      <c r="A1060" s="424"/>
      <c r="B1060" s="424"/>
      <c r="C1060" s="424"/>
      <c r="D1060" s="424"/>
      <c r="E1060" s="424"/>
      <c r="F1060" s="424"/>
      <c r="G1060" s="424"/>
      <c r="H1060" s="424"/>
      <c r="I1060" s="424"/>
      <c r="J1060" s="424"/>
      <c r="K1060" s="424"/>
      <c r="L1060" s="424"/>
      <c r="M1060" s="424"/>
      <c r="N1060" s="424"/>
      <c r="O1060" s="424"/>
      <c r="P1060" s="424"/>
      <c r="Q1060" s="435" t="n">
        <v>80</v>
      </c>
      <c r="R1060" s="434" t="s">
        <v>652</v>
      </c>
      <c r="S1060" s="424"/>
      <c r="T1060" s="434" t="s">
        <v>653</v>
      </c>
      <c r="U1060" s="434" t="s">
        <v>654</v>
      </c>
      <c r="V1060" s="436" t="n">
        <f aca="false">AY1065</f>
        <v>0</v>
      </c>
    </row>
    <row r="1061" customFormat="false" ht="13.5" hidden="false" customHeight="false" outlineLevel="0" collapsed="false">
      <c r="A1061" s="424"/>
      <c r="B1061" s="424"/>
      <c r="C1061" s="424"/>
      <c r="D1061" s="424"/>
      <c r="E1061" s="424"/>
      <c r="F1061" s="424"/>
      <c r="G1061" s="424"/>
      <c r="H1061" s="424"/>
      <c r="I1061" s="424"/>
      <c r="J1061" s="424"/>
      <c r="K1061" s="424"/>
      <c r="L1061" s="424"/>
      <c r="M1061" s="424"/>
      <c r="N1061" s="424"/>
      <c r="O1061" s="424"/>
      <c r="P1061" s="424"/>
      <c r="Q1061" s="435" t="n">
        <v>81</v>
      </c>
      <c r="R1061" s="434" t="s">
        <v>655</v>
      </c>
      <c r="S1061" s="424"/>
      <c r="T1061" s="434" t="s">
        <v>656</v>
      </c>
      <c r="U1061" s="434" t="s">
        <v>657</v>
      </c>
      <c r="V1061" s="436" t="n">
        <f aca="false">AY1066</f>
        <v>0</v>
      </c>
    </row>
    <row r="1062" customFormat="false" ht="13.5" hidden="false" customHeight="false" outlineLevel="0" collapsed="false">
      <c r="A1062" s="424"/>
      <c r="B1062" s="424"/>
      <c r="C1062" s="424"/>
      <c r="D1062" s="424"/>
      <c r="E1062" s="424"/>
      <c r="F1062" s="424"/>
      <c r="G1062" s="424"/>
      <c r="H1062" s="424"/>
      <c r="I1062" s="424"/>
      <c r="J1062" s="424"/>
      <c r="K1062" s="424"/>
      <c r="L1062" s="424"/>
      <c r="M1062" s="424"/>
      <c r="N1062" s="424"/>
      <c r="O1062" s="424"/>
      <c r="P1062" s="424"/>
      <c r="Q1062" s="435" t="n">
        <v>82</v>
      </c>
      <c r="R1062" s="434" t="s">
        <v>658</v>
      </c>
      <c r="S1062" s="424"/>
      <c r="T1062" s="434" t="s">
        <v>659</v>
      </c>
      <c r="U1062" s="434" t="s">
        <v>660</v>
      </c>
      <c r="V1062" s="436" t="n">
        <f aca="false">AY1067</f>
        <v>0</v>
      </c>
    </row>
    <row r="1063" customFormat="false" ht="13.5" hidden="false" customHeight="false" outlineLevel="0" collapsed="false">
      <c r="A1063" s="424"/>
      <c r="B1063" s="424"/>
      <c r="C1063" s="424"/>
      <c r="D1063" s="424"/>
      <c r="E1063" s="424"/>
      <c r="F1063" s="424"/>
      <c r="G1063" s="424"/>
      <c r="H1063" s="424"/>
      <c r="I1063" s="424"/>
      <c r="J1063" s="424"/>
      <c r="K1063" s="424"/>
      <c r="L1063" s="424"/>
      <c r="M1063" s="424"/>
      <c r="N1063" s="424"/>
      <c r="O1063" s="424"/>
      <c r="P1063" s="424"/>
      <c r="Q1063" s="435" t="n">
        <v>83</v>
      </c>
      <c r="R1063" s="434" t="s">
        <v>661</v>
      </c>
      <c r="S1063" s="424"/>
      <c r="T1063" s="434" t="s">
        <v>662</v>
      </c>
      <c r="U1063" s="434" t="s">
        <v>663</v>
      </c>
      <c r="V1063" s="436" t="n">
        <f aca="false">AY1068</f>
        <v>0</v>
      </c>
    </row>
    <row r="1064" customFormat="false" ht="13.5" hidden="false" customHeight="false" outlineLevel="0" collapsed="false">
      <c r="A1064" s="424"/>
      <c r="B1064" s="424"/>
      <c r="C1064" s="424"/>
      <c r="D1064" s="424"/>
      <c r="E1064" s="424"/>
      <c r="F1064" s="424"/>
      <c r="G1064" s="424"/>
      <c r="H1064" s="424"/>
      <c r="I1064" s="424"/>
      <c r="J1064" s="424"/>
      <c r="K1064" s="424"/>
      <c r="L1064" s="424"/>
      <c r="M1064" s="424"/>
      <c r="N1064" s="424"/>
      <c r="O1064" s="424"/>
      <c r="P1064" s="424"/>
      <c r="Q1064" s="435" t="n">
        <v>84</v>
      </c>
      <c r="R1064" s="434" t="s">
        <v>664</v>
      </c>
      <c r="S1064" s="424"/>
      <c r="T1064" s="434" t="s">
        <v>665</v>
      </c>
      <c r="U1064" s="434" t="s">
        <v>666</v>
      </c>
      <c r="V1064" s="436" t="n">
        <f aca="false">AY1069</f>
        <v>0</v>
      </c>
    </row>
    <row r="1065" customFormat="false" ht="13.5" hidden="false" customHeight="false" outlineLevel="0" collapsed="false">
      <c r="A1065" s="424"/>
      <c r="B1065" s="424"/>
      <c r="C1065" s="424"/>
      <c r="D1065" s="424"/>
      <c r="E1065" s="424"/>
      <c r="F1065" s="424"/>
      <c r="G1065" s="424"/>
      <c r="H1065" s="424"/>
      <c r="I1065" s="424"/>
      <c r="J1065" s="424"/>
      <c r="K1065" s="424"/>
      <c r="L1065" s="424"/>
      <c r="M1065" s="424"/>
      <c r="N1065" s="424"/>
      <c r="O1065" s="424"/>
      <c r="P1065" s="424"/>
      <c r="Q1065" s="435" t="n">
        <v>85</v>
      </c>
      <c r="R1065" s="434" t="s">
        <v>667</v>
      </c>
      <c r="S1065" s="424"/>
      <c r="T1065" s="434" t="s">
        <v>668</v>
      </c>
      <c r="U1065" s="434" t="s">
        <v>669</v>
      </c>
      <c r="V1065" s="436" t="n">
        <f aca="false">AY1070</f>
        <v>0</v>
      </c>
    </row>
    <row r="1066" customFormat="false" ht="13.5" hidden="false" customHeight="false" outlineLevel="0" collapsed="false">
      <c r="A1066" s="424"/>
      <c r="B1066" s="424"/>
      <c r="C1066" s="424"/>
      <c r="D1066" s="424"/>
      <c r="E1066" s="424"/>
      <c r="F1066" s="424"/>
      <c r="G1066" s="424"/>
      <c r="H1066" s="424"/>
      <c r="I1066" s="424"/>
      <c r="J1066" s="424"/>
      <c r="K1066" s="424"/>
      <c r="L1066" s="424"/>
      <c r="M1066" s="424"/>
      <c r="N1066" s="424"/>
      <c r="O1066" s="424"/>
      <c r="P1066" s="424"/>
      <c r="Q1066" s="435" t="n">
        <v>86</v>
      </c>
      <c r="R1066" s="434" t="s">
        <v>670</v>
      </c>
      <c r="S1066" s="424"/>
      <c r="T1066" s="434" t="s">
        <v>671</v>
      </c>
      <c r="U1066" s="434" t="s">
        <v>672</v>
      </c>
      <c r="V1066" s="436" t="n">
        <f aca="false">AY1071</f>
        <v>0</v>
      </c>
    </row>
    <row r="1067" customFormat="false" ht="13.5" hidden="false" customHeight="false" outlineLevel="0" collapsed="false">
      <c r="A1067" s="424"/>
      <c r="B1067" s="424"/>
      <c r="C1067" s="424"/>
      <c r="D1067" s="424"/>
      <c r="E1067" s="424"/>
      <c r="F1067" s="424"/>
      <c r="G1067" s="424"/>
      <c r="H1067" s="424"/>
      <c r="I1067" s="424"/>
      <c r="J1067" s="424"/>
      <c r="K1067" s="424"/>
      <c r="L1067" s="424"/>
      <c r="M1067" s="424"/>
      <c r="N1067" s="424"/>
      <c r="O1067" s="424"/>
      <c r="P1067" s="424"/>
      <c r="Q1067" s="435" t="n">
        <v>87</v>
      </c>
      <c r="R1067" s="434" t="s">
        <v>673</v>
      </c>
      <c r="S1067" s="424"/>
      <c r="T1067" s="434" t="s">
        <v>674</v>
      </c>
      <c r="U1067" s="434" t="s">
        <v>675</v>
      </c>
      <c r="V1067" s="436" t="n">
        <f aca="false">AY1072</f>
        <v>0</v>
      </c>
    </row>
    <row r="1068" customFormat="false" ht="13.5" hidden="false" customHeight="false" outlineLevel="0" collapsed="false">
      <c r="A1068" s="424"/>
      <c r="B1068" s="424"/>
      <c r="C1068" s="424"/>
      <c r="D1068" s="424"/>
      <c r="E1068" s="424"/>
      <c r="F1068" s="424"/>
      <c r="G1068" s="424"/>
      <c r="H1068" s="424"/>
      <c r="I1068" s="424"/>
      <c r="J1068" s="424"/>
      <c r="K1068" s="424"/>
      <c r="L1068" s="424"/>
      <c r="M1068" s="424"/>
      <c r="N1068" s="424"/>
      <c r="O1068" s="424"/>
      <c r="P1068" s="424"/>
      <c r="Q1068" s="435" t="n">
        <v>88</v>
      </c>
      <c r="R1068" s="434" t="s">
        <v>676</v>
      </c>
      <c r="S1068" s="424"/>
      <c r="T1068" s="434" t="s">
        <v>677</v>
      </c>
      <c r="U1068" s="434" t="s">
        <v>678</v>
      </c>
      <c r="V1068" s="436" t="n">
        <f aca="false">AY1073</f>
        <v>0</v>
      </c>
    </row>
    <row r="1069" customFormat="false" ht="13.5" hidden="false" customHeight="false" outlineLevel="0" collapsed="false">
      <c r="A1069" s="424"/>
      <c r="B1069" s="424"/>
      <c r="C1069" s="424"/>
      <c r="D1069" s="424"/>
      <c r="E1069" s="424"/>
      <c r="F1069" s="424"/>
      <c r="G1069" s="424"/>
      <c r="H1069" s="424"/>
      <c r="I1069" s="424"/>
      <c r="J1069" s="424"/>
      <c r="K1069" s="424"/>
      <c r="L1069" s="424"/>
      <c r="M1069" s="424"/>
      <c r="N1069" s="424"/>
      <c r="O1069" s="424"/>
      <c r="P1069" s="424"/>
      <c r="Q1069" s="435" t="n">
        <v>89</v>
      </c>
      <c r="R1069" s="434" t="s">
        <v>679</v>
      </c>
      <c r="S1069" s="424"/>
      <c r="T1069" s="434" t="s">
        <v>680</v>
      </c>
      <c r="U1069" s="434" t="s">
        <v>681</v>
      </c>
      <c r="V1069" s="436" t="n">
        <f aca="false">AY1074</f>
        <v>0</v>
      </c>
    </row>
    <row r="1070" customFormat="false" ht="13.5" hidden="false" customHeight="false" outlineLevel="0" collapsed="false">
      <c r="A1070" s="424"/>
      <c r="B1070" s="424"/>
      <c r="C1070" s="424"/>
      <c r="D1070" s="424"/>
      <c r="E1070" s="424"/>
      <c r="F1070" s="424"/>
      <c r="G1070" s="424"/>
      <c r="H1070" s="424"/>
      <c r="I1070" s="424"/>
      <c r="J1070" s="424"/>
      <c r="K1070" s="424"/>
      <c r="L1070" s="424"/>
      <c r="M1070" s="424"/>
      <c r="N1070" s="424"/>
      <c r="O1070" s="424"/>
      <c r="P1070" s="424"/>
      <c r="Q1070" s="435" t="n">
        <v>90</v>
      </c>
      <c r="R1070" s="434" t="s">
        <v>682</v>
      </c>
      <c r="S1070" s="424"/>
      <c r="T1070" s="434" t="s">
        <v>683</v>
      </c>
      <c r="U1070" s="434" t="s">
        <v>684</v>
      </c>
      <c r="V1070" s="436" t="n">
        <f aca="false">AY1075</f>
        <v>0</v>
      </c>
    </row>
    <row r="1071" customFormat="false" ht="13.5" hidden="false" customHeight="false" outlineLevel="0" collapsed="false">
      <c r="A1071" s="424"/>
      <c r="B1071" s="424"/>
      <c r="C1071" s="424"/>
      <c r="D1071" s="424"/>
      <c r="E1071" s="424"/>
      <c r="F1071" s="424"/>
      <c r="G1071" s="424"/>
      <c r="H1071" s="424"/>
      <c r="I1071" s="424"/>
      <c r="J1071" s="424"/>
      <c r="K1071" s="424"/>
      <c r="L1071" s="424"/>
      <c r="M1071" s="424"/>
      <c r="N1071" s="424"/>
      <c r="O1071" s="424"/>
      <c r="P1071" s="424"/>
      <c r="Q1071" s="435" t="n">
        <v>91</v>
      </c>
      <c r="R1071" s="434" t="s">
        <v>685</v>
      </c>
      <c r="S1071" s="424"/>
      <c r="T1071" s="434" t="s">
        <v>686</v>
      </c>
      <c r="U1071" s="434" t="s">
        <v>687</v>
      </c>
      <c r="V1071" s="436" t="n">
        <f aca="false">AY1076</f>
        <v>0</v>
      </c>
    </row>
    <row r="1072" customFormat="false" ht="13.5" hidden="false" customHeight="false" outlineLevel="0" collapsed="false">
      <c r="A1072" s="424"/>
      <c r="B1072" s="424"/>
      <c r="C1072" s="424"/>
      <c r="D1072" s="424"/>
      <c r="E1072" s="424"/>
      <c r="F1072" s="424"/>
      <c r="G1072" s="424"/>
      <c r="H1072" s="424"/>
      <c r="I1072" s="424"/>
      <c r="J1072" s="424"/>
      <c r="K1072" s="424"/>
      <c r="L1072" s="424"/>
      <c r="M1072" s="424"/>
      <c r="N1072" s="424"/>
      <c r="O1072" s="424"/>
      <c r="P1072" s="424"/>
      <c r="Q1072" s="435" t="n">
        <v>92</v>
      </c>
      <c r="R1072" s="434" t="s">
        <v>688</v>
      </c>
      <c r="S1072" s="424"/>
      <c r="T1072" s="434" t="s">
        <v>689</v>
      </c>
      <c r="U1072" s="434" t="s">
        <v>690</v>
      </c>
      <c r="V1072" s="436" t="n">
        <f aca="false">AY1077</f>
        <v>0</v>
      </c>
    </row>
    <row r="1073" customFormat="false" ht="13.5" hidden="false" customHeight="false" outlineLevel="0" collapsed="false">
      <c r="A1073" s="424"/>
      <c r="B1073" s="424"/>
      <c r="C1073" s="424"/>
      <c r="D1073" s="424"/>
      <c r="E1073" s="424"/>
      <c r="F1073" s="424"/>
      <c r="G1073" s="424"/>
      <c r="H1073" s="424"/>
      <c r="I1073" s="424"/>
      <c r="J1073" s="424"/>
      <c r="K1073" s="424"/>
      <c r="L1073" s="424"/>
      <c r="M1073" s="424"/>
      <c r="N1073" s="424"/>
      <c r="O1073" s="424"/>
      <c r="P1073" s="424"/>
      <c r="Q1073" s="435" t="n">
        <v>93</v>
      </c>
      <c r="R1073" s="434" t="s">
        <v>691</v>
      </c>
      <c r="S1073" s="424"/>
      <c r="T1073" s="434" t="s">
        <v>692</v>
      </c>
      <c r="U1073" s="434" t="s">
        <v>693</v>
      </c>
      <c r="V1073" s="436" t="n">
        <f aca="false">AY1078</f>
        <v>0</v>
      </c>
    </row>
    <row r="1074" customFormat="false" ht="13.5" hidden="false" customHeight="false" outlineLevel="0" collapsed="false">
      <c r="A1074" s="424"/>
      <c r="B1074" s="424"/>
      <c r="C1074" s="424"/>
      <c r="D1074" s="424"/>
      <c r="E1074" s="424"/>
      <c r="F1074" s="424"/>
      <c r="G1074" s="424"/>
      <c r="H1074" s="424"/>
      <c r="I1074" s="424"/>
      <c r="J1074" s="424"/>
      <c r="K1074" s="424"/>
      <c r="L1074" s="424"/>
      <c r="M1074" s="424"/>
      <c r="N1074" s="424"/>
      <c r="O1074" s="424"/>
      <c r="P1074" s="424"/>
      <c r="Q1074" s="435" t="n">
        <v>94</v>
      </c>
      <c r="R1074" s="434" t="s">
        <v>694</v>
      </c>
      <c r="S1074" s="424"/>
      <c r="T1074" s="434" t="s">
        <v>695</v>
      </c>
      <c r="U1074" s="434" t="s">
        <v>696</v>
      </c>
      <c r="V1074" s="436" t="n">
        <f aca="false">AY1079</f>
        <v>0</v>
      </c>
    </row>
    <row r="1075" customFormat="false" ht="13.5" hidden="false" customHeight="false" outlineLevel="0" collapsed="false">
      <c r="A1075" s="424"/>
      <c r="B1075" s="424"/>
      <c r="C1075" s="424"/>
      <c r="D1075" s="424"/>
      <c r="E1075" s="424"/>
      <c r="F1075" s="424"/>
      <c r="G1075" s="424"/>
      <c r="H1075" s="424"/>
      <c r="I1075" s="424"/>
      <c r="J1075" s="424"/>
      <c r="K1075" s="424"/>
      <c r="L1075" s="424"/>
      <c r="M1075" s="424"/>
      <c r="N1075" s="424"/>
      <c r="O1075" s="424"/>
      <c r="P1075" s="424"/>
      <c r="Q1075" s="435" t="n">
        <v>95</v>
      </c>
      <c r="R1075" s="434" t="s">
        <v>697</v>
      </c>
      <c r="S1075" s="424"/>
      <c r="T1075" s="434" t="s">
        <v>698</v>
      </c>
      <c r="U1075" s="434" t="s">
        <v>699</v>
      </c>
      <c r="V1075" s="436" t="n">
        <f aca="false">AY1080</f>
        <v>0</v>
      </c>
    </row>
    <row r="1076" customFormat="false" ht="13.5" hidden="false" customHeight="false" outlineLevel="0" collapsed="false">
      <c r="A1076" s="424"/>
      <c r="B1076" s="424"/>
      <c r="C1076" s="424"/>
      <c r="D1076" s="424"/>
      <c r="E1076" s="424"/>
      <c r="F1076" s="424"/>
      <c r="G1076" s="424"/>
      <c r="H1076" s="424"/>
      <c r="I1076" s="424"/>
      <c r="J1076" s="424"/>
      <c r="K1076" s="424"/>
      <c r="L1076" s="424"/>
      <c r="M1076" s="424"/>
      <c r="N1076" s="424"/>
      <c r="O1076" s="424"/>
      <c r="P1076" s="424"/>
      <c r="Q1076" s="435" t="n">
        <v>96</v>
      </c>
      <c r="R1076" s="434" t="s">
        <v>700</v>
      </c>
      <c r="S1076" s="424"/>
      <c r="T1076" s="434" t="s">
        <v>701</v>
      </c>
      <c r="U1076" s="434" t="s">
        <v>702</v>
      </c>
      <c r="V1076" s="436" t="n">
        <f aca="false">AY1081</f>
        <v>0</v>
      </c>
    </row>
    <row r="1077" customFormat="false" ht="13.5" hidden="false" customHeight="false" outlineLevel="0" collapsed="false">
      <c r="A1077" s="424"/>
      <c r="B1077" s="424"/>
      <c r="C1077" s="424"/>
      <c r="D1077" s="424"/>
      <c r="E1077" s="424"/>
      <c r="F1077" s="424"/>
      <c r="G1077" s="424"/>
      <c r="H1077" s="424"/>
      <c r="I1077" s="424"/>
      <c r="J1077" s="424"/>
      <c r="K1077" s="424"/>
      <c r="L1077" s="424"/>
      <c r="M1077" s="424"/>
      <c r="N1077" s="424"/>
      <c r="O1077" s="424"/>
      <c r="P1077" s="424"/>
      <c r="Q1077" s="435" t="n">
        <v>97</v>
      </c>
      <c r="R1077" s="434" t="s">
        <v>703</v>
      </c>
      <c r="S1077" s="424"/>
      <c r="T1077" s="434" t="s">
        <v>704</v>
      </c>
      <c r="U1077" s="434" t="s">
        <v>705</v>
      </c>
      <c r="V1077" s="436" t="n">
        <f aca="false">AY1082</f>
        <v>0</v>
      </c>
    </row>
    <row r="1078" customFormat="false" ht="13.5" hidden="false" customHeight="false" outlineLevel="0" collapsed="false">
      <c r="A1078" s="424"/>
      <c r="B1078" s="424"/>
      <c r="C1078" s="424"/>
      <c r="D1078" s="424"/>
      <c r="E1078" s="424"/>
      <c r="F1078" s="424"/>
      <c r="G1078" s="424"/>
      <c r="H1078" s="424"/>
      <c r="I1078" s="424"/>
      <c r="J1078" s="424"/>
      <c r="K1078" s="424"/>
      <c r="L1078" s="424"/>
      <c r="M1078" s="424"/>
      <c r="N1078" s="424"/>
      <c r="O1078" s="424"/>
      <c r="P1078" s="424"/>
      <c r="Q1078" s="435" t="n">
        <v>98</v>
      </c>
      <c r="R1078" s="434" t="s">
        <v>706</v>
      </c>
      <c r="S1078" s="424"/>
      <c r="T1078" s="434" t="s">
        <v>707</v>
      </c>
      <c r="U1078" s="434" t="s">
        <v>708</v>
      </c>
      <c r="V1078" s="436" t="n">
        <f aca="false">AY1083</f>
        <v>0</v>
      </c>
    </row>
    <row r="1079" customFormat="false" ht="13.5" hidden="false" customHeight="false" outlineLevel="0" collapsed="false">
      <c r="A1079" s="424"/>
      <c r="B1079" s="424"/>
      <c r="C1079" s="424"/>
      <c r="D1079" s="424"/>
      <c r="E1079" s="424"/>
      <c r="F1079" s="424"/>
      <c r="G1079" s="424"/>
      <c r="H1079" s="424"/>
      <c r="I1079" s="424"/>
      <c r="J1079" s="424"/>
      <c r="K1079" s="424"/>
      <c r="L1079" s="424"/>
      <c r="M1079" s="424"/>
      <c r="N1079" s="424"/>
      <c r="O1079" s="424"/>
      <c r="P1079" s="424"/>
      <c r="Q1079" s="435" t="n">
        <v>99</v>
      </c>
      <c r="R1079" s="434" t="s">
        <v>709</v>
      </c>
      <c r="S1079" s="424"/>
      <c r="T1079" s="434" t="s">
        <v>710</v>
      </c>
      <c r="U1079" s="434" t="s">
        <v>711</v>
      </c>
      <c r="V1079" s="436" t="n">
        <f aca="false">AY1084</f>
        <v>0</v>
      </c>
    </row>
    <row r="1080" customFormat="false" ht="13.5" hidden="false" customHeight="false" outlineLevel="0" collapsed="false">
      <c r="A1080" s="424"/>
      <c r="B1080" s="424"/>
      <c r="C1080" s="424"/>
      <c r="D1080" s="424"/>
      <c r="E1080" s="424"/>
      <c r="F1080" s="424"/>
      <c r="G1080" s="424"/>
      <c r="H1080" s="424"/>
      <c r="I1080" s="424"/>
      <c r="J1080" s="424"/>
      <c r="K1080" s="424"/>
      <c r="L1080" s="424"/>
      <c r="M1080" s="424"/>
      <c r="N1080" s="424"/>
      <c r="O1080" s="424"/>
      <c r="P1080" s="424"/>
      <c r="Q1080" s="424"/>
      <c r="R1080" s="424"/>
      <c r="S1080" s="424"/>
      <c r="T1080" s="424"/>
      <c r="U1080" s="424"/>
      <c r="V1080" s="436" t="n">
        <f aca="false">AY1085</f>
        <v>0</v>
      </c>
    </row>
    <row r="1081" customFormat="false" ht="13.5" hidden="false" customHeight="false" outlineLevel="0" collapsed="false">
      <c r="A1081" s="424"/>
      <c r="B1081" s="424"/>
      <c r="C1081" s="424"/>
      <c r="D1081" s="424"/>
      <c r="E1081" s="424"/>
      <c r="F1081" s="424"/>
      <c r="G1081" s="424"/>
      <c r="H1081" s="424"/>
      <c r="I1081" s="424"/>
      <c r="J1081" s="424"/>
      <c r="K1081" s="424"/>
      <c r="L1081" s="424"/>
      <c r="M1081" s="424"/>
      <c r="N1081" s="424"/>
      <c r="O1081" s="424"/>
      <c r="P1081" s="424"/>
      <c r="Q1081" s="424"/>
      <c r="R1081" s="424"/>
      <c r="S1081" s="424"/>
      <c r="T1081" s="424"/>
      <c r="U1081" s="424"/>
      <c r="V1081" s="436" t="n">
        <f aca="false">AY1086</f>
        <v>0</v>
      </c>
    </row>
    <row r="1082" customFormat="false" ht="13.5" hidden="false" customHeight="false" outlineLevel="0" collapsed="false">
      <c r="A1082" s="424"/>
      <c r="B1082" s="424"/>
      <c r="C1082" s="424"/>
      <c r="D1082" s="424"/>
      <c r="E1082" s="424"/>
      <c r="F1082" s="424"/>
      <c r="G1082" s="424"/>
      <c r="H1082" s="424"/>
      <c r="I1082" s="424"/>
      <c r="J1082" s="424"/>
      <c r="K1082" s="424"/>
      <c r="L1082" s="424"/>
      <c r="M1082" s="424"/>
      <c r="N1082" s="424"/>
      <c r="O1082" s="424"/>
      <c r="P1082" s="424"/>
      <c r="Q1082" s="424"/>
      <c r="R1082" s="424"/>
      <c r="S1082" s="424"/>
      <c r="T1082" s="424"/>
      <c r="U1082" s="424"/>
      <c r="V1082" s="436" t="n">
        <f aca="false">AY1087</f>
        <v>0</v>
      </c>
    </row>
    <row r="1083" customFormat="false" ht="13.5" hidden="false" customHeight="false" outlineLevel="0" collapsed="false">
      <c r="A1083" s="424"/>
      <c r="B1083" s="424"/>
      <c r="C1083" s="424"/>
      <c r="D1083" s="424"/>
      <c r="E1083" s="424"/>
      <c r="F1083" s="424"/>
      <c r="G1083" s="424"/>
      <c r="H1083" s="424"/>
      <c r="I1083" s="424"/>
      <c r="J1083" s="424"/>
      <c r="K1083" s="424"/>
      <c r="L1083" s="424"/>
      <c r="M1083" s="424"/>
      <c r="N1083" s="424"/>
      <c r="O1083" s="424"/>
      <c r="P1083" s="424"/>
      <c r="Q1083" s="424"/>
      <c r="R1083" s="424"/>
      <c r="S1083" s="424"/>
      <c r="T1083" s="424"/>
      <c r="U1083" s="424"/>
      <c r="V1083" s="436" t="n">
        <f aca="false">AY1088</f>
        <v>0</v>
      </c>
    </row>
    <row r="1084" customFormat="false" ht="13.5" hidden="false" customHeight="false" outlineLevel="0" collapsed="false">
      <c r="A1084" s="424"/>
      <c r="B1084" s="424"/>
      <c r="C1084" s="424"/>
      <c r="D1084" s="424"/>
      <c r="E1084" s="424"/>
      <c r="F1084" s="424"/>
      <c r="G1084" s="424"/>
      <c r="H1084" s="424"/>
      <c r="I1084" s="424"/>
      <c r="J1084" s="424"/>
      <c r="K1084" s="424"/>
      <c r="L1084" s="424"/>
      <c r="M1084" s="424"/>
      <c r="N1084" s="424"/>
      <c r="O1084" s="424"/>
      <c r="P1084" s="424"/>
      <c r="Q1084" s="424"/>
      <c r="R1084" s="424"/>
      <c r="S1084" s="424"/>
      <c r="T1084" s="424"/>
      <c r="U1084" s="424"/>
      <c r="V1084" s="436" t="n">
        <f aca="false">AY1089</f>
        <v>0</v>
      </c>
    </row>
    <row r="1085" customFormat="false" ht="13.5" hidden="false" customHeight="false" outlineLevel="0" collapsed="false">
      <c r="A1085" s="424"/>
      <c r="B1085" s="424"/>
      <c r="C1085" s="424"/>
      <c r="D1085" s="424"/>
      <c r="E1085" s="424"/>
      <c r="F1085" s="424"/>
      <c r="G1085" s="424"/>
      <c r="H1085" s="424"/>
      <c r="I1085" s="424"/>
      <c r="J1085" s="424"/>
      <c r="K1085" s="424"/>
      <c r="L1085" s="424"/>
      <c r="M1085" s="424"/>
      <c r="N1085" s="424"/>
      <c r="O1085" s="424"/>
      <c r="P1085" s="424"/>
      <c r="Q1085" s="424"/>
      <c r="R1085" s="424"/>
      <c r="S1085" s="424"/>
      <c r="T1085" s="424"/>
      <c r="U1085" s="424"/>
      <c r="V1085" s="436" t="n">
        <f aca="false">AY1090</f>
        <v>0</v>
      </c>
    </row>
    <row r="1086" customFormat="false" ht="13.5" hidden="false" customHeight="false" outlineLevel="0" collapsed="false">
      <c r="A1086" s="424"/>
      <c r="B1086" s="424"/>
      <c r="C1086" s="424"/>
      <c r="D1086" s="424"/>
      <c r="E1086" s="424"/>
      <c r="F1086" s="424"/>
      <c r="G1086" s="424"/>
      <c r="H1086" s="424"/>
      <c r="I1086" s="424"/>
      <c r="J1086" s="424"/>
      <c r="K1086" s="424"/>
      <c r="L1086" s="424"/>
      <c r="M1086" s="424"/>
      <c r="N1086" s="424"/>
      <c r="O1086" s="424"/>
      <c r="P1086" s="424"/>
      <c r="Q1086" s="424"/>
      <c r="R1086" s="424"/>
      <c r="S1086" s="424"/>
      <c r="T1086" s="424"/>
      <c r="U1086" s="424"/>
      <c r="V1086" s="436" t="n">
        <f aca="false">AY1091</f>
        <v>0</v>
      </c>
    </row>
    <row r="1087" customFormat="false" ht="13.5" hidden="false" customHeight="false" outlineLevel="0" collapsed="false">
      <c r="A1087" s="424"/>
      <c r="B1087" s="424"/>
      <c r="C1087" s="424"/>
      <c r="D1087" s="424"/>
      <c r="E1087" s="424"/>
      <c r="F1087" s="424"/>
      <c r="G1087" s="424"/>
      <c r="H1087" s="424"/>
      <c r="I1087" s="424"/>
      <c r="J1087" s="424"/>
      <c r="K1087" s="424"/>
      <c r="L1087" s="424"/>
      <c r="M1087" s="424"/>
      <c r="N1087" s="424"/>
      <c r="O1087" s="424"/>
      <c r="P1087" s="424"/>
      <c r="Q1087" s="424"/>
      <c r="R1087" s="424"/>
      <c r="S1087" s="424"/>
      <c r="T1087" s="424"/>
      <c r="U1087" s="424"/>
      <c r="V1087" s="436" t="n">
        <f aca="false">AY1092</f>
        <v>0</v>
      </c>
    </row>
    <row r="1088" customFormat="false" ht="13.5" hidden="false" customHeight="false" outlineLevel="0" collapsed="false">
      <c r="A1088" s="424"/>
      <c r="B1088" s="424"/>
      <c r="C1088" s="424"/>
      <c r="D1088" s="424"/>
      <c r="E1088" s="424"/>
      <c r="F1088" s="424"/>
      <c r="G1088" s="424"/>
      <c r="H1088" s="424"/>
      <c r="I1088" s="424"/>
      <c r="J1088" s="424"/>
      <c r="K1088" s="424"/>
      <c r="L1088" s="424"/>
      <c r="M1088" s="424"/>
      <c r="N1088" s="424"/>
      <c r="O1088" s="424"/>
      <c r="P1088" s="424"/>
      <c r="Q1088" s="424"/>
      <c r="R1088" s="424"/>
      <c r="S1088" s="424"/>
      <c r="T1088" s="424"/>
      <c r="U1088" s="424"/>
      <c r="V1088" s="436" t="n">
        <f aca="false">AY1093</f>
        <v>0</v>
      </c>
    </row>
    <row r="1089" customFormat="false" ht="13.5" hidden="false" customHeight="false" outlineLevel="0" collapsed="false">
      <c r="A1089" s="424"/>
      <c r="B1089" s="424"/>
      <c r="C1089" s="424"/>
      <c r="D1089" s="424"/>
      <c r="E1089" s="424"/>
      <c r="F1089" s="424"/>
      <c r="G1089" s="424"/>
      <c r="H1089" s="424"/>
      <c r="I1089" s="424"/>
      <c r="J1089" s="424"/>
      <c r="K1089" s="424"/>
      <c r="L1089" s="424"/>
      <c r="M1089" s="424"/>
      <c r="N1089" s="424"/>
      <c r="O1089" s="424"/>
      <c r="P1089" s="424"/>
      <c r="Q1089" s="424"/>
      <c r="R1089" s="424"/>
      <c r="S1089" s="424"/>
      <c r="T1089" s="424"/>
      <c r="U1089" s="424"/>
      <c r="V1089" s="436" t="n">
        <f aca="false">AY1094</f>
        <v>0</v>
      </c>
    </row>
    <row r="1090" customFormat="false" ht="13.5" hidden="false" customHeight="false" outlineLevel="0" collapsed="false">
      <c r="A1090" s="424"/>
      <c r="B1090" s="424"/>
      <c r="C1090" s="424"/>
      <c r="D1090" s="424"/>
      <c r="E1090" s="424"/>
      <c r="F1090" s="424"/>
      <c r="G1090" s="424"/>
      <c r="H1090" s="424"/>
      <c r="I1090" s="424"/>
      <c r="J1090" s="424"/>
      <c r="K1090" s="424"/>
      <c r="L1090" s="424"/>
      <c r="M1090" s="424"/>
      <c r="N1090" s="424"/>
      <c r="O1090" s="424"/>
      <c r="P1090" s="424"/>
      <c r="Q1090" s="424"/>
      <c r="R1090" s="424"/>
      <c r="S1090" s="424"/>
      <c r="T1090" s="424"/>
      <c r="U1090" s="424"/>
      <c r="V1090" s="436" t="n">
        <f aca="false">AY1095</f>
        <v>0</v>
      </c>
    </row>
    <row r="1091" customFormat="false" ht="13.5" hidden="false" customHeight="false" outlineLevel="0" collapsed="false">
      <c r="A1091" s="424"/>
      <c r="B1091" s="424"/>
      <c r="C1091" s="424"/>
      <c r="D1091" s="424"/>
      <c r="E1091" s="424"/>
      <c r="F1091" s="424"/>
      <c r="G1091" s="424"/>
      <c r="H1091" s="424"/>
      <c r="I1091" s="424"/>
      <c r="J1091" s="424"/>
      <c r="K1091" s="424"/>
      <c r="L1091" s="424"/>
      <c r="M1091" s="424"/>
      <c r="N1091" s="424"/>
      <c r="O1091" s="424"/>
      <c r="P1091" s="424"/>
      <c r="Q1091" s="424"/>
      <c r="R1091" s="424"/>
      <c r="S1091" s="424"/>
      <c r="T1091" s="424"/>
      <c r="U1091" s="424"/>
      <c r="V1091" s="436" t="n">
        <f aca="false">AY1096</f>
        <v>0</v>
      </c>
    </row>
    <row r="1092" customFormat="false" ht="13.5" hidden="false" customHeight="false" outlineLevel="0" collapsed="false">
      <c r="A1092" s="424"/>
      <c r="B1092" s="424"/>
      <c r="C1092" s="424"/>
      <c r="D1092" s="424"/>
      <c r="E1092" s="424"/>
      <c r="F1092" s="424"/>
      <c r="G1092" s="424"/>
      <c r="H1092" s="424"/>
      <c r="I1092" s="424"/>
      <c r="J1092" s="424"/>
      <c r="K1092" s="424"/>
      <c r="L1092" s="424"/>
      <c r="M1092" s="424"/>
      <c r="N1092" s="424"/>
      <c r="O1092" s="424"/>
      <c r="P1092" s="424"/>
      <c r="Q1092" s="424"/>
      <c r="R1092" s="424"/>
      <c r="S1092" s="424"/>
      <c r="T1092" s="424"/>
      <c r="U1092" s="424"/>
      <c r="V1092" s="436" t="n">
        <f aca="false">AY1097</f>
        <v>0</v>
      </c>
    </row>
    <row r="1093" customFormat="false" ht="13.5" hidden="false" customHeight="false" outlineLevel="0" collapsed="false">
      <c r="A1093" s="424"/>
      <c r="B1093" s="424"/>
      <c r="C1093" s="424"/>
      <c r="D1093" s="424"/>
      <c r="E1093" s="424"/>
      <c r="F1093" s="424"/>
      <c r="G1093" s="424"/>
      <c r="H1093" s="424"/>
      <c r="I1093" s="424"/>
      <c r="J1093" s="424"/>
      <c r="K1093" s="424"/>
      <c r="L1093" s="424"/>
      <c r="M1093" s="424"/>
      <c r="N1093" s="424"/>
      <c r="O1093" s="424"/>
      <c r="P1093" s="424"/>
      <c r="Q1093" s="424"/>
      <c r="R1093" s="424"/>
      <c r="S1093" s="424"/>
      <c r="T1093" s="424"/>
      <c r="U1093" s="424"/>
      <c r="V1093" s="436" t="n">
        <f aca="false">AY1098</f>
        <v>0</v>
      </c>
    </row>
    <row r="1094" customFormat="false" ht="13.5" hidden="false" customHeight="false" outlineLevel="0" collapsed="false">
      <c r="A1094" s="424"/>
      <c r="B1094" s="424"/>
      <c r="C1094" s="424"/>
      <c r="D1094" s="424"/>
      <c r="E1094" s="424"/>
      <c r="F1094" s="424"/>
      <c r="G1094" s="424"/>
      <c r="H1094" s="424"/>
      <c r="I1094" s="424"/>
      <c r="J1094" s="424"/>
      <c r="K1094" s="424"/>
      <c r="L1094" s="424"/>
      <c r="M1094" s="424"/>
      <c r="N1094" s="424"/>
      <c r="O1094" s="424"/>
      <c r="P1094" s="424"/>
      <c r="Q1094" s="424"/>
      <c r="R1094" s="424"/>
      <c r="S1094" s="424"/>
      <c r="T1094" s="424"/>
      <c r="U1094" s="424"/>
      <c r="V1094" s="436" t="n">
        <f aca="false">AY1099</f>
        <v>0</v>
      </c>
    </row>
    <row r="1095" customFormat="false" ht="13.5" hidden="false" customHeight="false" outlineLevel="0" collapsed="false">
      <c r="A1095" s="424"/>
      <c r="B1095" s="424"/>
      <c r="C1095" s="424"/>
      <c r="D1095" s="424"/>
      <c r="E1095" s="424"/>
      <c r="F1095" s="424"/>
      <c r="G1095" s="424"/>
      <c r="H1095" s="424"/>
      <c r="I1095" s="424"/>
      <c r="J1095" s="424"/>
      <c r="K1095" s="424"/>
      <c r="L1095" s="424"/>
      <c r="M1095" s="424"/>
      <c r="N1095" s="424"/>
      <c r="O1095" s="424"/>
      <c r="P1095" s="424"/>
      <c r="Q1095" s="424"/>
      <c r="R1095" s="424"/>
      <c r="S1095" s="424"/>
      <c r="T1095" s="424"/>
      <c r="U1095" s="424"/>
      <c r="V1095" s="436" t="n">
        <f aca="false">AY1100</f>
        <v>0</v>
      </c>
    </row>
    <row r="1096" customFormat="false" ht="13.5" hidden="false" customHeight="false" outlineLevel="0" collapsed="false">
      <c r="A1096" s="424"/>
      <c r="B1096" s="424"/>
      <c r="C1096" s="424"/>
      <c r="D1096" s="424"/>
      <c r="E1096" s="424"/>
      <c r="F1096" s="424"/>
      <c r="G1096" s="424"/>
      <c r="H1096" s="424"/>
      <c r="I1096" s="424"/>
      <c r="J1096" s="424"/>
      <c r="K1096" s="424"/>
      <c r="L1096" s="424"/>
      <c r="M1096" s="424"/>
      <c r="N1096" s="424"/>
      <c r="O1096" s="424"/>
      <c r="P1096" s="424"/>
      <c r="Q1096" s="424"/>
      <c r="R1096" s="424"/>
      <c r="S1096" s="424"/>
      <c r="T1096" s="424"/>
      <c r="U1096" s="424"/>
      <c r="V1096" s="436" t="n">
        <f aca="false">AY1101</f>
        <v>0</v>
      </c>
    </row>
    <row r="1097" customFormat="false" ht="13.5" hidden="false" customHeight="false" outlineLevel="0" collapsed="false">
      <c r="A1097" s="424"/>
      <c r="B1097" s="424"/>
      <c r="C1097" s="424"/>
      <c r="D1097" s="424"/>
      <c r="E1097" s="424"/>
      <c r="F1097" s="424"/>
      <c r="G1097" s="424"/>
      <c r="H1097" s="424"/>
      <c r="I1097" s="424"/>
      <c r="J1097" s="424"/>
      <c r="K1097" s="424"/>
      <c r="L1097" s="424"/>
      <c r="M1097" s="424"/>
      <c r="N1097" s="424"/>
      <c r="O1097" s="424"/>
      <c r="P1097" s="424"/>
      <c r="Q1097" s="424"/>
      <c r="R1097" s="424"/>
      <c r="S1097" s="424"/>
      <c r="T1097" s="424"/>
      <c r="U1097" s="424"/>
      <c r="V1097" s="436" t="n">
        <f aca="false">AY1102</f>
        <v>0</v>
      </c>
    </row>
    <row r="1098" customFormat="false" ht="13.5" hidden="false" customHeight="false" outlineLevel="0" collapsed="false">
      <c r="A1098" s="424"/>
      <c r="B1098" s="424"/>
      <c r="C1098" s="424"/>
      <c r="D1098" s="424"/>
      <c r="E1098" s="424"/>
      <c r="F1098" s="424"/>
      <c r="G1098" s="424"/>
      <c r="H1098" s="424"/>
      <c r="I1098" s="424"/>
      <c r="J1098" s="424"/>
      <c r="K1098" s="424"/>
      <c r="L1098" s="424"/>
      <c r="M1098" s="424"/>
      <c r="N1098" s="424"/>
      <c r="O1098" s="424"/>
      <c r="P1098" s="424"/>
      <c r="Q1098" s="424"/>
      <c r="R1098" s="424"/>
      <c r="S1098" s="424"/>
      <c r="T1098" s="424"/>
      <c r="U1098" s="424"/>
      <c r="V1098" s="424"/>
    </row>
    <row r="1099" customFormat="false" ht="13.5" hidden="false" customHeight="false" outlineLevel="0" collapsed="false">
      <c r="A1099" s="424"/>
      <c r="B1099" s="424"/>
      <c r="C1099" s="424"/>
      <c r="D1099" s="424"/>
      <c r="E1099" s="424"/>
      <c r="F1099" s="424"/>
      <c r="G1099" s="424"/>
      <c r="H1099" s="424"/>
      <c r="I1099" s="424"/>
      <c r="J1099" s="424"/>
      <c r="K1099" s="424"/>
      <c r="L1099" s="424"/>
      <c r="M1099" s="424"/>
      <c r="N1099" s="424"/>
      <c r="O1099" s="424"/>
      <c r="P1099" s="424"/>
      <c r="Q1099" s="424"/>
      <c r="R1099" s="424"/>
      <c r="S1099" s="424"/>
      <c r="T1099" s="424"/>
      <c r="U1099" s="424"/>
      <c r="V1099" s="424"/>
    </row>
    <row r="1100" customFormat="false" ht="13.5" hidden="false" customHeight="false" outlineLevel="0" collapsed="false">
      <c r="A1100" s="424"/>
      <c r="B1100" s="424"/>
      <c r="C1100" s="424"/>
      <c r="D1100" s="424"/>
      <c r="E1100" s="424"/>
      <c r="F1100" s="424"/>
      <c r="G1100" s="424"/>
      <c r="H1100" s="424"/>
      <c r="I1100" s="424"/>
      <c r="J1100" s="424"/>
      <c r="K1100" s="424"/>
      <c r="L1100" s="424"/>
      <c r="M1100" s="424"/>
      <c r="N1100" s="424"/>
      <c r="O1100" s="424"/>
      <c r="P1100" s="424"/>
      <c r="Q1100" s="424"/>
      <c r="R1100" s="434" t="s">
        <v>400</v>
      </c>
      <c r="S1100" s="424"/>
      <c r="T1100" s="424"/>
      <c r="U1100" s="424"/>
      <c r="V1100" s="435" t="n">
        <f aca="false">SUM(V1102:V1134)</f>
        <v>0</v>
      </c>
    </row>
    <row r="1101" customFormat="false" ht="13.5" hidden="false" customHeight="false" outlineLevel="0" collapsed="false">
      <c r="A1101" s="424"/>
      <c r="B1101" s="424"/>
      <c r="C1101" s="424"/>
      <c r="D1101" s="424"/>
      <c r="E1101" s="424"/>
      <c r="F1101" s="424"/>
      <c r="G1101" s="424"/>
      <c r="H1101" s="424"/>
      <c r="I1101" s="424"/>
      <c r="J1101" s="424"/>
      <c r="K1101" s="424"/>
      <c r="L1101" s="424"/>
      <c r="M1101" s="424"/>
      <c r="N1101" s="424"/>
      <c r="O1101" s="424"/>
      <c r="P1101" s="424"/>
      <c r="Q1101" s="435" t="n">
        <v>0</v>
      </c>
      <c r="R1101" s="424"/>
      <c r="S1101" s="435" t="n">
        <v>0</v>
      </c>
      <c r="T1101" s="424"/>
      <c r="U1101" s="424"/>
      <c r="V1101" s="436" t="n">
        <f aca="false">AY1101</f>
        <v>0</v>
      </c>
    </row>
    <row r="1102" customFormat="false" ht="13.5" hidden="false" customHeight="false" outlineLevel="0" collapsed="false">
      <c r="A1102" s="424"/>
      <c r="B1102" s="424"/>
      <c r="C1102" s="424"/>
      <c r="D1102" s="424"/>
      <c r="E1102" s="424"/>
      <c r="F1102" s="424"/>
      <c r="G1102" s="424"/>
      <c r="H1102" s="424"/>
      <c r="I1102" s="424"/>
      <c r="J1102" s="424"/>
      <c r="K1102" s="424"/>
      <c r="L1102" s="424"/>
      <c r="M1102" s="424"/>
      <c r="N1102" s="424"/>
      <c r="O1102" s="424"/>
      <c r="P1102" s="424"/>
      <c r="Q1102" s="435" t="n">
        <v>1</v>
      </c>
      <c r="R1102" s="434" t="s">
        <v>401</v>
      </c>
      <c r="S1102" s="434" t="s">
        <v>402</v>
      </c>
      <c r="T1102" s="434" t="s">
        <v>403</v>
      </c>
      <c r="U1102" s="434" t="s">
        <v>404</v>
      </c>
      <c r="V1102" s="436" t="n">
        <f aca="false">AY1102</f>
        <v>0</v>
      </c>
    </row>
    <row r="1103" customFormat="false" ht="13.5" hidden="false" customHeight="false" outlineLevel="0" collapsed="false">
      <c r="A1103" s="424"/>
      <c r="B1103" s="424"/>
      <c r="C1103" s="424"/>
      <c r="D1103" s="424"/>
      <c r="E1103" s="424"/>
      <c r="F1103" s="424"/>
      <c r="G1103" s="424"/>
      <c r="H1103" s="424"/>
      <c r="I1103" s="424"/>
      <c r="J1103" s="424"/>
      <c r="K1103" s="424"/>
      <c r="L1103" s="424"/>
      <c r="M1103" s="424"/>
      <c r="N1103" s="424"/>
      <c r="O1103" s="424"/>
      <c r="P1103" s="424"/>
      <c r="Q1103" s="435" t="n">
        <v>2</v>
      </c>
      <c r="R1103" s="434" t="s">
        <v>405</v>
      </c>
      <c r="S1103" s="434" t="s">
        <v>406</v>
      </c>
      <c r="T1103" s="434" t="s">
        <v>407</v>
      </c>
      <c r="U1103" s="434" t="s">
        <v>408</v>
      </c>
      <c r="V1103" s="436" t="n">
        <f aca="false">AY1103</f>
        <v>0</v>
      </c>
    </row>
    <row r="1104" customFormat="false" ht="13.5" hidden="false" customHeight="false" outlineLevel="0" collapsed="false">
      <c r="A1104" s="424"/>
      <c r="B1104" s="424"/>
      <c r="C1104" s="424"/>
      <c r="D1104" s="424"/>
      <c r="E1104" s="424"/>
      <c r="F1104" s="424"/>
      <c r="G1104" s="424"/>
      <c r="H1104" s="424"/>
      <c r="I1104" s="424"/>
      <c r="J1104" s="424"/>
      <c r="K1104" s="424"/>
      <c r="L1104" s="424"/>
      <c r="M1104" s="424"/>
      <c r="N1104" s="424"/>
      <c r="O1104" s="424"/>
      <c r="P1104" s="424"/>
      <c r="Q1104" s="435" t="n">
        <v>3</v>
      </c>
      <c r="R1104" s="434" t="s">
        <v>409</v>
      </c>
      <c r="S1104" s="434" t="s">
        <v>410</v>
      </c>
      <c r="T1104" s="434" t="s">
        <v>411</v>
      </c>
      <c r="U1104" s="434" t="s">
        <v>412</v>
      </c>
      <c r="V1104" s="436" t="n">
        <f aca="false">AY1104</f>
        <v>0</v>
      </c>
    </row>
    <row r="1105" customFormat="false" ht="13.5" hidden="false" customHeight="false" outlineLevel="0" collapsed="false">
      <c r="A1105" s="424"/>
      <c r="B1105" s="424"/>
      <c r="C1105" s="424"/>
      <c r="D1105" s="424"/>
      <c r="E1105" s="424"/>
      <c r="F1105" s="424"/>
      <c r="G1105" s="424"/>
      <c r="H1105" s="424"/>
      <c r="I1105" s="424"/>
      <c r="J1105" s="424"/>
      <c r="K1105" s="424"/>
      <c r="L1105" s="424"/>
      <c r="M1105" s="424"/>
      <c r="N1105" s="424"/>
      <c r="O1105" s="424"/>
      <c r="P1105" s="424"/>
      <c r="Q1105" s="435" t="n">
        <v>4</v>
      </c>
      <c r="R1105" s="434" t="s">
        <v>413</v>
      </c>
      <c r="S1105" s="434" t="s">
        <v>414</v>
      </c>
      <c r="T1105" s="434" t="s">
        <v>415</v>
      </c>
      <c r="U1105" s="434" t="s">
        <v>416</v>
      </c>
      <c r="V1105" s="436" t="n">
        <f aca="false">AY1105</f>
        <v>0</v>
      </c>
    </row>
    <row r="1106" customFormat="false" ht="13.5" hidden="false" customHeight="false" outlineLevel="0" collapsed="false">
      <c r="A1106" s="424"/>
      <c r="B1106" s="424"/>
      <c r="C1106" s="424"/>
      <c r="D1106" s="424"/>
      <c r="E1106" s="424"/>
      <c r="F1106" s="424"/>
      <c r="G1106" s="424"/>
      <c r="H1106" s="424"/>
      <c r="I1106" s="424"/>
      <c r="J1106" s="424"/>
      <c r="K1106" s="424"/>
      <c r="L1106" s="424"/>
      <c r="M1106" s="424"/>
      <c r="N1106" s="424"/>
      <c r="O1106" s="424"/>
      <c r="P1106" s="438" t="s">
        <v>417</v>
      </c>
      <c r="Q1106" s="435" t="n">
        <v>5</v>
      </c>
      <c r="R1106" s="434" t="s">
        <v>418</v>
      </c>
      <c r="S1106" s="434" t="s">
        <v>419</v>
      </c>
      <c r="T1106" s="434" t="s">
        <v>420</v>
      </c>
      <c r="U1106" s="434" t="s">
        <v>421</v>
      </c>
      <c r="V1106" s="436" t="n">
        <f aca="false">AY1106</f>
        <v>0</v>
      </c>
    </row>
    <row r="1107" customFormat="false" ht="13.5" hidden="false" customHeight="false" outlineLevel="0" collapsed="false">
      <c r="A1107" s="424"/>
      <c r="B1107" s="424"/>
      <c r="C1107" s="424"/>
      <c r="D1107" s="424"/>
      <c r="E1107" s="424"/>
      <c r="F1107" s="424"/>
      <c r="G1107" s="424"/>
      <c r="H1107" s="424"/>
      <c r="I1107" s="424"/>
      <c r="J1107" s="424"/>
      <c r="K1107" s="424"/>
      <c r="L1107" s="424"/>
      <c r="M1107" s="424"/>
      <c r="N1107" s="424"/>
      <c r="O1107" s="424"/>
      <c r="P1107" s="438" t="s">
        <v>417</v>
      </c>
      <c r="Q1107" s="435" t="n">
        <v>6</v>
      </c>
      <c r="R1107" s="434" t="s">
        <v>422</v>
      </c>
      <c r="S1107" s="434" t="s">
        <v>423</v>
      </c>
      <c r="T1107" s="434" t="s">
        <v>424</v>
      </c>
      <c r="U1107" s="434" t="s">
        <v>425</v>
      </c>
      <c r="V1107" s="436" t="n">
        <f aca="false">AY1107</f>
        <v>0</v>
      </c>
    </row>
    <row r="1108" customFormat="false" ht="13.5" hidden="false" customHeight="false" outlineLevel="0" collapsed="false">
      <c r="A1108" s="424"/>
      <c r="B1108" s="424"/>
      <c r="C1108" s="424"/>
      <c r="D1108" s="424"/>
      <c r="E1108" s="424"/>
      <c r="F1108" s="424"/>
      <c r="G1108" s="424"/>
      <c r="H1108" s="424"/>
      <c r="I1108" s="424"/>
      <c r="J1108" s="424"/>
      <c r="K1108" s="424"/>
      <c r="L1108" s="424"/>
      <c r="M1108" s="424"/>
      <c r="N1108" s="424"/>
      <c r="O1108" s="424"/>
      <c r="P1108" s="438" t="s">
        <v>417</v>
      </c>
      <c r="Q1108" s="435" t="n">
        <v>7</v>
      </c>
      <c r="R1108" s="434" t="s">
        <v>426</v>
      </c>
      <c r="S1108" s="434" t="s">
        <v>427</v>
      </c>
      <c r="T1108" s="434" t="s">
        <v>428</v>
      </c>
      <c r="U1108" s="434" t="s">
        <v>429</v>
      </c>
      <c r="V1108" s="436" t="n">
        <f aca="false">AY1108</f>
        <v>0</v>
      </c>
    </row>
    <row r="1109" customFormat="false" ht="13.5" hidden="false" customHeight="false" outlineLevel="0" collapsed="false">
      <c r="A1109" s="424"/>
      <c r="B1109" s="424"/>
      <c r="C1109" s="424"/>
      <c r="D1109" s="424"/>
      <c r="E1109" s="424"/>
      <c r="F1109" s="424"/>
      <c r="G1109" s="424"/>
      <c r="H1109" s="424"/>
      <c r="I1109" s="424"/>
      <c r="J1109" s="424"/>
      <c r="K1109" s="424"/>
      <c r="L1109" s="424"/>
      <c r="M1109" s="424"/>
      <c r="N1109" s="424"/>
      <c r="O1109" s="424"/>
      <c r="P1109" s="438" t="s">
        <v>417</v>
      </c>
      <c r="Q1109" s="435" t="n">
        <v>8</v>
      </c>
      <c r="R1109" s="434" t="s">
        <v>430</v>
      </c>
      <c r="S1109" s="434" t="s">
        <v>431</v>
      </c>
      <c r="T1109" s="434" t="s">
        <v>432</v>
      </c>
      <c r="U1109" s="434" t="s">
        <v>433</v>
      </c>
      <c r="V1109" s="436" t="n">
        <f aca="false">AY1109</f>
        <v>0</v>
      </c>
    </row>
    <row r="1110" customFormat="false" ht="13.5" hidden="false" customHeight="false" outlineLevel="0" collapsed="false">
      <c r="A1110" s="424"/>
      <c r="B1110" s="424"/>
      <c r="C1110" s="424"/>
      <c r="D1110" s="424"/>
      <c r="E1110" s="424"/>
      <c r="F1110" s="424"/>
      <c r="G1110" s="424"/>
      <c r="H1110" s="424"/>
      <c r="I1110" s="424"/>
      <c r="J1110" s="424"/>
      <c r="K1110" s="424"/>
      <c r="L1110" s="424"/>
      <c r="M1110" s="424"/>
      <c r="N1110" s="424"/>
      <c r="O1110" s="424"/>
      <c r="P1110" s="438" t="s">
        <v>417</v>
      </c>
      <c r="Q1110" s="435" t="n">
        <v>9</v>
      </c>
      <c r="R1110" s="434" t="s">
        <v>434</v>
      </c>
      <c r="S1110" s="434" t="s">
        <v>435</v>
      </c>
      <c r="T1110" s="434" t="s">
        <v>436</v>
      </c>
      <c r="U1110" s="434" t="s">
        <v>437</v>
      </c>
      <c r="V1110" s="436" t="n">
        <f aca="false">AY1110</f>
        <v>0</v>
      </c>
    </row>
    <row r="1111" customFormat="false" ht="13.5" hidden="false" customHeight="false" outlineLevel="0" collapsed="false">
      <c r="A1111" s="424"/>
      <c r="B1111" s="424"/>
      <c r="C1111" s="424"/>
      <c r="D1111" s="424"/>
      <c r="E1111" s="424"/>
      <c r="F1111" s="424"/>
      <c r="G1111" s="424"/>
      <c r="H1111" s="424"/>
      <c r="I1111" s="424"/>
      <c r="J1111" s="424"/>
      <c r="K1111" s="424"/>
      <c r="L1111" s="424"/>
      <c r="M1111" s="424"/>
      <c r="N1111" s="424"/>
      <c r="O1111" s="424"/>
      <c r="P1111" s="438" t="s">
        <v>417</v>
      </c>
      <c r="Q1111" s="435" t="n">
        <v>10</v>
      </c>
      <c r="R1111" s="434" t="s">
        <v>438</v>
      </c>
      <c r="S1111" s="424"/>
      <c r="T1111" s="434" t="s">
        <v>439</v>
      </c>
      <c r="U1111" s="434" t="s">
        <v>440</v>
      </c>
      <c r="V1111" s="436" t="n">
        <f aca="false">AY1111</f>
        <v>0</v>
      </c>
    </row>
    <row r="1112" customFormat="false" ht="13.5" hidden="false" customHeight="false" outlineLevel="0" collapsed="false">
      <c r="A1112" s="424"/>
      <c r="B1112" s="424"/>
      <c r="C1112" s="424"/>
      <c r="D1112" s="424"/>
      <c r="E1112" s="424"/>
      <c r="F1112" s="435" t="n">
        <f aca="false">TRUNC(+A1114/1000000)</f>
        <v>0</v>
      </c>
      <c r="G1112" s="424"/>
      <c r="H1112" s="424"/>
      <c r="I1112" s="424"/>
      <c r="J1112" s="424"/>
      <c r="K1112" s="424"/>
      <c r="L1112" s="424"/>
      <c r="M1112" s="424"/>
      <c r="N1112" s="424"/>
      <c r="O1112" s="424"/>
      <c r="P1112" s="438" t="s">
        <v>417</v>
      </c>
      <c r="Q1112" s="435" t="n">
        <v>11</v>
      </c>
      <c r="R1112" s="434" t="s">
        <v>441</v>
      </c>
      <c r="S1112" s="424"/>
      <c r="T1112" s="434" t="s">
        <v>442</v>
      </c>
      <c r="U1112" s="434" t="s">
        <v>443</v>
      </c>
      <c r="V1112" s="436" t="n">
        <f aca="false">AY1112</f>
        <v>0</v>
      </c>
    </row>
    <row r="1113" customFormat="false" ht="13.5" hidden="false" customHeight="false" outlineLevel="0" collapsed="false">
      <c r="A1113" s="424"/>
      <c r="B1113" s="424"/>
      <c r="C1113" s="424"/>
      <c r="D1113" s="424"/>
      <c r="E1113" s="424"/>
      <c r="F1113" s="435" t="e">
        <f aca="false">(+B1117*100000+C1117*1000+E1117*100)</f>
        <v>#VALUE!</v>
      </c>
      <c r="G1113" s="424"/>
      <c r="H1113" s="424"/>
      <c r="I1113" s="424"/>
      <c r="J1113" s="424"/>
      <c r="K1113" s="424"/>
      <c r="L1113" s="434" t="s">
        <v>444</v>
      </c>
      <c r="M1113" s="424"/>
      <c r="N1113" s="424"/>
      <c r="O1113" s="424"/>
      <c r="P1113" s="438" t="s">
        <v>417</v>
      </c>
      <c r="Q1113" s="435" t="n">
        <v>12</v>
      </c>
      <c r="R1113" s="434" t="s">
        <v>445</v>
      </c>
      <c r="S1113" s="424"/>
      <c r="T1113" s="434" t="s">
        <v>446</v>
      </c>
      <c r="U1113" s="434" t="s">
        <v>447</v>
      </c>
      <c r="V1113" s="436" t="n">
        <f aca="false">AY1113</f>
        <v>0</v>
      </c>
    </row>
    <row r="1114" customFormat="false" ht="13.5" hidden="false" customHeight="false" outlineLevel="0" collapsed="false">
      <c r="A1114" s="436" t="n">
        <f aca="false">TRUNC(+A1115)</f>
        <v>12</v>
      </c>
      <c r="B1114" s="424"/>
      <c r="C1114" s="424"/>
      <c r="D1114" s="424"/>
      <c r="E1114" s="440" t="n">
        <f aca="false">TRUNC(+A1114/100000000)</f>
        <v>0</v>
      </c>
      <c r="F1114" s="424"/>
      <c r="G1114" s="424"/>
      <c r="H1114" s="424"/>
      <c r="I1114" s="424"/>
      <c r="J1114" s="424"/>
      <c r="K1114" s="424"/>
      <c r="L1114" s="424"/>
      <c r="M1114" s="424"/>
      <c r="N1114" s="424"/>
      <c r="O1114" s="424"/>
      <c r="P1114" s="438" t="s">
        <v>417</v>
      </c>
      <c r="Q1114" s="435" t="n">
        <v>13</v>
      </c>
      <c r="R1114" s="434" t="s">
        <v>448</v>
      </c>
      <c r="S1114" s="424"/>
      <c r="T1114" s="434" t="s">
        <v>449</v>
      </c>
      <c r="U1114" s="434" t="s">
        <v>450</v>
      </c>
      <c r="V1114" s="436" t="n">
        <f aca="false">AY1114</f>
        <v>0</v>
      </c>
    </row>
    <row r="1115" customFormat="false" ht="13.5" hidden="false" customHeight="false" outlineLevel="0" collapsed="false">
      <c r="A1115" s="441" t="n">
        <v>12</v>
      </c>
      <c r="B1115" s="434" t="s">
        <v>451</v>
      </c>
      <c r="C1115" s="434" t="s">
        <v>452</v>
      </c>
      <c r="D1115" s="424"/>
      <c r="E1115" s="434" t="s">
        <v>452</v>
      </c>
      <c r="F1115" s="424"/>
      <c r="G1115" s="424"/>
      <c r="H1115" s="424"/>
      <c r="I1115" s="440" t="n">
        <f aca="false">TRUNC((+A1114-(+F1112*1000000))/1000)</f>
        <v>0</v>
      </c>
      <c r="J1115" s="424"/>
      <c r="K1115" s="440" t="n">
        <f aca="false">(TRUNC((+A1114-(+F1112*1000000))/1))-I1115*1000</f>
        <v>12</v>
      </c>
      <c r="L1115" s="424"/>
      <c r="M1115" s="424"/>
      <c r="N1115" s="424"/>
      <c r="O1115" s="424"/>
      <c r="P1115" s="438" t="s">
        <v>417</v>
      </c>
      <c r="Q1115" s="435" t="n">
        <v>14</v>
      </c>
      <c r="R1115" s="434" t="s">
        <v>453</v>
      </c>
      <c r="S1115" s="424"/>
      <c r="T1115" s="434" t="s">
        <v>454</v>
      </c>
      <c r="U1115" s="434" t="s">
        <v>455</v>
      </c>
      <c r="V1115" s="436" t="n">
        <f aca="false">AY1115</f>
        <v>0</v>
      </c>
    </row>
    <row r="1116" customFormat="false" ht="13.5" hidden="false" customHeight="false" outlineLevel="0" collapsed="false">
      <c r="A1116" s="424"/>
      <c r="B1116" s="442" t="s">
        <v>712</v>
      </c>
      <c r="C1116" s="442" t="s">
        <v>712</v>
      </c>
      <c r="D1116" s="424"/>
      <c r="E1116" s="442" t="s">
        <v>712</v>
      </c>
      <c r="F1116" s="424"/>
      <c r="G1116" s="424"/>
      <c r="H1116" s="424"/>
      <c r="I1116" s="424"/>
      <c r="J1116" s="424"/>
      <c r="K1116" s="424"/>
      <c r="L1116" s="424"/>
      <c r="M1116" s="424"/>
      <c r="N1116" s="440" t="n">
        <f aca="false">ROUND(((+A1115-A1114)*100),1)</f>
        <v>0</v>
      </c>
      <c r="O1116" s="424"/>
      <c r="P1116" s="438" t="s">
        <v>417</v>
      </c>
      <c r="Q1116" s="435" t="n">
        <v>15</v>
      </c>
      <c r="R1116" s="434" t="s">
        <v>457</v>
      </c>
      <c r="S1116" s="424"/>
      <c r="T1116" s="434" t="s">
        <v>458</v>
      </c>
      <c r="U1116" s="434" t="s">
        <v>459</v>
      </c>
      <c r="V1116" s="436" t="n">
        <f aca="false">AY1116</f>
        <v>0</v>
      </c>
    </row>
    <row r="1117" customFormat="false" ht="13.5" hidden="false" customHeight="false" outlineLevel="0" collapsed="false">
      <c r="A1117" s="424"/>
      <c r="B1117" s="440" t="n">
        <f aca="false">TRUNC(+A1115/100000000000)</f>
        <v>0</v>
      </c>
      <c r="C1117" s="440" t="n">
        <f aca="false">(TRUNC(+A1114/1000000000))-B1117*100</f>
        <v>0</v>
      </c>
      <c r="D1117" s="424"/>
      <c r="E1117" s="435" t="str">
        <f aca="false">IF(E1114&gt;0,TRUNC(+E1114-B1117*1000-C1117*10),"")</f>
        <v/>
      </c>
      <c r="F1117" s="435" t="e">
        <f aca="false">F1112-F1113</f>
        <v>#VALUE!</v>
      </c>
      <c r="G1117" s="435" t="e">
        <f aca="false">G1119</f>
        <v>#VALUE!</v>
      </c>
      <c r="H1117" s="440" t="n">
        <f aca="false">TRUNC((+A1114-(+F1112*1000000))/100000)</f>
        <v>0</v>
      </c>
      <c r="I1117" s="440" t="n">
        <f aca="false">I1115-H1117*100</f>
        <v>0</v>
      </c>
      <c r="J1117" s="424"/>
      <c r="K1117" s="440" t="n">
        <f aca="false">TRUNC(+K1115/100)</f>
        <v>0</v>
      </c>
      <c r="L1117" s="440" t="n">
        <f aca="false">K1115-K1117*100</f>
        <v>12</v>
      </c>
      <c r="M1117" s="440" t="str">
        <f aca="false">IF(N1117&gt;0," &amp; Sen ","")</f>
        <v/>
      </c>
      <c r="N1117" s="435" t="n">
        <f aca="false">N1116</f>
        <v>0</v>
      </c>
      <c r="O1117" s="424"/>
      <c r="P1117" s="438" t="s">
        <v>417</v>
      </c>
      <c r="Q1117" s="435" t="n">
        <v>16</v>
      </c>
      <c r="R1117" s="434" t="s">
        <v>460</v>
      </c>
      <c r="S1117" s="424"/>
      <c r="T1117" s="434" t="s">
        <v>461</v>
      </c>
      <c r="U1117" s="434" t="s">
        <v>462</v>
      </c>
      <c r="V1117" s="436" t="n">
        <f aca="false">AY1117</f>
        <v>0</v>
      </c>
    </row>
    <row r="1118" customFormat="false" ht="13.5" hidden="false" customHeight="false" outlineLevel="0" collapsed="false">
      <c r="A1118" s="424"/>
      <c r="B1118" s="424"/>
      <c r="C1118" s="424"/>
      <c r="D1118" s="424"/>
      <c r="E1118" s="424"/>
      <c r="F1118" s="424"/>
      <c r="G1118" s="424"/>
      <c r="H1118" s="424"/>
      <c r="I1118" s="424"/>
      <c r="J1118" s="424"/>
      <c r="K1118" s="424"/>
      <c r="L1118" s="424"/>
      <c r="M1118" s="424"/>
      <c r="N1118" s="424"/>
      <c r="O1118" s="424"/>
      <c r="P1118" s="438" t="s">
        <v>417</v>
      </c>
      <c r="Q1118" s="435" t="n">
        <v>17</v>
      </c>
      <c r="R1118" s="434" t="s">
        <v>463</v>
      </c>
      <c r="S1118" s="424"/>
      <c r="T1118" s="434" t="s">
        <v>464</v>
      </c>
      <c r="U1118" s="434" t="s">
        <v>465</v>
      </c>
      <c r="V1118" s="436" t="n">
        <f aca="false">AY1118</f>
        <v>0</v>
      </c>
    </row>
    <row r="1119" customFormat="false" ht="13.5" hidden="false" customHeight="false" outlineLevel="0" collapsed="false">
      <c r="A1119" s="440" t="n">
        <f aca="false">B1117*100000000000</f>
        <v>0</v>
      </c>
      <c r="B1119" s="440" t="str">
        <f aca="false">IF(B1117&gt;0,VLOOKUP(B1117,$Q$7:$T$15,3),"")</f>
        <v/>
      </c>
      <c r="C1119" s="440" t="str">
        <f aca="false">IF(C1117&gt;0,VLOOKUP(C1117,Q1102:R1200,2),"")</f>
        <v/>
      </c>
      <c r="D1119" s="440" t="str">
        <f aca="false">IF(B1114+C1117&gt;0,"Milyar","")</f>
        <v/>
      </c>
      <c r="E1119" s="440" t="e">
        <f aca="false">IF(E1117&gt;0,VLOOKUP(E1117,$Q$7:$T$15,3),"")</f>
        <v>#N/A</v>
      </c>
      <c r="F1119" s="440" t="e">
        <f aca="false">IF(F1117&gt;0,VLOOKUP(F1117,Q1102:R1200,2),"")</f>
        <v>#VALUE!</v>
      </c>
      <c r="G1119" s="435" t="e">
        <f aca="false">IF(F1117+E1117&gt;0," Juta","")</f>
        <v>#VALUE!</v>
      </c>
      <c r="H1119" s="440" t="str">
        <f aca="false">IF(H1117&gt;0,VLOOKUP(H1117,$Q$7:$T$15,3),"")</f>
        <v/>
      </c>
      <c r="I1119" s="440" t="str">
        <f aca="false">IF(I1117=1," Se",IF(I1117=0,"",VLOOKUP(I1117,Q1102:R1200,2)))</f>
        <v/>
      </c>
      <c r="J1119" s="435" t="str">
        <f aca="false">IF(I1117+H1117&gt;0," ribu","")</f>
        <v/>
      </c>
      <c r="K1119" s="440" t="str">
        <f aca="false">IF(K1117&gt;0,VLOOKUP(K1117,Q1102:S1110,3),"")</f>
        <v/>
      </c>
      <c r="L1119" s="440" t="str">
        <f aca="false">IF(L1117&gt;0,VLOOKUP(L1117,Q1102:R1200,2),"")</f>
        <v> Dua belas</v>
      </c>
      <c r="M1119" s="440" t="str">
        <f aca="false">IF(N1117&gt;0,VLOOKUP(N1116,Q1101:U1200,5)," Rupiah ")</f>
        <v> Rupiah </v>
      </c>
      <c r="N1119" s="424"/>
      <c r="O1119" s="435" t="str">
        <f aca="false">IF(N1117&gt;0," ====","")</f>
        <v/>
      </c>
      <c r="P1119" s="435" t="str">
        <f aca="false">IF(N1117&gt;0,"-","====")</f>
        <v>====</v>
      </c>
      <c r="Q1119" s="435" t="n">
        <v>18</v>
      </c>
      <c r="R1119" s="434" t="s">
        <v>466</v>
      </c>
      <c r="S1119" s="424"/>
      <c r="T1119" s="434" t="s">
        <v>467</v>
      </c>
      <c r="U1119" s="434" t="s">
        <v>468</v>
      </c>
      <c r="V1119" s="436" t="n">
        <f aca="false">AY1119</f>
        <v>0</v>
      </c>
    </row>
    <row r="1120" customFormat="false" ht="13.5" hidden="false" customHeight="false" outlineLevel="0" collapsed="false">
      <c r="A1120" s="440"/>
      <c r="B1120" s="435" t="str">
        <f aca="false">B1119</f>
        <v/>
      </c>
      <c r="C1120" s="424"/>
      <c r="D1120" s="424"/>
      <c r="E1120" s="424"/>
      <c r="F1120" s="424"/>
      <c r="G1120" s="424"/>
      <c r="H1120" s="424"/>
      <c r="I1120" s="424"/>
      <c r="J1120" s="424"/>
      <c r="K1120" s="424"/>
      <c r="L1120" s="424"/>
      <c r="M1120" s="424"/>
      <c r="N1120" s="424"/>
      <c r="O1120" s="424"/>
      <c r="P1120" s="438" t="s">
        <v>417</v>
      </c>
      <c r="Q1120" s="435" t="n">
        <v>19</v>
      </c>
      <c r="R1120" s="434" t="s">
        <v>469</v>
      </c>
      <c r="S1120" s="424"/>
      <c r="T1120" s="434" t="s">
        <v>470</v>
      </c>
      <c r="U1120" s="434" t="s">
        <v>471</v>
      </c>
      <c r="V1120" s="436" t="n">
        <f aca="false">AY1125</f>
        <v>0</v>
      </c>
    </row>
    <row r="1121" customFormat="false" ht="13.5" hidden="false" customHeight="false" outlineLevel="0" collapsed="false">
      <c r="A1121" s="440"/>
      <c r="B1121" s="435" t="str">
        <f aca="false">C1119</f>
        <v/>
      </c>
      <c r="C1121" s="424"/>
      <c r="D1121" s="424"/>
      <c r="E1121" s="424"/>
      <c r="F1121" s="424"/>
      <c r="G1121" s="424"/>
      <c r="H1121" s="424"/>
      <c r="I1121" s="424"/>
      <c r="J1121" s="424"/>
      <c r="K1121" s="424"/>
      <c r="L1121" s="424"/>
      <c r="M1121" s="424"/>
      <c r="N1121" s="424"/>
      <c r="O1121" s="424"/>
      <c r="P1121" s="438" t="s">
        <v>417</v>
      </c>
      <c r="Q1121" s="435" t="n">
        <v>20</v>
      </c>
      <c r="R1121" s="434" t="s">
        <v>472</v>
      </c>
      <c r="S1121" s="424"/>
      <c r="T1121" s="434" t="s">
        <v>473</v>
      </c>
      <c r="U1121" s="434" t="s">
        <v>474</v>
      </c>
      <c r="V1121" s="436" t="n">
        <f aca="false">AY1126</f>
        <v>0</v>
      </c>
    </row>
    <row r="1122" customFormat="false" ht="13.5" hidden="false" customHeight="false" outlineLevel="0" collapsed="false">
      <c r="A1122" s="440"/>
      <c r="B1122" s="435" t="str">
        <f aca="false">D1119</f>
        <v/>
      </c>
      <c r="C1122" s="424"/>
      <c r="D1122" s="424"/>
      <c r="E1122" s="424"/>
      <c r="F1122" s="424"/>
      <c r="G1122" s="424"/>
      <c r="H1122" s="424"/>
      <c r="I1122" s="424"/>
      <c r="J1122" s="424"/>
      <c r="K1122" s="424"/>
      <c r="L1122" s="424"/>
      <c r="M1122" s="424"/>
      <c r="N1122" s="424"/>
      <c r="O1122" s="424"/>
      <c r="P1122" s="438" t="s">
        <v>417</v>
      </c>
      <c r="Q1122" s="435" t="n">
        <v>21</v>
      </c>
      <c r="R1122" s="434" t="s">
        <v>475</v>
      </c>
      <c r="S1122" s="424"/>
      <c r="T1122" s="434" t="s">
        <v>476</v>
      </c>
      <c r="U1122" s="434" t="s">
        <v>477</v>
      </c>
      <c r="V1122" s="436" t="n">
        <f aca="false">AY1127</f>
        <v>0</v>
      </c>
    </row>
    <row r="1123" customFormat="false" ht="13.5" hidden="false" customHeight="false" outlineLevel="0" collapsed="false">
      <c r="A1123" s="440"/>
      <c r="B1123" s="435" t="e">
        <f aca="false">E1119</f>
        <v>#N/A</v>
      </c>
      <c r="C1123" s="424"/>
      <c r="D1123" s="424"/>
      <c r="E1123" s="424"/>
      <c r="F1123" s="424"/>
      <c r="G1123" s="424"/>
      <c r="H1123" s="424"/>
      <c r="I1123" s="424"/>
      <c r="J1123" s="424"/>
      <c r="K1123" s="424"/>
      <c r="L1123" s="424"/>
      <c r="M1123" s="424"/>
      <c r="N1123" s="424"/>
      <c r="O1123" s="424"/>
      <c r="P1123" s="424"/>
      <c r="Q1123" s="435" t="n">
        <v>22</v>
      </c>
      <c r="R1123" s="434" t="s">
        <v>478</v>
      </c>
      <c r="S1123" s="424"/>
      <c r="T1123" s="434" t="s">
        <v>479</v>
      </c>
      <c r="U1123" s="434" t="s">
        <v>480</v>
      </c>
      <c r="V1123" s="436" t="n">
        <f aca="false">AY1128</f>
        <v>0</v>
      </c>
    </row>
    <row r="1124" customFormat="false" ht="13.5" hidden="false" customHeight="false" outlineLevel="0" collapsed="false">
      <c r="A1124" s="440"/>
      <c r="B1124" s="435" t="e">
        <f aca="false">F1119</f>
        <v>#VALUE!</v>
      </c>
      <c r="C1124" s="424"/>
      <c r="D1124" s="424"/>
      <c r="E1124" s="424"/>
      <c r="F1124" s="424"/>
      <c r="G1124" s="424"/>
      <c r="H1124" s="424"/>
      <c r="I1124" s="424"/>
      <c r="J1124" s="424"/>
      <c r="K1124" s="424"/>
      <c r="L1124" s="424"/>
      <c r="M1124" s="424"/>
      <c r="N1124" s="424"/>
      <c r="O1124" s="424"/>
      <c r="P1124" s="438" t="s">
        <v>417</v>
      </c>
      <c r="Q1124" s="435" t="n">
        <v>23</v>
      </c>
      <c r="R1124" s="434" t="s">
        <v>481</v>
      </c>
      <c r="S1124" s="424"/>
      <c r="T1124" s="434" t="s">
        <v>482</v>
      </c>
      <c r="U1124" s="434" t="s">
        <v>483</v>
      </c>
      <c r="V1124" s="436" t="n">
        <f aca="false">AY1129</f>
        <v>0</v>
      </c>
    </row>
    <row r="1125" customFormat="false" ht="13.5" hidden="false" customHeight="false" outlineLevel="0" collapsed="false">
      <c r="A1125" s="424"/>
      <c r="B1125" s="424"/>
      <c r="C1125" s="424"/>
      <c r="D1125" s="424"/>
      <c r="E1125" s="424"/>
      <c r="F1125" s="424"/>
      <c r="G1125" s="424"/>
      <c r="H1125" s="424"/>
      <c r="I1125" s="424"/>
      <c r="J1125" s="424"/>
      <c r="K1125" s="424"/>
      <c r="L1125" s="424"/>
      <c r="M1125" s="424"/>
      <c r="N1125" s="424"/>
      <c r="O1125" s="424"/>
      <c r="P1125" s="438" t="s">
        <v>417</v>
      </c>
      <c r="Q1125" s="435" t="n">
        <v>24</v>
      </c>
      <c r="R1125" s="434" t="s">
        <v>484</v>
      </c>
      <c r="S1125" s="424"/>
      <c r="T1125" s="434" t="s">
        <v>485</v>
      </c>
      <c r="U1125" s="434" t="s">
        <v>486</v>
      </c>
      <c r="V1125" s="436" t="n">
        <f aca="false">AY1130</f>
        <v>0</v>
      </c>
    </row>
    <row r="1126" customFormat="false" ht="13.5" hidden="false" customHeight="false" outlineLevel="0" collapsed="false">
      <c r="A1126" s="424"/>
      <c r="B1126" s="424"/>
      <c r="C1126" s="424"/>
      <c r="D1126" s="424"/>
      <c r="E1126" s="424"/>
      <c r="F1126" s="424"/>
      <c r="G1126" s="424"/>
      <c r="H1126" s="424"/>
      <c r="I1126" s="424"/>
      <c r="J1126" s="424"/>
      <c r="K1126" s="424"/>
      <c r="L1126" s="424"/>
      <c r="M1126" s="424"/>
      <c r="N1126" s="424"/>
      <c r="O1126" s="424"/>
      <c r="P1126" s="438" t="s">
        <v>417</v>
      </c>
      <c r="Q1126" s="435" t="n">
        <v>25</v>
      </c>
      <c r="R1126" s="434" t="s">
        <v>487</v>
      </c>
      <c r="S1126" s="424"/>
      <c r="T1126" s="434" t="s">
        <v>488</v>
      </c>
      <c r="U1126" s="434" t="s">
        <v>489</v>
      </c>
      <c r="V1126" s="436" t="n">
        <f aca="false">AY1131</f>
        <v>0</v>
      </c>
    </row>
    <row r="1127" customFormat="false" ht="13.5" hidden="false" customHeight="false" outlineLevel="0" collapsed="false">
      <c r="A1127" s="424"/>
      <c r="B1127" s="424"/>
      <c r="C1127" s="424"/>
      <c r="D1127" s="424"/>
      <c r="E1127" s="424"/>
      <c r="F1127" s="424"/>
      <c r="G1127" s="424"/>
      <c r="H1127" s="424"/>
      <c r="I1127" s="424"/>
      <c r="J1127" s="424"/>
      <c r="K1127" s="424"/>
      <c r="L1127" s="424"/>
      <c r="M1127" s="424"/>
      <c r="N1127" s="424"/>
      <c r="O1127" s="424"/>
      <c r="P1127" s="438" t="s">
        <v>417</v>
      </c>
      <c r="Q1127" s="435" t="n">
        <v>26</v>
      </c>
      <c r="R1127" s="434" t="s">
        <v>490</v>
      </c>
      <c r="S1127" s="424"/>
      <c r="T1127" s="434" t="s">
        <v>491</v>
      </c>
      <c r="U1127" s="434" t="s">
        <v>492</v>
      </c>
      <c r="V1127" s="436" t="n">
        <f aca="false">AY1132</f>
        <v>0</v>
      </c>
    </row>
    <row r="1128" customFormat="false" ht="13.5" hidden="false" customHeight="false" outlineLevel="0" collapsed="false">
      <c r="A1128" s="424"/>
      <c r="B1128" s="424"/>
      <c r="C1128" s="424"/>
      <c r="D1128" s="424"/>
      <c r="E1128" s="424"/>
      <c r="F1128" s="424"/>
      <c r="G1128" s="424"/>
      <c r="H1128" s="424"/>
      <c r="I1128" s="424"/>
      <c r="J1128" s="424"/>
      <c r="K1128" s="424"/>
      <c r="L1128" s="424"/>
      <c r="M1128" s="424"/>
      <c r="N1128" s="424"/>
      <c r="O1128" s="424"/>
      <c r="P1128" s="424"/>
      <c r="Q1128" s="435" t="n">
        <v>27</v>
      </c>
      <c r="R1128" s="434" t="s">
        <v>493</v>
      </c>
      <c r="S1128" s="424"/>
      <c r="T1128" s="434" t="s">
        <v>494</v>
      </c>
      <c r="U1128" s="434" t="s">
        <v>495</v>
      </c>
      <c r="V1128" s="436" t="n">
        <f aca="false">AY1133</f>
        <v>0</v>
      </c>
    </row>
    <row r="1129" customFormat="false" ht="13.5" hidden="false" customHeight="false" outlineLevel="0" collapsed="false">
      <c r="A1129" s="424"/>
      <c r="B1129" s="424"/>
      <c r="C1129" s="424"/>
      <c r="D1129" s="424"/>
      <c r="E1129" s="424"/>
      <c r="F1129" s="424"/>
      <c r="G1129" s="424"/>
      <c r="H1129" s="424"/>
      <c r="I1129" s="424"/>
      <c r="J1129" s="424"/>
      <c r="K1129" s="424"/>
      <c r="L1129" s="424"/>
      <c r="M1129" s="424"/>
      <c r="N1129" s="424"/>
      <c r="O1129" s="424"/>
      <c r="P1129" s="424"/>
      <c r="Q1129" s="435" t="n">
        <v>28</v>
      </c>
      <c r="R1129" s="434" t="s">
        <v>496</v>
      </c>
      <c r="S1129" s="424"/>
      <c r="T1129" s="434" t="s">
        <v>497</v>
      </c>
      <c r="U1129" s="434" t="s">
        <v>498</v>
      </c>
      <c r="V1129" s="436" t="n">
        <f aca="false">AY1134</f>
        <v>0</v>
      </c>
    </row>
    <row r="1130" customFormat="false" ht="13.5" hidden="false" customHeight="false" outlineLevel="0" collapsed="false">
      <c r="A1130" s="424"/>
      <c r="B1130" s="424"/>
      <c r="C1130" s="424"/>
      <c r="D1130" s="424"/>
      <c r="E1130" s="424"/>
      <c r="F1130" s="424"/>
      <c r="G1130" s="424"/>
      <c r="H1130" s="424"/>
      <c r="I1130" s="424"/>
      <c r="J1130" s="424"/>
      <c r="K1130" s="424"/>
      <c r="L1130" s="424"/>
      <c r="M1130" s="424"/>
      <c r="N1130" s="424"/>
      <c r="O1130" s="424"/>
      <c r="P1130" s="424"/>
      <c r="Q1130" s="435" t="n">
        <v>29</v>
      </c>
      <c r="R1130" s="434" t="s">
        <v>499</v>
      </c>
      <c r="S1130" s="424"/>
      <c r="T1130" s="434" t="s">
        <v>500</v>
      </c>
      <c r="U1130" s="434" t="s">
        <v>501</v>
      </c>
      <c r="V1130" s="436" t="n">
        <f aca="false">AY1135</f>
        <v>0</v>
      </c>
    </row>
    <row r="1131" customFormat="false" ht="13.5" hidden="false" customHeight="false" outlineLevel="0" collapsed="false">
      <c r="A1131" s="424"/>
      <c r="B1131" s="424"/>
      <c r="C1131" s="424"/>
      <c r="D1131" s="424"/>
      <c r="E1131" s="424"/>
      <c r="F1131" s="424"/>
      <c r="G1131" s="424"/>
      <c r="H1131" s="424"/>
      <c r="I1131" s="424"/>
      <c r="J1131" s="424"/>
      <c r="K1131" s="424"/>
      <c r="L1131" s="424"/>
      <c r="M1131" s="424"/>
      <c r="N1131" s="424"/>
      <c r="O1131" s="424"/>
      <c r="P1131" s="424"/>
      <c r="Q1131" s="435" t="n">
        <v>30</v>
      </c>
      <c r="R1131" s="434" t="s">
        <v>502</v>
      </c>
      <c r="S1131" s="424"/>
      <c r="T1131" s="434" t="s">
        <v>503</v>
      </c>
      <c r="U1131" s="434" t="s">
        <v>504</v>
      </c>
      <c r="V1131" s="436" t="n">
        <f aca="false">AY1136</f>
        <v>0</v>
      </c>
    </row>
    <row r="1132" customFormat="false" ht="13.5" hidden="false" customHeight="false" outlineLevel="0" collapsed="false">
      <c r="A1132" s="424"/>
      <c r="B1132" s="424"/>
      <c r="C1132" s="424"/>
      <c r="D1132" s="424"/>
      <c r="E1132" s="424"/>
      <c r="F1132" s="424"/>
      <c r="G1132" s="424"/>
      <c r="H1132" s="424"/>
      <c r="I1132" s="424"/>
      <c r="J1132" s="424"/>
      <c r="K1132" s="424"/>
      <c r="L1132" s="424"/>
      <c r="M1132" s="424"/>
      <c r="N1132" s="424"/>
      <c r="O1132" s="424"/>
      <c r="P1132" s="424"/>
      <c r="Q1132" s="435" t="n">
        <v>31</v>
      </c>
      <c r="R1132" s="434" t="s">
        <v>505</v>
      </c>
      <c r="S1132" s="424"/>
      <c r="T1132" s="434" t="s">
        <v>506</v>
      </c>
      <c r="U1132" s="434" t="s">
        <v>507</v>
      </c>
      <c r="V1132" s="436" t="n">
        <f aca="false">AY1137</f>
        <v>0</v>
      </c>
    </row>
    <row r="1133" customFormat="false" ht="13.5" hidden="false" customHeight="false" outlineLevel="0" collapsed="false">
      <c r="A1133" s="424"/>
      <c r="B1133" s="424"/>
      <c r="C1133" s="424"/>
      <c r="D1133" s="424"/>
      <c r="E1133" s="424"/>
      <c r="F1133" s="424"/>
      <c r="G1133" s="424"/>
      <c r="H1133" s="424"/>
      <c r="I1133" s="424"/>
      <c r="J1133" s="424"/>
      <c r="K1133" s="424"/>
      <c r="L1133" s="424"/>
      <c r="M1133" s="424"/>
      <c r="N1133" s="424"/>
      <c r="O1133" s="424"/>
      <c r="P1133" s="424"/>
      <c r="Q1133" s="435" t="n">
        <v>32</v>
      </c>
      <c r="R1133" s="434" t="s">
        <v>508</v>
      </c>
      <c r="S1133" s="424"/>
      <c r="T1133" s="434" t="s">
        <v>509</v>
      </c>
      <c r="U1133" s="434" t="s">
        <v>510</v>
      </c>
      <c r="V1133" s="436" t="n">
        <f aca="false">AY1138</f>
        <v>0</v>
      </c>
    </row>
    <row r="1134" customFormat="false" ht="13.5" hidden="false" customHeight="false" outlineLevel="0" collapsed="false">
      <c r="A1134" s="440"/>
      <c r="B1134" s="435" t="e">
        <f aca="false">G1119</f>
        <v>#VALUE!</v>
      </c>
      <c r="C1134" s="424"/>
      <c r="D1134" s="424"/>
      <c r="E1134" s="424"/>
      <c r="F1134" s="424"/>
      <c r="G1134" s="424"/>
      <c r="H1134" s="424"/>
      <c r="I1134" s="424"/>
      <c r="J1134" s="424"/>
      <c r="K1134" s="424"/>
      <c r="L1134" s="424"/>
      <c r="M1134" s="424"/>
      <c r="N1134" s="424"/>
      <c r="O1134" s="424"/>
      <c r="P1134" s="424"/>
      <c r="Q1134" s="435" t="n">
        <v>33</v>
      </c>
      <c r="R1134" s="434" t="s">
        <v>511</v>
      </c>
      <c r="S1134" s="424"/>
      <c r="T1134" s="434" t="s">
        <v>512</v>
      </c>
      <c r="U1134" s="434" t="s">
        <v>513</v>
      </c>
      <c r="V1134" s="436" t="n">
        <f aca="false">AY1139</f>
        <v>0</v>
      </c>
    </row>
    <row r="1135" customFormat="false" ht="13.5" hidden="false" customHeight="false" outlineLevel="0" collapsed="false">
      <c r="A1135" s="440"/>
      <c r="B1135" s="435" t="str">
        <f aca="false">H1119</f>
        <v/>
      </c>
      <c r="C1135" s="424"/>
      <c r="D1135" s="424"/>
      <c r="E1135" s="424"/>
      <c r="F1135" s="424"/>
      <c r="G1135" s="424"/>
      <c r="H1135" s="424"/>
      <c r="I1135" s="424"/>
      <c r="J1135" s="424"/>
      <c r="K1135" s="424"/>
      <c r="L1135" s="424"/>
      <c r="M1135" s="424"/>
      <c r="N1135" s="424"/>
      <c r="O1135" s="424"/>
      <c r="P1135" s="424"/>
      <c r="Q1135" s="435" t="n">
        <v>34</v>
      </c>
      <c r="R1135" s="434" t="s">
        <v>514</v>
      </c>
      <c r="S1135" s="424"/>
      <c r="T1135" s="434" t="s">
        <v>515</v>
      </c>
      <c r="U1135" s="434" t="s">
        <v>516</v>
      </c>
      <c r="V1135" s="436" t="n">
        <f aca="false">AY1140</f>
        <v>0</v>
      </c>
    </row>
    <row r="1136" customFormat="false" ht="13.5" hidden="false" customHeight="false" outlineLevel="0" collapsed="false">
      <c r="A1136" s="440"/>
      <c r="B1136" s="435" t="str">
        <f aca="false">I1119</f>
        <v/>
      </c>
      <c r="C1136" s="424"/>
      <c r="D1136" s="424"/>
      <c r="E1136" s="424"/>
      <c r="F1136" s="424"/>
      <c r="G1136" s="424"/>
      <c r="H1136" s="424"/>
      <c r="I1136" s="424"/>
      <c r="J1136" s="424"/>
      <c r="K1136" s="424"/>
      <c r="L1136" s="424"/>
      <c r="M1136" s="424"/>
      <c r="N1136" s="424"/>
      <c r="O1136" s="424"/>
      <c r="P1136" s="424"/>
      <c r="Q1136" s="435" t="n">
        <v>35</v>
      </c>
      <c r="R1136" s="434" t="s">
        <v>517</v>
      </c>
      <c r="S1136" s="424"/>
      <c r="T1136" s="434" t="s">
        <v>518</v>
      </c>
      <c r="U1136" s="434" t="s">
        <v>519</v>
      </c>
      <c r="V1136" s="436" t="n">
        <f aca="false">AY1141</f>
        <v>0</v>
      </c>
    </row>
    <row r="1137" customFormat="false" ht="13.5" hidden="false" customHeight="false" outlineLevel="0" collapsed="false">
      <c r="A1137" s="440"/>
      <c r="B1137" s="435" t="str">
        <f aca="false">J1119</f>
        <v/>
      </c>
      <c r="C1137" s="424"/>
      <c r="D1137" s="424"/>
      <c r="E1137" s="424"/>
      <c r="F1137" s="424"/>
      <c r="G1137" s="424"/>
      <c r="H1137" s="424"/>
      <c r="I1137" s="424"/>
      <c r="J1137" s="424"/>
      <c r="K1137" s="424"/>
      <c r="L1137" s="424"/>
      <c r="M1137" s="424"/>
      <c r="N1137" s="424"/>
      <c r="O1137" s="424"/>
      <c r="P1137" s="424"/>
      <c r="Q1137" s="435" t="n">
        <v>36</v>
      </c>
      <c r="R1137" s="434" t="s">
        <v>520</v>
      </c>
      <c r="S1137" s="424"/>
      <c r="T1137" s="434" t="s">
        <v>521</v>
      </c>
      <c r="U1137" s="434" t="s">
        <v>522</v>
      </c>
      <c r="V1137" s="436" t="n">
        <f aca="false">AY1142</f>
        <v>0</v>
      </c>
    </row>
    <row r="1138" customFormat="false" ht="13.5" hidden="false" customHeight="false" outlineLevel="0" collapsed="false">
      <c r="A1138" s="440"/>
      <c r="B1138" s="440" t="str">
        <f aca="false">K1119</f>
        <v/>
      </c>
      <c r="C1138" s="424"/>
      <c r="D1138" s="424"/>
      <c r="E1138" s="424"/>
      <c r="F1138" s="424"/>
      <c r="G1138" s="424"/>
      <c r="H1138" s="424"/>
      <c r="I1138" s="424"/>
      <c r="J1138" s="424"/>
      <c r="K1138" s="424"/>
      <c r="L1138" s="424"/>
      <c r="M1138" s="424"/>
      <c r="N1138" s="424"/>
      <c r="O1138" s="424"/>
      <c r="P1138" s="424"/>
      <c r="Q1138" s="435" t="n">
        <v>37</v>
      </c>
      <c r="R1138" s="434" t="s">
        <v>523</v>
      </c>
      <c r="S1138" s="424"/>
      <c r="T1138" s="434" t="s">
        <v>524</v>
      </c>
      <c r="U1138" s="434" t="s">
        <v>525</v>
      </c>
      <c r="V1138" s="436" t="n">
        <f aca="false">AY1143</f>
        <v>0</v>
      </c>
    </row>
    <row r="1139" customFormat="false" ht="13.5" hidden="false" customHeight="false" outlineLevel="0" collapsed="false">
      <c r="A1139" s="440"/>
      <c r="B1139" s="435" t="str">
        <f aca="false">L1119</f>
        <v> Dua belas</v>
      </c>
      <c r="C1139" s="424"/>
      <c r="D1139" s="424"/>
      <c r="E1139" s="424"/>
      <c r="F1139" s="424"/>
      <c r="G1139" s="424"/>
      <c r="H1139" s="424"/>
      <c r="I1139" s="424"/>
      <c r="J1139" s="424"/>
      <c r="K1139" s="424"/>
      <c r="L1139" s="424"/>
      <c r="M1139" s="424"/>
      <c r="N1139" s="424"/>
      <c r="O1139" s="424"/>
      <c r="P1139" s="424"/>
      <c r="Q1139" s="435" t="n">
        <v>38</v>
      </c>
      <c r="R1139" s="434" t="s">
        <v>526</v>
      </c>
      <c r="S1139" s="424"/>
      <c r="T1139" s="434" t="s">
        <v>527</v>
      </c>
      <c r="U1139" s="434" t="s">
        <v>528</v>
      </c>
      <c r="V1139" s="436" t="n">
        <f aca="false">AY1144</f>
        <v>0</v>
      </c>
    </row>
    <row r="1140" customFormat="false" ht="13.5" hidden="false" customHeight="false" outlineLevel="0" collapsed="false">
      <c r="A1140" s="440"/>
      <c r="B1140" s="435" t="str">
        <f aca="false">M1119</f>
        <v> Rupiah </v>
      </c>
      <c r="C1140" s="424"/>
      <c r="D1140" s="424"/>
      <c r="E1140" s="424"/>
      <c r="F1140" s="424"/>
      <c r="G1140" s="424"/>
      <c r="H1140" s="424"/>
      <c r="I1140" s="424"/>
      <c r="J1140" s="424"/>
      <c r="K1140" s="424"/>
      <c r="L1140" s="424"/>
      <c r="M1140" s="424"/>
      <c r="N1140" s="424"/>
      <c r="O1140" s="424"/>
      <c r="P1140" s="424"/>
      <c r="Q1140" s="435" t="n">
        <v>39</v>
      </c>
      <c r="R1140" s="434" t="s">
        <v>529</v>
      </c>
      <c r="S1140" s="424"/>
      <c r="T1140" s="434" t="s">
        <v>530</v>
      </c>
      <c r="U1140" s="434" t="s">
        <v>531</v>
      </c>
      <c r="V1140" s="436" t="n">
        <f aca="false">AY1145</f>
        <v>0</v>
      </c>
    </row>
    <row r="1141" customFormat="false" ht="13.5" hidden="false" customHeight="false" outlineLevel="0" collapsed="false">
      <c r="A1141" s="436" t="e">
        <f aca="false">+#REF!</f>
        <v>#REF!</v>
      </c>
      <c r="B1141" s="435" t="str">
        <f aca="false">O1119</f>
        <v/>
      </c>
      <c r="C1141" s="424"/>
      <c r="D1141" s="424"/>
      <c r="E1141" s="424"/>
      <c r="F1141" s="424"/>
      <c r="G1141" s="424"/>
      <c r="H1141" s="424"/>
      <c r="I1141" s="424"/>
      <c r="J1141" s="424"/>
      <c r="K1141" s="424"/>
      <c r="L1141" s="424"/>
      <c r="M1141" s="424"/>
      <c r="N1141" s="424"/>
      <c r="O1141" s="424"/>
      <c r="P1141" s="424"/>
      <c r="Q1141" s="435" t="n">
        <v>40</v>
      </c>
      <c r="R1141" s="434" t="s">
        <v>532</v>
      </c>
      <c r="S1141" s="424"/>
      <c r="T1141" s="434" t="s">
        <v>533</v>
      </c>
      <c r="U1141" s="434" t="s">
        <v>534</v>
      </c>
      <c r="V1141" s="436" t="n">
        <f aca="false">AY1146</f>
        <v>0</v>
      </c>
    </row>
    <row r="1142" customFormat="false" ht="13.5" hidden="false" customHeight="false" outlineLevel="0" collapsed="false">
      <c r="A1142" s="440"/>
      <c r="B1142" s="435" t="str">
        <f aca="false">IF(N1117&gt;0,"-","====")</f>
        <v>====</v>
      </c>
      <c r="C1142" s="424"/>
      <c r="D1142" s="424"/>
      <c r="E1142" s="424"/>
      <c r="F1142" s="424"/>
      <c r="G1142" s="424"/>
      <c r="H1142" s="424"/>
      <c r="I1142" s="424"/>
      <c r="J1142" s="424"/>
      <c r="K1142" s="424"/>
      <c r="L1142" s="424"/>
      <c r="M1142" s="424"/>
      <c r="N1142" s="424"/>
      <c r="O1142" s="424"/>
      <c r="P1142" s="424"/>
      <c r="Q1142" s="435" t="n">
        <v>41</v>
      </c>
      <c r="R1142" s="434" t="s">
        <v>535</v>
      </c>
      <c r="S1142" s="424"/>
      <c r="T1142" s="434" t="s">
        <v>536</v>
      </c>
      <c r="U1142" s="434" t="s">
        <v>537</v>
      </c>
      <c r="V1142" s="436" t="n">
        <f aca="false">AY1147</f>
        <v>0</v>
      </c>
    </row>
    <row r="1143" customFormat="false" ht="13.5" hidden="false" customHeight="false" outlineLevel="0" collapsed="false">
      <c r="A1143" s="444" t="e">
        <f aca="false">B1119&amp;C1119&amp;D1119&amp;E1119&amp;F1119&amp;G1119&amp;H1119&amp;I1119&amp;J1119&amp;K1119&amp;L1119&amp;M1119&amp;O1119</f>
        <v>#N/A</v>
      </c>
      <c r="B1143" s="424"/>
      <c r="C1143" s="424"/>
      <c r="D1143" s="424"/>
      <c r="E1143" s="424"/>
      <c r="F1143" s="424"/>
      <c r="G1143" s="424"/>
      <c r="H1143" s="424"/>
      <c r="I1143" s="424"/>
      <c r="J1143" s="424"/>
      <c r="K1143" s="424"/>
      <c r="L1143" s="424"/>
      <c r="M1143" s="424"/>
      <c r="N1143" s="424"/>
      <c r="O1143" s="424"/>
      <c r="P1143" s="424"/>
      <c r="Q1143" s="435" t="n">
        <v>42</v>
      </c>
      <c r="R1143" s="434" t="s">
        <v>538</v>
      </c>
      <c r="S1143" s="424"/>
      <c r="T1143" s="434" t="s">
        <v>539</v>
      </c>
      <c r="U1143" s="434" t="s">
        <v>540</v>
      </c>
      <c r="V1143" s="436" t="n">
        <f aca="false">AY1148</f>
        <v>0</v>
      </c>
    </row>
    <row r="1144" customFormat="false" ht="13.5" hidden="false" customHeight="false" outlineLevel="0" collapsed="false">
      <c r="A1144" s="440" t="str">
        <f aca="false">I1119&amp;J1119&amp;K1119&amp;L1119&amp;M1119&amp;O1119</f>
        <v> Dua belas Rupiah </v>
      </c>
      <c r="B1144" s="424"/>
      <c r="C1144" s="424"/>
      <c r="D1144" s="424"/>
      <c r="E1144" s="424"/>
      <c r="F1144" s="424"/>
      <c r="G1144" s="424"/>
      <c r="H1144" s="424"/>
      <c r="I1144" s="424"/>
      <c r="J1144" s="424"/>
      <c r="K1144" s="424"/>
      <c r="L1144" s="424"/>
      <c r="M1144" s="424"/>
      <c r="N1144" s="424"/>
      <c r="O1144" s="424"/>
      <c r="P1144" s="424"/>
      <c r="Q1144" s="435" t="n">
        <v>43</v>
      </c>
      <c r="R1144" s="434" t="s">
        <v>541</v>
      </c>
      <c r="S1144" s="424"/>
      <c r="T1144" s="434" t="s">
        <v>542</v>
      </c>
      <c r="U1144" s="434" t="s">
        <v>543</v>
      </c>
      <c r="V1144" s="436" t="n">
        <f aca="false">AY1149</f>
        <v>0</v>
      </c>
    </row>
    <row r="1145" customFormat="false" ht="13.5" hidden="false" customHeight="false" outlineLevel="0" collapsed="false">
      <c r="A1145" s="440"/>
      <c r="B1145" s="424"/>
      <c r="C1145" s="424"/>
      <c r="D1145" s="424"/>
      <c r="E1145" s="424"/>
      <c r="F1145" s="424"/>
      <c r="G1145" s="424"/>
      <c r="H1145" s="424"/>
      <c r="I1145" s="424"/>
      <c r="J1145" s="424"/>
      <c r="K1145" s="424"/>
      <c r="L1145" s="424"/>
      <c r="M1145" s="424"/>
      <c r="N1145" s="424"/>
      <c r="O1145" s="424"/>
      <c r="P1145" s="424"/>
      <c r="Q1145" s="435" t="n">
        <v>44</v>
      </c>
      <c r="R1145" s="434" t="s">
        <v>544</v>
      </c>
      <c r="S1145" s="424"/>
      <c r="T1145" s="434" t="s">
        <v>545</v>
      </c>
      <c r="U1145" s="434" t="s">
        <v>546</v>
      </c>
      <c r="V1145" s="436" t="n">
        <f aca="false">AY1150</f>
        <v>0</v>
      </c>
    </row>
    <row r="1146" customFormat="false" ht="13.5" hidden="false" customHeight="false" outlineLevel="0" collapsed="false">
      <c r="A1146" s="440"/>
      <c r="B1146" s="424"/>
      <c r="C1146" s="424"/>
      <c r="D1146" s="424"/>
      <c r="E1146" s="424"/>
      <c r="F1146" s="424"/>
      <c r="G1146" s="424"/>
      <c r="H1146" s="424"/>
      <c r="I1146" s="424"/>
      <c r="J1146" s="424"/>
      <c r="K1146" s="424"/>
      <c r="L1146" s="424"/>
      <c r="M1146" s="424"/>
      <c r="N1146" s="424"/>
      <c r="O1146" s="424"/>
      <c r="P1146" s="424"/>
      <c r="Q1146" s="435" t="n">
        <v>45</v>
      </c>
      <c r="R1146" s="434" t="s">
        <v>547</v>
      </c>
      <c r="S1146" s="424"/>
      <c r="T1146" s="434" t="s">
        <v>548</v>
      </c>
      <c r="U1146" s="434" t="s">
        <v>549</v>
      </c>
      <c r="V1146" s="436" t="n">
        <f aca="false">AY1151</f>
        <v>0</v>
      </c>
    </row>
    <row r="1147" customFormat="false" ht="13.5" hidden="false" customHeight="false" outlineLevel="0" collapsed="false">
      <c r="A1147" s="440"/>
      <c r="B1147" s="424"/>
      <c r="C1147" s="424"/>
      <c r="D1147" s="424"/>
      <c r="E1147" s="424"/>
      <c r="F1147" s="424"/>
      <c r="G1147" s="424"/>
      <c r="H1147" s="424"/>
      <c r="I1147" s="424"/>
      <c r="J1147" s="424"/>
      <c r="K1147" s="424"/>
      <c r="L1147" s="424"/>
      <c r="M1147" s="424"/>
      <c r="N1147" s="424"/>
      <c r="O1147" s="424"/>
      <c r="P1147" s="424"/>
      <c r="Q1147" s="435" t="n">
        <v>46</v>
      </c>
      <c r="R1147" s="434" t="s">
        <v>550</v>
      </c>
      <c r="S1147" s="424"/>
      <c r="T1147" s="434" t="s">
        <v>551</v>
      </c>
      <c r="U1147" s="434" t="s">
        <v>552</v>
      </c>
      <c r="V1147" s="436" t="n">
        <f aca="false">AY1152</f>
        <v>0</v>
      </c>
    </row>
    <row r="1148" customFormat="false" ht="13.5" hidden="false" customHeight="false" outlineLevel="0" collapsed="false">
      <c r="A1148" s="440"/>
      <c r="B1148" s="424"/>
      <c r="C1148" s="424"/>
      <c r="D1148" s="424"/>
      <c r="E1148" s="424"/>
      <c r="F1148" s="424"/>
      <c r="G1148" s="424"/>
      <c r="H1148" s="424"/>
      <c r="I1148" s="424"/>
      <c r="J1148" s="424"/>
      <c r="K1148" s="424"/>
      <c r="L1148" s="424"/>
      <c r="M1148" s="424"/>
      <c r="N1148" s="424"/>
      <c r="O1148" s="424"/>
      <c r="P1148" s="424"/>
      <c r="Q1148" s="435" t="n">
        <v>47</v>
      </c>
      <c r="R1148" s="434" t="s">
        <v>553</v>
      </c>
      <c r="S1148" s="424"/>
      <c r="T1148" s="434" t="s">
        <v>554</v>
      </c>
      <c r="U1148" s="434" t="s">
        <v>555</v>
      </c>
      <c r="V1148" s="436" t="n">
        <f aca="false">AY1153</f>
        <v>0</v>
      </c>
    </row>
    <row r="1149" customFormat="false" ht="13.5" hidden="false" customHeight="false" outlineLevel="0" collapsed="false">
      <c r="A1149" s="424"/>
      <c r="B1149" s="424"/>
      <c r="C1149" s="424"/>
      <c r="D1149" s="424"/>
      <c r="E1149" s="424"/>
      <c r="F1149" s="424"/>
      <c r="G1149" s="424"/>
      <c r="H1149" s="424"/>
      <c r="I1149" s="424"/>
      <c r="J1149" s="424"/>
      <c r="K1149" s="424"/>
      <c r="L1149" s="424"/>
      <c r="M1149" s="424"/>
      <c r="N1149" s="424"/>
      <c r="O1149" s="424"/>
      <c r="P1149" s="424"/>
      <c r="Q1149" s="435" t="n">
        <v>48</v>
      </c>
      <c r="R1149" s="434" t="s">
        <v>556</v>
      </c>
      <c r="S1149" s="424"/>
      <c r="T1149" s="434" t="s">
        <v>557</v>
      </c>
      <c r="U1149" s="434" t="s">
        <v>558</v>
      </c>
      <c r="V1149" s="436" t="n">
        <f aca="false">AY1154</f>
        <v>0</v>
      </c>
    </row>
    <row r="1150" customFormat="false" ht="13.5" hidden="false" customHeight="false" outlineLevel="0" collapsed="false">
      <c r="A1150" s="424"/>
      <c r="B1150" s="424"/>
      <c r="C1150" s="424"/>
      <c r="D1150" s="424"/>
      <c r="E1150" s="424"/>
      <c r="F1150" s="424"/>
      <c r="G1150" s="424"/>
      <c r="H1150" s="424"/>
      <c r="I1150" s="424"/>
      <c r="J1150" s="424"/>
      <c r="K1150" s="424"/>
      <c r="L1150" s="424"/>
      <c r="M1150" s="424"/>
      <c r="N1150" s="424"/>
      <c r="O1150" s="424"/>
      <c r="P1150" s="424"/>
      <c r="Q1150" s="435" t="n">
        <v>49</v>
      </c>
      <c r="R1150" s="434" t="s">
        <v>559</v>
      </c>
      <c r="S1150" s="424"/>
      <c r="T1150" s="434" t="s">
        <v>560</v>
      </c>
      <c r="U1150" s="434" t="s">
        <v>561</v>
      </c>
      <c r="V1150" s="436" t="n">
        <f aca="false">AY1155</f>
        <v>0</v>
      </c>
    </row>
    <row r="1151" customFormat="false" ht="13.5" hidden="false" customHeight="false" outlineLevel="0" collapsed="false">
      <c r="A1151" s="424"/>
      <c r="B1151" s="424"/>
      <c r="C1151" s="424"/>
      <c r="D1151" s="424"/>
      <c r="E1151" s="424"/>
      <c r="F1151" s="424"/>
      <c r="G1151" s="424"/>
      <c r="H1151" s="424"/>
      <c r="I1151" s="424"/>
      <c r="J1151" s="424"/>
      <c r="K1151" s="424"/>
      <c r="L1151" s="424"/>
      <c r="M1151" s="424"/>
      <c r="N1151" s="424"/>
      <c r="O1151" s="424"/>
      <c r="P1151" s="424"/>
      <c r="Q1151" s="435" t="n">
        <v>50</v>
      </c>
      <c r="R1151" s="434" t="s">
        <v>562</v>
      </c>
      <c r="S1151" s="424"/>
      <c r="T1151" s="434" t="s">
        <v>563</v>
      </c>
      <c r="U1151" s="434" t="s">
        <v>564</v>
      </c>
      <c r="V1151" s="436" t="n">
        <f aca="false">AY1156</f>
        <v>0</v>
      </c>
    </row>
    <row r="1152" customFormat="false" ht="13.5" hidden="false" customHeight="false" outlineLevel="0" collapsed="false">
      <c r="A1152" s="424"/>
      <c r="B1152" s="424"/>
      <c r="C1152" s="424"/>
      <c r="D1152" s="424"/>
      <c r="E1152" s="424"/>
      <c r="F1152" s="424"/>
      <c r="G1152" s="424"/>
      <c r="H1152" s="424"/>
      <c r="I1152" s="424"/>
      <c r="J1152" s="424"/>
      <c r="K1152" s="424"/>
      <c r="L1152" s="424"/>
      <c r="M1152" s="424"/>
      <c r="N1152" s="424"/>
      <c r="O1152" s="424"/>
      <c r="P1152" s="424"/>
      <c r="Q1152" s="435" t="n">
        <v>51</v>
      </c>
      <c r="R1152" s="434" t="s">
        <v>565</v>
      </c>
      <c r="S1152" s="424"/>
      <c r="T1152" s="434" t="s">
        <v>566</v>
      </c>
      <c r="U1152" s="434" t="s">
        <v>567</v>
      </c>
      <c r="V1152" s="436" t="n">
        <f aca="false">AY1157</f>
        <v>0</v>
      </c>
    </row>
    <row r="1153" customFormat="false" ht="13.5" hidden="false" customHeight="false" outlineLevel="0" collapsed="false">
      <c r="A1153" s="424"/>
      <c r="B1153" s="424"/>
      <c r="C1153" s="424"/>
      <c r="D1153" s="424"/>
      <c r="E1153" s="424"/>
      <c r="F1153" s="424"/>
      <c r="G1153" s="424"/>
      <c r="H1153" s="424"/>
      <c r="I1153" s="424"/>
      <c r="J1153" s="424"/>
      <c r="K1153" s="424"/>
      <c r="L1153" s="424"/>
      <c r="M1153" s="424"/>
      <c r="N1153" s="424"/>
      <c r="O1153" s="424"/>
      <c r="P1153" s="424"/>
      <c r="Q1153" s="435" t="n">
        <v>52</v>
      </c>
      <c r="R1153" s="434" t="s">
        <v>568</v>
      </c>
      <c r="S1153" s="424"/>
      <c r="T1153" s="434" t="s">
        <v>569</v>
      </c>
      <c r="U1153" s="434" t="s">
        <v>570</v>
      </c>
      <c r="V1153" s="436" t="n">
        <f aca="false">AY1158</f>
        <v>0</v>
      </c>
    </row>
    <row r="1154" customFormat="false" ht="13.5" hidden="false" customHeight="false" outlineLevel="0" collapsed="false">
      <c r="A1154" s="424"/>
      <c r="B1154" s="424"/>
      <c r="C1154" s="424"/>
      <c r="D1154" s="424"/>
      <c r="E1154" s="424"/>
      <c r="F1154" s="424"/>
      <c r="G1154" s="424"/>
      <c r="H1154" s="424"/>
      <c r="I1154" s="424"/>
      <c r="J1154" s="424"/>
      <c r="K1154" s="424"/>
      <c r="L1154" s="424"/>
      <c r="M1154" s="424"/>
      <c r="N1154" s="424"/>
      <c r="O1154" s="424"/>
      <c r="P1154" s="424"/>
      <c r="Q1154" s="435" t="n">
        <v>53</v>
      </c>
      <c r="R1154" s="434" t="s">
        <v>571</v>
      </c>
      <c r="S1154" s="424"/>
      <c r="T1154" s="434" t="s">
        <v>572</v>
      </c>
      <c r="U1154" s="434" t="s">
        <v>573</v>
      </c>
      <c r="V1154" s="436" t="n">
        <f aca="false">AY1159</f>
        <v>0</v>
      </c>
    </row>
    <row r="1155" customFormat="false" ht="13.5" hidden="false" customHeight="false" outlineLevel="0" collapsed="false">
      <c r="A1155" s="424"/>
      <c r="B1155" s="424"/>
      <c r="C1155" s="424"/>
      <c r="D1155" s="424"/>
      <c r="E1155" s="424"/>
      <c r="F1155" s="424"/>
      <c r="G1155" s="424"/>
      <c r="H1155" s="424"/>
      <c r="I1155" s="424"/>
      <c r="J1155" s="424"/>
      <c r="K1155" s="424"/>
      <c r="L1155" s="424"/>
      <c r="M1155" s="424"/>
      <c r="N1155" s="424"/>
      <c r="O1155" s="424"/>
      <c r="P1155" s="424"/>
      <c r="Q1155" s="435" t="n">
        <v>54</v>
      </c>
      <c r="R1155" s="434" t="s">
        <v>574</v>
      </c>
      <c r="S1155" s="424"/>
      <c r="T1155" s="434" t="s">
        <v>575</v>
      </c>
      <c r="U1155" s="434" t="s">
        <v>576</v>
      </c>
      <c r="V1155" s="436" t="n">
        <f aca="false">AY1160</f>
        <v>0</v>
      </c>
    </row>
    <row r="1156" customFormat="false" ht="13.5" hidden="false" customHeight="false" outlineLevel="0" collapsed="false">
      <c r="A1156" s="424"/>
      <c r="B1156" s="424"/>
      <c r="C1156" s="424"/>
      <c r="D1156" s="424"/>
      <c r="E1156" s="424"/>
      <c r="F1156" s="424"/>
      <c r="G1156" s="424"/>
      <c r="H1156" s="424"/>
      <c r="I1156" s="424"/>
      <c r="J1156" s="424"/>
      <c r="K1156" s="424"/>
      <c r="L1156" s="424"/>
      <c r="M1156" s="424"/>
      <c r="N1156" s="424"/>
      <c r="O1156" s="424"/>
      <c r="P1156" s="424"/>
      <c r="Q1156" s="435" t="n">
        <v>55</v>
      </c>
      <c r="R1156" s="434" t="s">
        <v>577</v>
      </c>
      <c r="S1156" s="424"/>
      <c r="T1156" s="434" t="s">
        <v>578</v>
      </c>
      <c r="U1156" s="434" t="s">
        <v>579</v>
      </c>
      <c r="V1156" s="436" t="n">
        <f aca="false">AY1161</f>
        <v>0</v>
      </c>
    </row>
    <row r="1157" customFormat="false" ht="13.5" hidden="false" customHeight="false" outlineLevel="0" collapsed="false">
      <c r="A1157" s="424"/>
      <c r="B1157" s="424"/>
      <c r="C1157" s="424"/>
      <c r="D1157" s="424"/>
      <c r="E1157" s="424"/>
      <c r="F1157" s="424"/>
      <c r="G1157" s="424"/>
      <c r="H1157" s="424"/>
      <c r="I1157" s="424"/>
      <c r="J1157" s="424"/>
      <c r="K1157" s="424"/>
      <c r="L1157" s="424"/>
      <c r="M1157" s="424"/>
      <c r="N1157" s="424"/>
      <c r="O1157" s="424"/>
      <c r="P1157" s="424"/>
      <c r="Q1157" s="435" t="n">
        <v>56</v>
      </c>
      <c r="R1157" s="434" t="s">
        <v>580</v>
      </c>
      <c r="S1157" s="424"/>
      <c r="T1157" s="434" t="s">
        <v>581</v>
      </c>
      <c r="U1157" s="434" t="s">
        <v>582</v>
      </c>
      <c r="V1157" s="436" t="n">
        <f aca="false">AY1162</f>
        <v>0</v>
      </c>
    </row>
    <row r="1158" customFormat="false" ht="13.5" hidden="false" customHeight="false" outlineLevel="0" collapsed="false">
      <c r="A1158" s="424"/>
      <c r="B1158" s="424"/>
      <c r="C1158" s="424"/>
      <c r="D1158" s="424"/>
      <c r="E1158" s="424"/>
      <c r="F1158" s="424"/>
      <c r="G1158" s="424"/>
      <c r="H1158" s="424"/>
      <c r="I1158" s="424"/>
      <c r="J1158" s="424"/>
      <c r="K1158" s="424"/>
      <c r="L1158" s="424"/>
      <c r="M1158" s="424"/>
      <c r="N1158" s="424"/>
      <c r="O1158" s="424"/>
      <c r="P1158" s="424"/>
      <c r="Q1158" s="435" t="n">
        <v>57</v>
      </c>
      <c r="R1158" s="434" t="s">
        <v>583</v>
      </c>
      <c r="S1158" s="424"/>
      <c r="T1158" s="434" t="s">
        <v>584</v>
      </c>
      <c r="U1158" s="434" t="s">
        <v>585</v>
      </c>
      <c r="V1158" s="436" t="n">
        <f aca="false">AY1163</f>
        <v>0</v>
      </c>
    </row>
    <row r="1159" customFormat="false" ht="13.5" hidden="false" customHeight="false" outlineLevel="0" collapsed="false">
      <c r="A1159" s="424"/>
      <c r="B1159" s="424"/>
      <c r="C1159" s="424"/>
      <c r="D1159" s="424"/>
      <c r="E1159" s="424"/>
      <c r="F1159" s="424"/>
      <c r="G1159" s="424"/>
      <c r="H1159" s="424"/>
      <c r="I1159" s="424"/>
      <c r="J1159" s="424"/>
      <c r="K1159" s="424"/>
      <c r="L1159" s="424"/>
      <c r="M1159" s="424"/>
      <c r="N1159" s="424"/>
      <c r="O1159" s="424"/>
      <c r="P1159" s="424"/>
      <c r="Q1159" s="435" t="n">
        <v>58</v>
      </c>
      <c r="R1159" s="434" t="s">
        <v>586</v>
      </c>
      <c r="S1159" s="424"/>
      <c r="T1159" s="434" t="s">
        <v>587</v>
      </c>
      <c r="U1159" s="434" t="s">
        <v>588</v>
      </c>
      <c r="V1159" s="436" t="n">
        <f aca="false">AY1164</f>
        <v>0</v>
      </c>
    </row>
    <row r="1160" customFormat="false" ht="13.5" hidden="false" customHeight="false" outlineLevel="0" collapsed="false">
      <c r="A1160" s="424"/>
      <c r="B1160" s="424"/>
      <c r="C1160" s="424"/>
      <c r="D1160" s="424"/>
      <c r="E1160" s="424"/>
      <c r="F1160" s="424"/>
      <c r="G1160" s="424"/>
      <c r="H1160" s="424"/>
      <c r="I1160" s="424"/>
      <c r="J1160" s="424"/>
      <c r="K1160" s="424"/>
      <c r="L1160" s="424"/>
      <c r="M1160" s="424"/>
      <c r="N1160" s="424"/>
      <c r="O1160" s="424"/>
      <c r="P1160" s="424"/>
      <c r="Q1160" s="435" t="n">
        <v>59</v>
      </c>
      <c r="R1160" s="434" t="s">
        <v>589</v>
      </c>
      <c r="S1160" s="424"/>
      <c r="T1160" s="434" t="s">
        <v>590</v>
      </c>
      <c r="U1160" s="434" t="s">
        <v>591</v>
      </c>
      <c r="V1160" s="436" t="n">
        <f aca="false">AY1165</f>
        <v>0</v>
      </c>
    </row>
    <row r="1161" customFormat="false" ht="13.5" hidden="false" customHeight="false" outlineLevel="0" collapsed="false">
      <c r="A1161" s="424"/>
      <c r="B1161" s="424"/>
      <c r="C1161" s="424"/>
      <c r="D1161" s="424"/>
      <c r="E1161" s="424"/>
      <c r="F1161" s="424"/>
      <c r="G1161" s="424"/>
      <c r="H1161" s="424"/>
      <c r="I1161" s="424"/>
      <c r="J1161" s="424"/>
      <c r="K1161" s="424"/>
      <c r="L1161" s="424"/>
      <c r="M1161" s="424"/>
      <c r="N1161" s="424"/>
      <c r="O1161" s="424"/>
      <c r="P1161" s="424"/>
      <c r="Q1161" s="435" t="n">
        <v>60</v>
      </c>
      <c r="R1161" s="434" t="s">
        <v>592</v>
      </c>
      <c r="S1161" s="424"/>
      <c r="T1161" s="434" t="s">
        <v>593</v>
      </c>
      <c r="U1161" s="434" t="s">
        <v>594</v>
      </c>
      <c r="V1161" s="436" t="n">
        <f aca="false">AY1166</f>
        <v>0</v>
      </c>
    </row>
    <row r="1162" customFormat="false" ht="13.5" hidden="false" customHeight="false" outlineLevel="0" collapsed="false">
      <c r="A1162" s="424"/>
      <c r="B1162" s="424"/>
      <c r="C1162" s="424"/>
      <c r="D1162" s="424"/>
      <c r="E1162" s="424"/>
      <c r="F1162" s="424"/>
      <c r="G1162" s="424"/>
      <c r="H1162" s="424"/>
      <c r="I1162" s="424"/>
      <c r="J1162" s="424"/>
      <c r="K1162" s="424"/>
      <c r="L1162" s="424"/>
      <c r="M1162" s="424"/>
      <c r="N1162" s="424"/>
      <c r="O1162" s="424"/>
      <c r="P1162" s="424"/>
      <c r="Q1162" s="435" t="n">
        <v>61</v>
      </c>
      <c r="R1162" s="434" t="s">
        <v>595</v>
      </c>
      <c r="S1162" s="424"/>
      <c r="T1162" s="434" t="s">
        <v>596</v>
      </c>
      <c r="U1162" s="434" t="s">
        <v>597</v>
      </c>
      <c r="V1162" s="436" t="n">
        <f aca="false">AY1167</f>
        <v>0</v>
      </c>
    </row>
    <row r="1163" customFormat="false" ht="13.5" hidden="false" customHeight="false" outlineLevel="0" collapsed="false">
      <c r="A1163" s="424"/>
      <c r="B1163" s="424"/>
      <c r="C1163" s="424"/>
      <c r="D1163" s="424"/>
      <c r="E1163" s="424"/>
      <c r="F1163" s="424"/>
      <c r="G1163" s="424"/>
      <c r="H1163" s="424"/>
      <c r="I1163" s="424"/>
      <c r="J1163" s="424"/>
      <c r="K1163" s="424"/>
      <c r="L1163" s="424"/>
      <c r="M1163" s="424"/>
      <c r="N1163" s="424"/>
      <c r="O1163" s="424"/>
      <c r="P1163" s="424"/>
      <c r="Q1163" s="435" t="n">
        <v>62</v>
      </c>
      <c r="R1163" s="434" t="s">
        <v>598</v>
      </c>
      <c r="S1163" s="424"/>
      <c r="T1163" s="434" t="s">
        <v>599</v>
      </c>
      <c r="U1163" s="434" t="s">
        <v>600</v>
      </c>
      <c r="V1163" s="436" t="n">
        <f aca="false">AY1168</f>
        <v>0</v>
      </c>
    </row>
    <row r="1164" customFormat="false" ht="13.5" hidden="false" customHeight="false" outlineLevel="0" collapsed="false">
      <c r="A1164" s="424"/>
      <c r="B1164" s="424"/>
      <c r="C1164" s="424"/>
      <c r="D1164" s="424"/>
      <c r="E1164" s="424"/>
      <c r="F1164" s="424"/>
      <c r="G1164" s="424"/>
      <c r="H1164" s="424"/>
      <c r="I1164" s="424"/>
      <c r="J1164" s="424"/>
      <c r="K1164" s="424"/>
      <c r="L1164" s="424"/>
      <c r="M1164" s="424"/>
      <c r="N1164" s="424"/>
      <c r="O1164" s="424"/>
      <c r="P1164" s="424"/>
      <c r="Q1164" s="435" t="n">
        <v>63</v>
      </c>
      <c r="R1164" s="434" t="s">
        <v>601</v>
      </c>
      <c r="S1164" s="424"/>
      <c r="T1164" s="434" t="s">
        <v>602</v>
      </c>
      <c r="U1164" s="434" t="s">
        <v>603</v>
      </c>
      <c r="V1164" s="436" t="n">
        <f aca="false">AY1169</f>
        <v>0</v>
      </c>
    </row>
    <row r="1165" customFormat="false" ht="13.5" hidden="false" customHeight="false" outlineLevel="0" collapsed="false">
      <c r="A1165" s="424"/>
      <c r="B1165" s="424"/>
      <c r="C1165" s="424"/>
      <c r="D1165" s="424"/>
      <c r="E1165" s="424"/>
      <c r="F1165" s="424"/>
      <c r="G1165" s="424"/>
      <c r="H1165" s="424"/>
      <c r="I1165" s="424"/>
      <c r="J1165" s="424"/>
      <c r="K1165" s="424"/>
      <c r="L1165" s="424"/>
      <c r="M1165" s="424"/>
      <c r="N1165" s="424"/>
      <c r="O1165" s="424"/>
      <c r="P1165" s="424"/>
      <c r="Q1165" s="435" t="n">
        <v>64</v>
      </c>
      <c r="R1165" s="434" t="s">
        <v>604</v>
      </c>
      <c r="S1165" s="424"/>
      <c r="T1165" s="434" t="s">
        <v>605</v>
      </c>
      <c r="U1165" s="434" t="s">
        <v>606</v>
      </c>
      <c r="V1165" s="436" t="n">
        <f aca="false">AY1170</f>
        <v>0</v>
      </c>
    </row>
    <row r="1166" customFormat="false" ht="13.5" hidden="false" customHeight="false" outlineLevel="0" collapsed="false">
      <c r="A1166" s="424"/>
      <c r="B1166" s="424"/>
      <c r="C1166" s="424"/>
      <c r="D1166" s="424"/>
      <c r="E1166" s="424"/>
      <c r="F1166" s="424"/>
      <c r="G1166" s="424"/>
      <c r="H1166" s="424"/>
      <c r="I1166" s="424"/>
      <c r="J1166" s="424"/>
      <c r="K1166" s="424"/>
      <c r="L1166" s="424"/>
      <c r="M1166" s="424"/>
      <c r="N1166" s="424"/>
      <c r="O1166" s="424"/>
      <c r="P1166" s="424"/>
      <c r="Q1166" s="435" t="n">
        <v>65</v>
      </c>
      <c r="R1166" s="434" t="s">
        <v>607</v>
      </c>
      <c r="S1166" s="424"/>
      <c r="T1166" s="434" t="s">
        <v>608</v>
      </c>
      <c r="U1166" s="434" t="s">
        <v>609</v>
      </c>
      <c r="V1166" s="436" t="n">
        <f aca="false">AY1171</f>
        <v>0</v>
      </c>
    </row>
    <row r="1167" customFormat="false" ht="13.5" hidden="false" customHeight="false" outlineLevel="0" collapsed="false">
      <c r="A1167" s="424"/>
      <c r="B1167" s="424"/>
      <c r="C1167" s="424"/>
      <c r="D1167" s="424"/>
      <c r="E1167" s="424"/>
      <c r="F1167" s="424"/>
      <c r="G1167" s="424"/>
      <c r="H1167" s="424"/>
      <c r="I1167" s="424"/>
      <c r="J1167" s="424"/>
      <c r="K1167" s="424"/>
      <c r="L1167" s="424"/>
      <c r="M1167" s="424"/>
      <c r="N1167" s="424"/>
      <c r="O1167" s="424"/>
      <c r="P1167" s="424"/>
      <c r="Q1167" s="435" t="n">
        <v>66</v>
      </c>
      <c r="R1167" s="434" t="s">
        <v>610</v>
      </c>
      <c r="S1167" s="424"/>
      <c r="T1167" s="434" t="s">
        <v>611</v>
      </c>
      <c r="U1167" s="434" t="s">
        <v>612</v>
      </c>
      <c r="V1167" s="436" t="n">
        <f aca="false">AY1172</f>
        <v>0</v>
      </c>
    </row>
    <row r="1168" customFormat="false" ht="13.5" hidden="false" customHeight="false" outlineLevel="0" collapsed="false">
      <c r="A1168" s="424"/>
      <c r="B1168" s="424"/>
      <c r="C1168" s="424"/>
      <c r="D1168" s="424"/>
      <c r="E1168" s="424"/>
      <c r="F1168" s="424"/>
      <c r="G1168" s="424"/>
      <c r="H1168" s="424"/>
      <c r="I1168" s="424"/>
      <c r="J1168" s="424"/>
      <c r="K1168" s="424"/>
      <c r="L1168" s="424"/>
      <c r="M1168" s="424"/>
      <c r="N1168" s="424"/>
      <c r="O1168" s="424"/>
      <c r="P1168" s="424"/>
      <c r="Q1168" s="435" t="n">
        <v>67</v>
      </c>
      <c r="R1168" s="434" t="s">
        <v>613</v>
      </c>
      <c r="S1168" s="424"/>
      <c r="T1168" s="434" t="s">
        <v>614</v>
      </c>
      <c r="U1168" s="434" t="s">
        <v>615</v>
      </c>
      <c r="V1168" s="436" t="n">
        <f aca="false">AY1173</f>
        <v>0</v>
      </c>
    </row>
    <row r="1169" customFormat="false" ht="13.5" hidden="false" customHeight="false" outlineLevel="0" collapsed="false">
      <c r="A1169" s="424"/>
      <c r="B1169" s="424"/>
      <c r="C1169" s="424"/>
      <c r="D1169" s="424"/>
      <c r="E1169" s="424"/>
      <c r="F1169" s="424"/>
      <c r="G1169" s="424"/>
      <c r="H1169" s="424"/>
      <c r="I1169" s="424"/>
      <c r="J1169" s="424"/>
      <c r="K1169" s="424"/>
      <c r="L1169" s="424"/>
      <c r="M1169" s="424"/>
      <c r="N1169" s="424"/>
      <c r="O1169" s="424"/>
      <c r="P1169" s="424"/>
      <c r="Q1169" s="435" t="n">
        <v>68</v>
      </c>
      <c r="R1169" s="434" t="s">
        <v>616</v>
      </c>
      <c r="S1169" s="424"/>
      <c r="T1169" s="434" t="s">
        <v>617</v>
      </c>
      <c r="U1169" s="434" t="s">
        <v>618</v>
      </c>
      <c r="V1169" s="436" t="n">
        <f aca="false">AY1174</f>
        <v>0</v>
      </c>
    </row>
    <row r="1170" customFormat="false" ht="13.5" hidden="false" customHeight="false" outlineLevel="0" collapsed="false">
      <c r="A1170" s="424"/>
      <c r="B1170" s="424"/>
      <c r="C1170" s="424"/>
      <c r="D1170" s="424"/>
      <c r="E1170" s="424"/>
      <c r="F1170" s="424"/>
      <c r="G1170" s="424"/>
      <c r="H1170" s="424"/>
      <c r="I1170" s="424"/>
      <c r="J1170" s="424"/>
      <c r="K1170" s="424"/>
      <c r="L1170" s="424"/>
      <c r="M1170" s="424"/>
      <c r="N1170" s="424"/>
      <c r="O1170" s="424"/>
      <c r="P1170" s="424"/>
      <c r="Q1170" s="435" t="n">
        <v>69</v>
      </c>
      <c r="R1170" s="434" t="s">
        <v>619</v>
      </c>
      <c r="S1170" s="424"/>
      <c r="T1170" s="434" t="s">
        <v>620</v>
      </c>
      <c r="U1170" s="434" t="s">
        <v>621</v>
      </c>
      <c r="V1170" s="436" t="n">
        <f aca="false">AY1175</f>
        <v>0</v>
      </c>
    </row>
    <row r="1171" customFormat="false" ht="13.5" hidden="false" customHeight="false" outlineLevel="0" collapsed="false">
      <c r="A1171" s="424"/>
      <c r="B1171" s="424"/>
      <c r="C1171" s="424"/>
      <c r="D1171" s="424"/>
      <c r="E1171" s="424"/>
      <c r="F1171" s="424"/>
      <c r="G1171" s="424"/>
      <c r="H1171" s="424"/>
      <c r="I1171" s="424"/>
      <c r="J1171" s="424"/>
      <c r="K1171" s="424"/>
      <c r="L1171" s="424"/>
      <c r="M1171" s="424"/>
      <c r="N1171" s="424"/>
      <c r="O1171" s="424"/>
      <c r="P1171" s="424"/>
      <c r="Q1171" s="435" t="n">
        <v>70</v>
      </c>
      <c r="R1171" s="434" t="s">
        <v>622</v>
      </c>
      <c r="S1171" s="424"/>
      <c r="T1171" s="434" t="s">
        <v>623</v>
      </c>
      <c r="U1171" s="434" t="s">
        <v>624</v>
      </c>
      <c r="V1171" s="436" t="n">
        <f aca="false">AY1176</f>
        <v>0</v>
      </c>
    </row>
    <row r="1172" customFormat="false" ht="13.5" hidden="false" customHeight="false" outlineLevel="0" collapsed="false">
      <c r="A1172" s="424"/>
      <c r="B1172" s="424"/>
      <c r="C1172" s="424"/>
      <c r="D1172" s="424"/>
      <c r="E1172" s="424"/>
      <c r="F1172" s="424"/>
      <c r="G1172" s="424"/>
      <c r="H1172" s="424"/>
      <c r="I1172" s="424"/>
      <c r="J1172" s="424"/>
      <c r="K1172" s="424"/>
      <c r="L1172" s="424"/>
      <c r="M1172" s="424"/>
      <c r="N1172" s="424"/>
      <c r="O1172" s="424"/>
      <c r="P1172" s="424"/>
      <c r="Q1172" s="435" t="n">
        <v>71</v>
      </c>
      <c r="R1172" s="434" t="s">
        <v>625</v>
      </c>
      <c r="S1172" s="424"/>
      <c r="T1172" s="434" t="s">
        <v>626</v>
      </c>
      <c r="U1172" s="434" t="s">
        <v>627</v>
      </c>
      <c r="V1172" s="436" t="n">
        <f aca="false">AY1177</f>
        <v>0</v>
      </c>
    </row>
    <row r="1173" customFormat="false" ht="13.5" hidden="false" customHeight="false" outlineLevel="0" collapsed="false">
      <c r="A1173" s="424"/>
      <c r="B1173" s="424"/>
      <c r="C1173" s="424"/>
      <c r="D1173" s="424"/>
      <c r="E1173" s="424"/>
      <c r="F1173" s="424"/>
      <c r="G1173" s="424"/>
      <c r="H1173" s="424"/>
      <c r="I1173" s="424"/>
      <c r="J1173" s="424"/>
      <c r="K1173" s="424"/>
      <c r="L1173" s="424"/>
      <c r="M1173" s="424"/>
      <c r="N1173" s="424"/>
      <c r="O1173" s="424"/>
      <c r="P1173" s="424"/>
      <c r="Q1173" s="435" t="n">
        <v>72</v>
      </c>
      <c r="R1173" s="434" t="s">
        <v>628</v>
      </c>
      <c r="S1173" s="424"/>
      <c r="T1173" s="434" t="s">
        <v>629</v>
      </c>
      <c r="U1173" s="434" t="s">
        <v>630</v>
      </c>
      <c r="V1173" s="436" t="n">
        <f aca="false">AY1178</f>
        <v>0</v>
      </c>
    </row>
    <row r="1174" customFormat="false" ht="13.5" hidden="false" customHeight="false" outlineLevel="0" collapsed="false">
      <c r="A1174" s="424"/>
      <c r="B1174" s="424"/>
      <c r="C1174" s="424"/>
      <c r="D1174" s="424"/>
      <c r="E1174" s="424"/>
      <c r="F1174" s="424"/>
      <c r="G1174" s="424"/>
      <c r="H1174" s="424"/>
      <c r="I1174" s="424"/>
      <c r="J1174" s="424"/>
      <c r="K1174" s="424"/>
      <c r="L1174" s="424"/>
      <c r="M1174" s="424"/>
      <c r="N1174" s="424"/>
      <c r="O1174" s="424"/>
      <c r="P1174" s="424"/>
      <c r="Q1174" s="435" t="n">
        <v>73</v>
      </c>
      <c r="R1174" s="434" t="s">
        <v>631</v>
      </c>
      <c r="S1174" s="424"/>
      <c r="T1174" s="434" t="s">
        <v>632</v>
      </c>
      <c r="U1174" s="434" t="s">
        <v>633</v>
      </c>
      <c r="V1174" s="436" t="n">
        <f aca="false">AY1179</f>
        <v>0</v>
      </c>
    </row>
    <row r="1175" customFormat="false" ht="13.5" hidden="false" customHeight="false" outlineLevel="0" collapsed="false">
      <c r="A1175" s="424"/>
      <c r="B1175" s="424"/>
      <c r="C1175" s="424"/>
      <c r="D1175" s="424"/>
      <c r="E1175" s="424"/>
      <c r="F1175" s="424"/>
      <c r="G1175" s="424"/>
      <c r="H1175" s="424"/>
      <c r="I1175" s="424"/>
      <c r="J1175" s="424"/>
      <c r="K1175" s="424"/>
      <c r="L1175" s="424"/>
      <c r="M1175" s="424"/>
      <c r="N1175" s="424"/>
      <c r="O1175" s="424"/>
      <c r="P1175" s="424"/>
      <c r="Q1175" s="435" t="n">
        <v>74</v>
      </c>
      <c r="R1175" s="434" t="s">
        <v>634</v>
      </c>
      <c r="S1175" s="424"/>
      <c r="T1175" s="434" t="s">
        <v>635</v>
      </c>
      <c r="U1175" s="434" t="s">
        <v>636</v>
      </c>
      <c r="V1175" s="436" t="n">
        <f aca="false">AY1180</f>
        <v>0</v>
      </c>
    </row>
    <row r="1176" customFormat="false" ht="13.5" hidden="false" customHeight="false" outlineLevel="0" collapsed="false">
      <c r="A1176" s="424"/>
      <c r="B1176" s="424"/>
      <c r="C1176" s="424"/>
      <c r="D1176" s="424"/>
      <c r="E1176" s="424"/>
      <c r="F1176" s="424"/>
      <c r="G1176" s="424"/>
      <c r="H1176" s="424"/>
      <c r="I1176" s="424"/>
      <c r="J1176" s="424"/>
      <c r="K1176" s="424"/>
      <c r="L1176" s="424"/>
      <c r="M1176" s="424"/>
      <c r="N1176" s="424"/>
      <c r="O1176" s="424"/>
      <c r="P1176" s="424"/>
      <c r="Q1176" s="435" t="n">
        <v>75</v>
      </c>
      <c r="R1176" s="434" t="s">
        <v>637</v>
      </c>
      <c r="S1176" s="424"/>
      <c r="T1176" s="434" t="s">
        <v>638</v>
      </c>
      <c r="U1176" s="434" t="s">
        <v>639</v>
      </c>
      <c r="V1176" s="436" t="n">
        <f aca="false">AY1181</f>
        <v>0</v>
      </c>
    </row>
    <row r="1177" customFormat="false" ht="13.5" hidden="false" customHeight="false" outlineLevel="0" collapsed="false">
      <c r="A1177" s="424"/>
      <c r="B1177" s="424"/>
      <c r="C1177" s="424"/>
      <c r="D1177" s="424"/>
      <c r="E1177" s="424"/>
      <c r="F1177" s="424"/>
      <c r="G1177" s="424"/>
      <c r="H1177" s="424"/>
      <c r="I1177" s="424"/>
      <c r="J1177" s="424"/>
      <c r="K1177" s="424"/>
      <c r="L1177" s="424"/>
      <c r="M1177" s="424"/>
      <c r="N1177" s="424"/>
      <c r="O1177" s="424"/>
      <c r="P1177" s="424"/>
      <c r="Q1177" s="435" t="n">
        <v>76</v>
      </c>
      <c r="R1177" s="434" t="s">
        <v>640</v>
      </c>
      <c r="S1177" s="424"/>
      <c r="T1177" s="434" t="s">
        <v>641</v>
      </c>
      <c r="U1177" s="434" t="s">
        <v>642</v>
      </c>
      <c r="V1177" s="436" t="n">
        <f aca="false">AY1182</f>
        <v>0</v>
      </c>
    </row>
    <row r="1178" customFormat="false" ht="13.5" hidden="false" customHeight="false" outlineLevel="0" collapsed="false">
      <c r="A1178" s="424"/>
      <c r="B1178" s="424"/>
      <c r="C1178" s="424"/>
      <c r="D1178" s="424"/>
      <c r="E1178" s="424"/>
      <c r="F1178" s="424"/>
      <c r="G1178" s="424"/>
      <c r="H1178" s="424"/>
      <c r="I1178" s="424"/>
      <c r="J1178" s="424"/>
      <c r="K1178" s="424"/>
      <c r="L1178" s="424"/>
      <c r="M1178" s="424"/>
      <c r="N1178" s="424"/>
      <c r="O1178" s="424"/>
      <c r="P1178" s="424"/>
      <c r="Q1178" s="435" t="n">
        <v>77</v>
      </c>
      <c r="R1178" s="434" t="s">
        <v>643</v>
      </c>
      <c r="S1178" s="424"/>
      <c r="T1178" s="434" t="s">
        <v>644</v>
      </c>
      <c r="U1178" s="434" t="s">
        <v>645</v>
      </c>
      <c r="V1178" s="436" t="n">
        <f aca="false">AY1183</f>
        <v>0</v>
      </c>
    </row>
    <row r="1179" customFormat="false" ht="13.5" hidden="false" customHeight="false" outlineLevel="0" collapsed="false">
      <c r="A1179" s="424"/>
      <c r="B1179" s="424"/>
      <c r="C1179" s="424"/>
      <c r="D1179" s="424"/>
      <c r="E1179" s="424"/>
      <c r="F1179" s="424"/>
      <c r="G1179" s="424"/>
      <c r="H1179" s="424"/>
      <c r="I1179" s="424"/>
      <c r="J1179" s="424"/>
      <c r="K1179" s="424"/>
      <c r="L1179" s="424"/>
      <c r="M1179" s="424"/>
      <c r="N1179" s="424"/>
      <c r="O1179" s="424"/>
      <c r="P1179" s="424"/>
      <c r="Q1179" s="435" t="n">
        <v>78</v>
      </c>
      <c r="R1179" s="434" t="s">
        <v>646</v>
      </c>
      <c r="S1179" s="424"/>
      <c r="T1179" s="434" t="s">
        <v>647</v>
      </c>
      <c r="U1179" s="434" t="s">
        <v>648</v>
      </c>
      <c r="V1179" s="436" t="n">
        <f aca="false">AY1184</f>
        <v>0</v>
      </c>
    </row>
    <row r="1180" customFormat="false" ht="13.5" hidden="false" customHeight="false" outlineLevel="0" collapsed="false">
      <c r="A1180" s="424"/>
      <c r="B1180" s="424"/>
      <c r="C1180" s="424"/>
      <c r="D1180" s="424"/>
      <c r="E1180" s="424"/>
      <c r="F1180" s="424"/>
      <c r="G1180" s="424"/>
      <c r="H1180" s="424"/>
      <c r="I1180" s="424"/>
      <c r="J1180" s="424"/>
      <c r="K1180" s="424"/>
      <c r="L1180" s="424"/>
      <c r="M1180" s="424"/>
      <c r="N1180" s="424"/>
      <c r="O1180" s="424"/>
      <c r="P1180" s="424"/>
      <c r="Q1180" s="435" t="n">
        <v>79</v>
      </c>
      <c r="R1180" s="434" t="s">
        <v>649</v>
      </c>
      <c r="S1180" s="424"/>
      <c r="T1180" s="434" t="s">
        <v>650</v>
      </c>
      <c r="U1180" s="434" t="s">
        <v>651</v>
      </c>
      <c r="V1180" s="436" t="n">
        <f aca="false">AY1185</f>
        <v>0</v>
      </c>
    </row>
    <row r="1181" customFormat="false" ht="13.5" hidden="false" customHeight="false" outlineLevel="0" collapsed="false">
      <c r="A1181" s="424"/>
      <c r="B1181" s="424"/>
      <c r="C1181" s="424"/>
      <c r="D1181" s="424"/>
      <c r="E1181" s="424"/>
      <c r="F1181" s="424"/>
      <c r="G1181" s="424"/>
      <c r="H1181" s="424"/>
      <c r="I1181" s="424"/>
      <c r="J1181" s="424"/>
      <c r="K1181" s="424"/>
      <c r="L1181" s="424"/>
      <c r="M1181" s="424"/>
      <c r="N1181" s="424"/>
      <c r="O1181" s="424"/>
      <c r="P1181" s="424"/>
      <c r="Q1181" s="435" t="n">
        <v>80</v>
      </c>
      <c r="R1181" s="434" t="s">
        <v>652</v>
      </c>
      <c r="S1181" s="424"/>
      <c r="T1181" s="434" t="s">
        <v>653</v>
      </c>
      <c r="U1181" s="434" t="s">
        <v>654</v>
      </c>
      <c r="V1181" s="436" t="n">
        <f aca="false">AY1186</f>
        <v>0</v>
      </c>
    </row>
    <row r="1182" customFormat="false" ht="13.5" hidden="false" customHeight="false" outlineLevel="0" collapsed="false">
      <c r="A1182" s="424"/>
      <c r="B1182" s="424"/>
      <c r="C1182" s="424"/>
      <c r="D1182" s="424"/>
      <c r="E1182" s="424"/>
      <c r="F1182" s="424"/>
      <c r="G1182" s="424"/>
      <c r="H1182" s="424"/>
      <c r="I1182" s="424"/>
      <c r="J1182" s="424"/>
      <c r="K1182" s="424"/>
      <c r="L1182" s="424"/>
      <c r="M1182" s="424"/>
      <c r="N1182" s="424"/>
      <c r="O1182" s="424"/>
      <c r="P1182" s="424"/>
      <c r="Q1182" s="435" t="n">
        <v>81</v>
      </c>
      <c r="R1182" s="434" t="s">
        <v>655</v>
      </c>
      <c r="S1182" s="424"/>
      <c r="T1182" s="434" t="s">
        <v>656</v>
      </c>
      <c r="U1182" s="434" t="s">
        <v>657</v>
      </c>
      <c r="V1182" s="436" t="n">
        <f aca="false">AY1187</f>
        <v>0</v>
      </c>
    </row>
    <row r="1183" customFormat="false" ht="13.5" hidden="false" customHeight="false" outlineLevel="0" collapsed="false">
      <c r="A1183" s="424"/>
      <c r="B1183" s="424"/>
      <c r="C1183" s="424"/>
      <c r="D1183" s="424"/>
      <c r="E1183" s="424"/>
      <c r="F1183" s="424"/>
      <c r="G1183" s="424"/>
      <c r="H1183" s="424"/>
      <c r="I1183" s="424"/>
      <c r="J1183" s="424"/>
      <c r="K1183" s="424"/>
      <c r="L1183" s="424"/>
      <c r="M1183" s="424"/>
      <c r="N1183" s="424"/>
      <c r="O1183" s="424"/>
      <c r="P1183" s="424"/>
      <c r="Q1183" s="435" t="n">
        <v>82</v>
      </c>
      <c r="R1183" s="434" t="s">
        <v>658</v>
      </c>
      <c r="S1183" s="424"/>
      <c r="T1183" s="434" t="s">
        <v>659</v>
      </c>
      <c r="U1183" s="434" t="s">
        <v>660</v>
      </c>
      <c r="V1183" s="436" t="n">
        <f aca="false">AY1188</f>
        <v>0</v>
      </c>
    </row>
    <row r="1184" customFormat="false" ht="13.5" hidden="false" customHeight="false" outlineLevel="0" collapsed="false">
      <c r="A1184" s="424"/>
      <c r="B1184" s="424"/>
      <c r="C1184" s="424"/>
      <c r="D1184" s="424"/>
      <c r="E1184" s="424"/>
      <c r="F1184" s="424"/>
      <c r="G1184" s="424"/>
      <c r="H1184" s="424"/>
      <c r="I1184" s="424"/>
      <c r="J1184" s="424"/>
      <c r="K1184" s="424"/>
      <c r="L1184" s="424"/>
      <c r="M1184" s="424"/>
      <c r="N1184" s="424"/>
      <c r="O1184" s="424"/>
      <c r="P1184" s="424"/>
      <c r="Q1184" s="435" t="n">
        <v>83</v>
      </c>
      <c r="R1184" s="434" t="s">
        <v>661</v>
      </c>
      <c r="S1184" s="424"/>
      <c r="T1184" s="434" t="s">
        <v>662</v>
      </c>
      <c r="U1184" s="434" t="s">
        <v>663</v>
      </c>
      <c r="V1184" s="436" t="n">
        <f aca="false">AY1189</f>
        <v>0</v>
      </c>
    </row>
    <row r="1185" customFormat="false" ht="13.5" hidden="false" customHeight="false" outlineLevel="0" collapsed="false">
      <c r="A1185" s="424"/>
      <c r="B1185" s="424"/>
      <c r="C1185" s="424"/>
      <c r="D1185" s="424"/>
      <c r="E1185" s="424"/>
      <c r="F1185" s="424"/>
      <c r="G1185" s="424"/>
      <c r="H1185" s="424"/>
      <c r="I1185" s="424"/>
      <c r="J1185" s="424"/>
      <c r="K1185" s="424"/>
      <c r="L1185" s="424"/>
      <c r="M1185" s="424"/>
      <c r="N1185" s="424"/>
      <c r="O1185" s="424"/>
      <c r="P1185" s="424"/>
      <c r="Q1185" s="435" t="n">
        <v>84</v>
      </c>
      <c r="R1185" s="434" t="s">
        <v>664</v>
      </c>
      <c r="S1185" s="424"/>
      <c r="T1185" s="434" t="s">
        <v>665</v>
      </c>
      <c r="U1185" s="434" t="s">
        <v>666</v>
      </c>
      <c r="V1185" s="436" t="n">
        <f aca="false">AY1190</f>
        <v>0</v>
      </c>
    </row>
    <row r="1186" customFormat="false" ht="13.5" hidden="false" customHeight="false" outlineLevel="0" collapsed="false">
      <c r="A1186" s="424"/>
      <c r="B1186" s="424"/>
      <c r="C1186" s="424"/>
      <c r="D1186" s="424"/>
      <c r="E1186" s="424"/>
      <c r="F1186" s="424"/>
      <c r="G1186" s="424"/>
      <c r="H1186" s="424"/>
      <c r="I1186" s="424"/>
      <c r="J1186" s="424"/>
      <c r="K1186" s="424"/>
      <c r="L1186" s="424"/>
      <c r="M1186" s="424"/>
      <c r="N1186" s="424"/>
      <c r="O1186" s="424"/>
      <c r="P1186" s="424"/>
      <c r="Q1186" s="435" t="n">
        <v>85</v>
      </c>
      <c r="R1186" s="434" t="s">
        <v>667</v>
      </c>
      <c r="S1186" s="424"/>
      <c r="T1186" s="434" t="s">
        <v>668</v>
      </c>
      <c r="U1186" s="434" t="s">
        <v>669</v>
      </c>
      <c r="V1186" s="436" t="n">
        <f aca="false">AY1191</f>
        <v>0</v>
      </c>
    </row>
    <row r="1187" customFormat="false" ht="13.5" hidden="false" customHeight="false" outlineLevel="0" collapsed="false">
      <c r="A1187" s="424"/>
      <c r="B1187" s="424"/>
      <c r="C1187" s="424"/>
      <c r="D1187" s="424"/>
      <c r="E1187" s="424"/>
      <c r="F1187" s="424"/>
      <c r="G1187" s="424"/>
      <c r="H1187" s="424"/>
      <c r="I1187" s="424"/>
      <c r="J1187" s="424"/>
      <c r="K1187" s="424"/>
      <c r="L1187" s="424"/>
      <c r="M1187" s="424"/>
      <c r="N1187" s="424"/>
      <c r="O1187" s="424"/>
      <c r="P1187" s="424"/>
      <c r="Q1187" s="435" t="n">
        <v>86</v>
      </c>
      <c r="R1187" s="434" t="s">
        <v>670</v>
      </c>
      <c r="S1187" s="424"/>
      <c r="T1187" s="434" t="s">
        <v>671</v>
      </c>
      <c r="U1187" s="434" t="s">
        <v>672</v>
      </c>
      <c r="V1187" s="436" t="n">
        <f aca="false">AY1192</f>
        <v>0</v>
      </c>
    </row>
    <row r="1188" customFormat="false" ht="13.5" hidden="false" customHeight="false" outlineLevel="0" collapsed="false">
      <c r="A1188" s="424"/>
      <c r="B1188" s="424"/>
      <c r="C1188" s="424"/>
      <c r="D1188" s="424"/>
      <c r="E1188" s="424"/>
      <c r="F1188" s="424"/>
      <c r="G1188" s="424"/>
      <c r="H1188" s="424"/>
      <c r="I1188" s="424"/>
      <c r="J1188" s="424"/>
      <c r="K1188" s="424"/>
      <c r="L1188" s="424"/>
      <c r="M1188" s="424"/>
      <c r="N1188" s="424"/>
      <c r="O1188" s="424"/>
      <c r="P1188" s="424"/>
      <c r="Q1188" s="435" t="n">
        <v>87</v>
      </c>
      <c r="R1188" s="434" t="s">
        <v>673</v>
      </c>
      <c r="S1188" s="424"/>
      <c r="T1188" s="434" t="s">
        <v>674</v>
      </c>
      <c r="U1188" s="434" t="s">
        <v>675</v>
      </c>
      <c r="V1188" s="436" t="n">
        <f aca="false">AY1193</f>
        <v>0</v>
      </c>
    </row>
    <row r="1189" customFormat="false" ht="13.5" hidden="false" customHeight="false" outlineLevel="0" collapsed="false">
      <c r="A1189" s="424"/>
      <c r="B1189" s="424"/>
      <c r="C1189" s="424"/>
      <c r="D1189" s="424"/>
      <c r="E1189" s="424"/>
      <c r="F1189" s="424"/>
      <c r="G1189" s="424"/>
      <c r="H1189" s="424"/>
      <c r="I1189" s="424"/>
      <c r="J1189" s="424"/>
      <c r="K1189" s="424"/>
      <c r="L1189" s="424"/>
      <c r="M1189" s="424"/>
      <c r="N1189" s="424"/>
      <c r="O1189" s="424"/>
      <c r="P1189" s="424"/>
      <c r="Q1189" s="435" t="n">
        <v>88</v>
      </c>
      <c r="R1189" s="434" t="s">
        <v>676</v>
      </c>
      <c r="S1189" s="424"/>
      <c r="T1189" s="434" t="s">
        <v>677</v>
      </c>
      <c r="U1189" s="434" t="s">
        <v>678</v>
      </c>
      <c r="V1189" s="436" t="n">
        <f aca="false">AY1194</f>
        <v>0</v>
      </c>
    </row>
    <row r="1190" customFormat="false" ht="13.5" hidden="false" customHeight="false" outlineLevel="0" collapsed="false">
      <c r="A1190" s="424"/>
      <c r="B1190" s="424"/>
      <c r="C1190" s="424"/>
      <c r="D1190" s="424"/>
      <c r="E1190" s="424"/>
      <c r="F1190" s="424"/>
      <c r="G1190" s="424"/>
      <c r="H1190" s="424"/>
      <c r="I1190" s="424"/>
      <c r="J1190" s="424"/>
      <c r="K1190" s="424"/>
      <c r="L1190" s="424"/>
      <c r="M1190" s="424"/>
      <c r="N1190" s="424"/>
      <c r="O1190" s="424"/>
      <c r="P1190" s="424"/>
      <c r="Q1190" s="435" t="n">
        <v>89</v>
      </c>
      <c r="R1190" s="434" t="s">
        <v>679</v>
      </c>
      <c r="S1190" s="424"/>
      <c r="T1190" s="434" t="s">
        <v>680</v>
      </c>
      <c r="U1190" s="434" t="s">
        <v>681</v>
      </c>
      <c r="V1190" s="436" t="n">
        <f aca="false">AY1195</f>
        <v>0</v>
      </c>
    </row>
    <row r="1191" customFormat="false" ht="13.5" hidden="false" customHeight="false" outlineLevel="0" collapsed="false">
      <c r="A1191" s="424"/>
      <c r="B1191" s="424"/>
      <c r="C1191" s="424"/>
      <c r="D1191" s="424"/>
      <c r="E1191" s="424"/>
      <c r="F1191" s="424"/>
      <c r="G1191" s="424"/>
      <c r="H1191" s="424"/>
      <c r="I1191" s="424"/>
      <c r="J1191" s="424"/>
      <c r="K1191" s="424"/>
      <c r="L1191" s="424"/>
      <c r="M1191" s="424"/>
      <c r="N1191" s="424"/>
      <c r="O1191" s="424"/>
      <c r="P1191" s="424"/>
      <c r="Q1191" s="435" t="n">
        <v>90</v>
      </c>
      <c r="R1191" s="434" t="s">
        <v>682</v>
      </c>
      <c r="S1191" s="424"/>
      <c r="T1191" s="434" t="s">
        <v>683</v>
      </c>
      <c r="U1191" s="434" t="s">
        <v>684</v>
      </c>
      <c r="V1191" s="436" t="n">
        <f aca="false">AY1196</f>
        <v>0</v>
      </c>
    </row>
    <row r="1192" customFormat="false" ht="13.5" hidden="false" customHeight="false" outlineLevel="0" collapsed="false">
      <c r="A1192" s="424"/>
      <c r="B1192" s="424"/>
      <c r="C1192" s="424"/>
      <c r="D1192" s="424"/>
      <c r="E1192" s="424"/>
      <c r="F1192" s="424"/>
      <c r="G1192" s="424"/>
      <c r="H1192" s="424"/>
      <c r="I1192" s="424"/>
      <c r="J1192" s="424"/>
      <c r="K1192" s="424"/>
      <c r="L1192" s="424"/>
      <c r="M1192" s="424"/>
      <c r="N1192" s="424"/>
      <c r="O1192" s="424"/>
      <c r="P1192" s="424"/>
      <c r="Q1192" s="435" t="n">
        <v>91</v>
      </c>
      <c r="R1192" s="434" t="s">
        <v>685</v>
      </c>
      <c r="S1192" s="424"/>
      <c r="T1192" s="434" t="s">
        <v>686</v>
      </c>
      <c r="U1192" s="434" t="s">
        <v>687</v>
      </c>
      <c r="V1192" s="436" t="n">
        <f aca="false">AY1197</f>
        <v>0</v>
      </c>
    </row>
    <row r="1193" customFormat="false" ht="13.5" hidden="false" customHeight="false" outlineLevel="0" collapsed="false">
      <c r="A1193" s="424"/>
      <c r="B1193" s="424"/>
      <c r="C1193" s="424"/>
      <c r="D1193" s="424"/>
      <c r="E1193" s="424"/>
      <c r="F1193" s="424"/>
      <c r="G1193" s="424"/>
      <c r="H1193" s="424"/>
      <c r="I1193" s="424"/>
      <c r="J1193" s="424"/>
      <c r="K1193" s="424"/>
      <c r="L1193" s="424"/>
      <c r="M1193" s="424"/>
      <c r="N1193" s="424"/>
      <c r="O1193" s="424"/>
      <c r="P1193" s="424"/>
      <c r="Q1193" s="435" t="n">
        <v>92</v>
      </c>
      <c r="R1193" s="434" t="s">
        <v>688</v>
      </c>
      <c r="S1193" s="424"/>
      <c r="T1193" s="434" t="s">
        <v>689</v>
      </c>
      <c r="U1193" s="434" t="s">
        <v>690</v>
      </c>
      <c r="V1193" s="436" t="n">
        <f aca="false">AY1198</f>
        <v>0</v>
      </c>
    </row>
    <row r="1194" customFormat="false" ht="13.5" hidden="false" customHeight="false" outlineLevel="0" collapsed="false">
      <c r="A1194" s="424"/>
      <c r="B1194" s="424"/>
      <c r="C1194" s="424"/>
      <c r="D1194" s="424"/>
      <c r="E1194" s="424"/>
      <c r="F1194" s="424"/>
      <c r="G1194" s="424"/>
      <c r="H1194" s="424"/>
      <c r="I1194" s="424"/>
      <c r="J1194" s="424"/>
      <c r="K1194" s="424"/>
      <c r="L1194" s="424"/>
      <c r="M1194" s="424"/>
      <c r="N1194" s="424"/>
      <c r="O1194" s="424"/>
      <c r="P1194" s="424"/>
      <c r="Q1194" s="435" t="n">
        <v>93</v>
      </c>
      <c r="R1194" s="434" t="s">
        <v>691</v>
      </c>
      <c r="S1194" s="424"/>
      <c r="T1194" s="434" t="s">
        <v>692</v>
      </c>
      <c r="U1194" s="434" t="s">
        <v>693</v>
      </c>
      <c r="V1194" s="436" t="n">
        <f aca="false">AY1199</f>
        <v>0</v>
      </c>
    </row>
    <row r="1195" customFormat="false" ht="13.5" hidden="false" customHeight="false" outlineLevel="0" collapsed="false">
      <c r="A1195" s="424"/>
      <c r="B1195" s="424"/>
      <c r="C1195" s="424"/>
      <c r="D1195" s="424"/>
      <c r="E1195" s="424"/>
      <c r="F1195" s="424"/>
      <c r="G1195" s="424"/>
      <c r="H1195" s="424"/>
      <c r="I1195" s="424"/>
      <c r="J1195" s="424"/>
      <c r="K1195" s="424"/>
      <c r="L1195" s="424"/>
      <c r="M1195" s="424"/>
      <c r="N1195" s="424"/>
      <c r="O1195" s="424"/>
      <c r="P1195" s="424"/>
      <c r="Q1195" s="435" t="n">
        <v>94</v>
      </c>
      <c r="R1195" s="434" t="s">
        <v>694</v>
      </c>
      <c r="S1195" s="424"/>
      <c r="T1195" s="434" t="s">
        <v>695</v>
      </c>
      <c r="U1195" s="434" t="s">
        <v>696</v>
      </c>
      <c r="V1195" s="436" t="n">
        <f aca="false">AY1200</f>
        <v>0</v>
      </c>
    </row>
    <row r="1196" customFormat="false" ht="13.5" hidden="false" customHeight="false" outlineLevel="0" collapsed="false">
      <c r="A1196" s="424"/>
      <c r="B1196" s="424"/>
      <c r="C1196" s="424"/>
      <c r="D1196" s="424"/>
      <c r="E1196" s="424"/>
      <c r="F1196" s="424"/>
      <c r="G1196" s="424"/>
      <c r="H1196" s="424"/>
      <c r="I1196" s="424"/>
      <c r="J1196" s="424"/>
      <c r="K1196" s="424"/>
      <c r="L1196" s="424"/>
      <c r="M1196" s="424"/>
      <c r="N1196" s="424"/>
      <c r="O1196" s="424"/>
      <c r="P1196" s="424"/>
      <c r="Q1196" s="435" t="n">
        <v>95</v>
      </c>
      <c r="R1196" s="434" t="s">
        <v>697</v>
      </c>
      <c r="S1196" s="424"/>
      <c r="T1196" s="434" t="s">
        <v>698</v>
      </c>
      <c r="U1196" s="434" t="s">
        <v>699</v>
      </c>
      <c r="V1196" s="436" t="n">
        <f aca="false">AY1201</f>
        <v>0</v>
      </c>
    </row>
    <row r="1197" customFormat="false" ht="13.5" hidden="false" customHeight="false" outlineLevel="0" collapsed="false">
      <c r="A1197" s="424"/>
      <c r="B1197" s="424"/>
      <c r="C1197" s="424"/>
      <c r="D1197" s="424"/>
      <c r="E1197" s="424"/>
      <c r="F1197" s="424"/>
      <c r="G1197" s="424"/>
      <c r="H1197" s="424"/>
      <c r="I1197" s="424"/>
      <c r="J1197" s="424"/>
      <c r="K1197" s="424"/>
      <c r="L1197" s="424"/>
      <c r="M1197" s="424"/>
      <c r="N1197" s="424"/>
      <c r="O1197" s="424"/>
      <c r="P1197" s="424"/>
      <c r="Q1197" s="435" t="n">
        <v>96</v>
      </c>
      <c r="R1197" s="434" t="s">
        <v>700</v>
      </c>
      <c r="S1197" s="424"/>
      <c r="T1197" s="434" t="s">
        <v>701</v>
      </c>
      <c r="U1197" s="434" t="s">
        <v>702</v>
      </c>
      <c r="V1197" s="436" t="n">
        <f aca="false">AY1202</f>
        <v>0</v>
      </c>
    </row>
    <row r="1198" customFormat="false" ht="13.5" hidden="false" customHeight="false" outlineLevel="0" collapsed="false">
      <c r="A1198" s="424"/>
      <c r="B1198" s="424"/>
      <c r="C1198" s="424"/>
      <c r="D1198" s="424"/>
      <c r="E1198" s="424"/>
      <c r="F1198" s="424"/>
      <c r="G1198" s="424"/>
      <c r="H1198" s="424"/>
      <c r="I1198" s="424"/>
      <c r="J1198" s="424"/>
      <c r="K1198" s="424"/>
      <c r="L1198" s="424"/>
      <c r="M1198" s="424"/>
      <c r="N1198" s="424"/>
      <c r="O1198" s="424"/>
      <c r="P1198" s="424"/>
      <c r="Q1198" s="435" t="n">
        <v>97</v>
      </c>
      <c r="R1198" s="434" t="s">
        <v>703</v>
      </c>
      <c r="S1198" s="424"/>
      <c r="T1198" s="434" t="s">
        <v>704</v>
      </c>
      <c r="U1198" s="434" t="s">
        <v>705</v>
      </c>
      <c r="V1198" s="436" t="n">
        <f aca="false">AY1203</f>
        <v>0</v>
      </c>
    </row>
    <row r="1199" customFormat="false" ht="13.5" hidden="false" customHeight="false" outlineLevel="0" collapsed="false">
      <c r="A1199" s="424"/>
      <c r="B1199" s="424"/>
      <c r="C1199" s="424"/>
      <c r="D1199" s="424"/>
      <c r="E1199" s="424"/>
      <c r="F1199" s="424"/>
      <c r="G1199" s="424"/>
      <c r="H1199" s="424"/>
      <c r="I1199" s="424"/>
      <c r="J1199" s="424"/>
      <c r="K1199" s="424"/>
      <c r="L1199" s="424"/>
      <c r="M1199" s="424"/>
      <c r="N1199" s="424"/>
      <c r="O1199" s="424"/>
      <c r="P1199" s="424"/>
      <c r="Q1199" s="435" t="n">
        <v>98</v>
      </c>
      <c r="R1199" s="434" t="s">
        <v>706</v>
      </c>
      <c r="S1199" s="424"/>
      <c r="T1199" s="434" t="s">
        <v>707</v>
      </c>
      <c r="U1199" s="434" t="s">
        <v>708</v>
      </c>
      <c r="V1199" s="436" t="n">
        <f aca="false">AY1204</f>
        <v>0</v>
      </c>
    </row>
    <row r="1200" customFormat="false" ht="13.5" hidden="false" customHeight="false" outlineLevel="0" collapsed="false">
      <c r="A1200" s="424"/>
      <c r="B1200" s="424"/>
      <c r="C1200" s="424"/>
      <c r="D1200" s="424"/>
      <c r="E1200" s="424"/>
      <c r="F1200" s="424"/>
      <c r="G1200" s="424"/>
      <c r="H1200" s="424"/>
      <c r="I1200" s="424"/>
      <c r="J1200" s="424"/>
      <c r="K1200" s="424"/>
      <c r="L1200" s="424"/>
      <c r="M1200" s="424"/>
      <c r="N1200" s="424"/>
      <c r="O1200" s="424"/>
      <c r="P1200" s="424"/>
      <c r="Q1200" s="435" t="n">
        <v>99</v>
      </c>
      <c r="R1200" s="434" t="s">
        <v>709</v>
      </c>
      <c r="S1200" s="424"/>
      <c r="T1200" s="434" t="s">
        <v>710</v>
      </c>
      <c r="U1200" s="434" t="s">
        <v>711</v>
      </c>
      <c r="V1200" s="436" t="n">
        <f aca="false">AY1205</f>
        <v>0</v>
      </c>
    </row>
    <row r="1201" customFormat="false" ht="13.5" hidden="false" customHeight="false" outlineLevel="0" collapsed="false">
      <c r="A1201" s="424"/>
      <c r="B1201" s="424"/>
      <c r="C1201" s="424"/>
      <c r="D1201" s="424"/>
      <c r="E1201" s="424"/>
      <c r="F1201" s="424"/>
      <c r="G1201" s="424"/>
      <c r="H1201" s="424"/>
      <c r="I1201" s="424"/>
      <c r="J1201" s="424"/>
      <c r="K1201" s="424"/>
      <c r="L1201" s="424"/>
      <c r="M1201" s="424"/>
      <c r="N1201" s="424"/>
      <c r="O1201" s="424"/>
      <c r="P1201" s="424"/>
      <c r="Q1201" s="424"/>
      <c r="R1201" s="424"/>
      <c r="S1201" s="424"/>
      <c r="T1201" s="424"/>
      <c r="U1201" s="424"/>
      <c r="V1201" s="436" t="n">
        <f aca="false">AY1206</f>
        <v>0</v>
      </c>
    </row>
    <row r="1202" customFormat="false" ht="13.5" hidden="false" customHeight="false" outlineLevel="0" collapsed="false">
      <c r="A1202" s="424"/>
      <c r="B1202" s="424"/>
      <c r="C1202" s="424"/>
      <c r="D1202" s="424"/>
      <c r="E1202" s="424"/>
      <c r="F1202" s="424"/>
      <c r="G1202" s="424"/>
      <c r="H1202" s="424"/>
      <c r="I1202" s="424"/>
      <c r="J1202" s="424"/>
      <c r="K1202" s="424"/>
      <c r="L1202" s="424"/>
      <c r="M1202" s="424"/>
      <c r="N1202" s="424"/>
      <c r="O1202" s="424"/>
      <c r="P1202" s="424"/>
      <c r="Q1202" s="424"/>
      <c r="R1202" s="424"/>
      <c r="S1202" s="424"/>
      <c r="T1202" s="424"/>
      <c r="U1202" s="424"/>
      <c r="V1202" s="436" t="n">
        <f aca="false">AY1207</f>
        <v>0</v>
      </c>
    </row>
    <row r="1203" customFormat="false" ht="13.5" hidden="false" customHeight="false" outlineLevel="0" collapsed="false">
      <c r="A1203" s="424"/>
      <c r="B1203" s="424"/>
      <c r="C1203" s="424"/>
      <c r="D1203" s="424"/>
      <c r="E1203" s="424"/>
      <c r="F1203" s="424"/>
      <c r="G1203" s="424"/>
      <c r="H1203" s="424"/>
      <c r="I1203" s="424"/>
      <c r="J1203" s="424"/>
      <c r="K1203" s="424"/>
      <c r="L1203" s="424"/>
      <c r="M1203" s="424"/>
      <c r="N1203" s="424"/>
      <c r="O1203" s="424"/>
      <c r="P1203" s="424"/>
      <c r="Q1203" s="424"/>
      <c r="R1203" s="424"/>
      <c r="S1203" s="424"/>
      <c r="T1203" s="424"/>
      <c r="U1203" s="424"/>
      <c r="V1203" s="436" t="n">
        <f aca="false">AY1208</f>
        <v>0</v>
      </c>
    </row>
    <row r="1204" customFormat="false" ht="13.5" hidden="false" customHeight="false" outlineLevel="0" collapsed="false">
      <c r="A1204" s="424"/>
      <c r="B1204" s="424"/>
      <c r="C1204" s="424"/>
      <c r="D1204" s="424"/>
      <c r="E1204" s="424"/>
      <c r="F1204" s="424"/>
      <c r="G1204" s="424"/>
      <c r="H1204" s="424"/>
      <c r="I1204" s="424"/>
      <c r="J1204" s="424"/>
      <c r="K1204" s="424"/>
      <c r="L1204" s="424"/>
      <c r="M1204" s="424"/>
      <c r="N1204" s="424"/>
      <c r="O1204" s="424"/>
      <c r="P1204" s="424"/>
      <c r="Q1204" s="424"/>
      <c r="R1204" s="424"/>
      <c r="S1204" s="424"/>
      <c r="T1204" s="424"/>
      <c r="U1204" s="424"/>
      <c r="V1204" s="436" t="n">
        <f aca="false">AY1209</f>
        <v>0</v>
      </c>
    </row>
    <row r="1205" customFormat="false" ht="13.5" hidden="false" customHeight="false" outlineLevel="0" collapsed="false">
      <c r="A1205" s="424"/>
      <c r="B1205" s="424"/>
      <c r="C1205" s="424"/>
      <c r="D1205" s="424"/>
      <c r="E1205" s="424"/>
      <c r="F1205" s="424"/>
      <c r="G1205" s="424"/>
      <c r="H1205" s="424"/>
      <c r="I1205" s="424"/>
      <c r="J1205" s="424"/>
      <c r="K1205" s="424"/>
      <c r="L1205" s="424"/>
      <c r="M1205" s="424"/>
      <c r="N1205" s="424"/>
      <c r="O1205" s="424"/>
      <c r="P1205" s="424"/>
      <c r="Q1205" s="424"/>
      <c r="R1205" s="424"/>
      <c r="S1205" s="424"/>
      <c r="T1205" s="424"/>
      <c r="U1205" s="424"/>
      <c r="V1205" s="436" t="n">
        <f aca="false">AY1210</f>
        <v>0</v>
      </c>
    </row>
    <row r="1206" customFormat="false" ht="13.5" hidden="false" customHeight="false" outlineLevel="0" collapsed="false">
      <c r="A1206" s="424"/>
      <c r="B1206" s="424"/>
      <c r="C1206" s="424"/>
      <c r="D1206" s="424"/>
      <c r="E1206" s="424"/>
      <c r="F1206" s="424"/>
      <c r="G1206" s="424"/>
      <c r="H1206" s="424"/>
      <c r="I1206" s="424"/>
      <c r="J1206" s="424"/>
      <c r="K1206" s="424"/>
      <c r="L1206" s="424"/>
      <c r="M1206" s="424"/>
      <c r="N1206" s="424"/>
      <c r="O1206" s="424"/>
      <c r="P1206" s="424"/>
      <c r="Q1206" s="424"/>
      <c r="R1206" s="424"/>
      <c r="S1206" s="424"/>
      <c r="T1206" s="424"/>
      <c r="U1206" s="424"/>
      <c r="V1206" s="436" t="n">
        <f aca="false">AY1211</f>
        <v>0</v>
      </c>
    </row>
    <row r="1207" customFormat="false" ht="13.5" hidden="false" customHeight="false" outlineLevel="0" collapsed="false">
      <c r="A1207" s="424"/>
      <c r="B1207" s="424"/>
      <c r="C1207" s="424"/>
      <c r="D1207" s="424"/>
      <c r="E1207" s="424"/>
      <c r="F1207" s="424"/>
      <c r="G1207" s="424"/>
      <c r="H1207" s="424"/>
      <c r="I1207" s="424"/>
      <c r="J1207" s="424"/>
      <c r="K1207" s="424"/>
      <c r="L1207" s="424"/>
      <c r="M1207" s="424"/>
      <c r="N1207" s="424"/>
      <c r="O1207" s="424"/>
      <c r="P1207" s="424"/>
      <c r="Q1207" s="424"/>
      <c r="R1207" s="424"/>
      <c r="S1207" s="424"/>
      <c r="T1207" s="424"/>
      <c r="U1207" s="424"/>
      <c r="V1207" s="436" t="n">
        <f aca="false">AY1212</f>
        <v>0</v>
      </c>
    </row>
    <row r="1208" customFormat="false" ht="13.5" hidden="false" customHeight="false" outlineLevel="0" collapsed="false">
      <c r="A1208" s="424"/>
      <c r="B1208" s="424"/>
      <c r="C1208" s="424"/>
      <c r="D1208" s="424"/>
      <c r="E1208" s="424"/>
      <c r="F1208" s="424"/>
      <c r="G1208" s="424"/>
      <c r="H1208" s="424"/>
      <c r="I1208" s="424"/>
      <c r="J1208" s="424"/>
      <c r="K1208" s="424"/>
      <c r="L1208" s="424"/>
      <c r="M1208" s="424"/>
      <c r="N1208" s="424"/>
      <c r="O1208" s="424"/>
      <c r="P1208" s="424"/>
      <c r="Q1208" s="424"/>
      <c r="R1208" s="424"/>
      <c r="S1208" s="424"/>
      <c r="T1208" s="424"/>
      <c r="U1208" s="424"/>
      <c r="V1208" s="436" t="n">
        <f aca="false">AY1213</f>
        <v>0</v>
      </c>
    </row>
    <row r="1209" customFormat="false" ht="13.5" hidden="false" customHeight="false" outlineLevel="0" collapsed="false">
      <c r="A1209" s="424"/>
      <c r="B1209" s="424"/>
      <c r="C1209" s="424"/>
      <c r="D1209" s="424"/>
      <c r="E1209" s="424"/>
      <c r="F1209" s="424"/>
      <c r="G1209" s="424"/>
      <c r="H1209" s="424"/>
      <c r="I1209" s="424"/>
      <c r="J1209" s="424"/>
      <c r="K1209" s="424"/>
      <c r="L1209" s="424"/>
      <c r="M1209" s="424"/>
      <c r="N1209" s="424"/>
      <c r="O1209" s="424"/>
      <c r="P1209" s="424"/>
      <c r="Q1209" s="424"/>
      <c r="R1209" s="424"/>
      <c r="S1209" s="424"/>
      <c r="T1209" s="424"/>
      <c r="U1209" s="424"/>
      <c r="V1209" s="436" t="n">
        <f aca="false">AY1214</f>
        <v>0</v>
      </c>
    </row>
    <row r="1210" customFormat="false" ht="13.5" hidden="false" customHeight="false" outlineLevel="0" collapsed="false">
      <c r="A1210" s="424"/>
      <c r="B1210" s="424"/>
      <c r="C1210" s="424"/>
      <c r="D1210" s="424"/>
      <c r="E1210" s="424"/>
      <c r="F1210" s="424"/>
      <c r="G1210" s="424"/>
      <c r="H1210" s="424"/>
      <c r="I1210" s="424"/>
      <c r="J1210" s="424"/>
      <c r="K1210" s="424"/>
      <c r="L1210" s="424"/>
      <c r="M1210" s="424"/>
      <c r="N1210" s="424"/>
      <c r="O1210" s="424"/>
      <c r="P1210" s="424"/>
      <c r="Q1210" s="424"/>
      <c r="R1210" s="424"/>
      <c r="S1210" s="424"/>
      <c r="T1210" s="424"/>
      <c r="U1210" s="424"/>
      <c r="V1210" s="436" t="n">
        <f aca="false">AY1215</f>
        <v>0</v>
      </c>
    </row>
    <row r="1211" customFormat="false" ht="13.5" hidden="false" customHeight="false" outlineLevel="0" collapsed="false">
      <c r="A1211" s="424"/>
      <c r="B1211" s="424"/>
      <c r="C1211" s="424"/>
      <c r="D1211" s="424"/>
      <c r="E1211" s="424"/>
      <c r="F1211" s="424"/>
      <c r="G1211" s="424"/>
      <c r="H1211" s="424"/>
      <c r="I1211" s="424"/>
      <c r="J1211" s="424"/>
      <c r="K1211" s="424"/>
      <c r="L1211" s="424"/>
      <c r="M1211" s="424"/>
      <c r="N1211" s="424"/>
      <c r="O1211" s="424"/>
      <c r="P1211" s="424"/>
      <c r="Q1211" s="424"/>
      <c r="R1211" s="424"/>
      <c r="S1211" s="424"/>
      <c r="T1211" s="424"/>
      <c r="U1211" s="424"/>
      <c r="V1211" s="436" t="n">
        <f aca="false">AY1216</f>
        <v>0</v>
      </c>
    </row>
    <row r="1212" customFormat="false" ht="13.5" hidden="false" customHeight="false" outlineLevel="0" collapsed="false">
      <c r="A1212" s="424"/>
      <c r="B1212" s="424"/>
      <c r="C1212" s="424"/>
      <c r="D1212" s="424"/>
      <c r="E1212" s="424"/>
      <c r="F1212" s="424"/>
      <c r="G1212" s="424"/>
      <c r="H1212" s="424"/>
      <c r="I1212" s="424"/>
      <c r="J1212" s="424"/>
      <c r="K1212" s="424"/>
      <c r="L1212" s="424"/>
      <c r="M1212" s="424"/>
      <c r="N1212" s="424"/>
      <c r="O1212" s="424"/>
      <c r="P1212" s="424"/>
      <c r="Q1212" s="424"/>
      <c r="R1212" s="424"/>
      <c r="S1212" s="424"/>
      <c r="T1212" s="424"/>
      <c r="U1212" s="424"/>
      <c r="V1212" s="436" t="n">
        <f aca="false">AY1217</f>
        <v>0</v>
      </c>
    </row>
    <row r="1213" customFormat="false" ht="13.5" hidden="false" customHeight="false" outlineLevel="0" collapsed="false">
      <c r="A1213" s="424"/>
      <c r="B1213" s="424"/>
      <c r="C1213" s="424"/>
      <c r="D1213" s="424"/>
      <c r="E1213" s="424"/>
      <c r="F1213" s="424"/>
      <c r="G1213" s="424"/>
      <c r="H1213" s="424"/>
      <c r="I1213" s="424"/>
      <c r="J1213" s="424"/>
      <c r="K1213" s="424"/>
      <c r="L1213" s="424"/>
      <c r="M1213" s="424"/>
      <c r="N1213" s="424"/>
      <c r="O1213" s="424"/>
      <c r="P1213" s="424"/>
      <c r="Q1213" s="424"/>
      <c r="R1213" s="424"/>
      <c r="S1213" s="424"/>
      <c r="T1213" s="424"/>
      <c r="U1213" s="424"/>
      <c r="V1213" s="436" t="n">
        <f aca="false">AY1218</f>
        <v>0</v>
      </c>
    </row>
    <row r="1214" customFormat="false" ht="13.5" hidden="false" customHeight="false" outlineLevel="0" collapsed="false">
      <c r="A1214" s="424"/>
      <c r="B1214" s="424"/>
      <c r="C1214" s="424"/>
      <c r="D1214" s="424"/>
      <c r="E1214" s="424"/>
      <c r="F1214" s="424"/>
      <c r="G1214" s="424"/>
      <c r="H1214" s="424"/>
      <c r="I1214" s="424"/>
      <c r="J1214" s="424"/>
      <c r="K1214" s="424"/>
      <c r="L1214" s="424"/>
      <c r="M1214" s="424"/>
      <c r="N1214" s="424"/>
      <c r="O1214" s="424"/>
      <c r="P1214" s="424"/>
      <c r="Q1214" s="424"/>
      <c r="R1214" s="424"/>
      <c r="S1214" s="424"/>
      <c r="T1214" s="424"/>
      <c r="U1214" s="424"/>
      <c r="V1214" s="436" t="n">
        <f aca="false">AY1219</f>
        <v>0</v>
      </c>
    </row>
    <row r="1215" customFormat="false" ht="13.5" hidden="false" customHeight="false" outlineLevel="0" collapsed="false">
      <c r="A1215" s="424"/>
      <c r="B1215" s="424"/>
      <c r="C1215" s="424"/>
      <c r="D1215" s="424"/>
      <c r="E1215" s="424"/>
      <c r="F1215" s="424"/>
      <c r="G1215" s="424"/>
      <c r="H1215" s="424"/>
      <c r="I1215" s="424"/>
      <c r="J1215" s="424"/>
      <c r="K1215" s="424"/>
      <c r="L1215" s="424"/>
      <c r="M1215" s="424"/>
      <c r="N1215" s="424"/>
      <c r="O1215" s="424"/>
      <c r="P1215" s="424"/>
      <c r="Q1215" s="424"/>
      <c r="R1215" s="424"/>
      <c r="S1215" s="424"/>
      <c r="T1215" s="424"/>
      <c r="U1215" s="424"/>
      <c r="V1215" s="436" t="n">
        <f aca="false">AY1220</f>
        <v>0</v>
      </c>
    </row>
    <row r="1216" customFormat="false" ht="13.5" hidden="false" customHeight="false" outlineLevel="0" collapsed="false">
      <c r="A1216" s="424"/>
      <c r="B1216" s="424"/>
      <c r="C1216" s="424"/>
      <c r="D1216" s="424"/>
      <c r="E1216" s="424"/>
      <c r="F1216" s="424"/>
      <c r="G1216" s="424"/>
      <c r="H1216" s="424"/>
      <c r="I1216" s="424"/>
      <c r="J1216" s="424"/>
      <c r="K1216" s="424"/>
      <c r="L1216" s="424"/>
      <c r="M1216" s="424"/>
      <c r="N1216" s="424"/>
      <c r="O1216" s="424"/>
      <c r="P1216" s="424"/>
      <c r="Q1216" s="424"/>
      <c r="R1216" s="424"/>
      <c r="S1216" s="424"/>
      <c r="T1216" s="424"/>
      <c r="U1216" s="424"/>
      <c r="V1216" s="436" t="n">
        <f aca="false">AY1221</f>
        <v>0</v>
      </c>
    </row>
    <row r="1217" customFormat="false" ht="13.5" hidden="false" customHeight="false" outlineLevel="0" collapsed="false">
      <c r="A1217" s="424"/>
      <c r="B1217" s="424"/>
      <c r="C1217" s="424"/>
      <c r="D1217" s="424"/>
      <c r="E1217" s="424"/>
      <c r="F1217" s="424"/>
      <c r="G1217" s="424"/>
      <c r="H1217" s="424"/>
      <c r="I1217" s="424"/>
      <c r="J1217" s="424"/>
      <c r="K1217" s="424"/>
      <c r="L1217" s="424"/>
      <c r="M1217" s="424"/>
      <c r="N1217" s="424"/>
      <c r="O1217" s="424"/>
      <c r="P1217" s="424"/>
      <c r="Q1217" s="424"/>
      <c r="R1217" s="424"/>
      <c r="S1217" s="424"/>
      <c r="T1217" s="424"/>
      <c r="U1217" s="424"/>
      <c r="V1217" s="436" t="n">
        <f aca="false">AY1222</f>
        <v>0</v>
      </c>
    </row>
    <row r="1218" customFormat="false" ht="13.5" hidden="false" customHeight="false" outlineLevel="0" collapsed="false">
      <c r="A1218" s="424"/>
      <c r="B1218" s="424"/>
      <c r="C1218" s="424"/>
      <c r="D1218" s="424"/>
      <c r="E1218" s="424"/>
      <c r="F1218" s="424"/>
      <c r="G1218" s="424"/>
      <c r="H1218" s="424"/>
      <c r="I1218" s="424"/>
      <c r="J1218" s="424"/>
      <c r="K1218" s="424"/>
      <c r="L1218" s="424"/>
      <c r="M1218" s="424"/>
      <c r="N1218" s="424"/>
      <c r="O1218" s="424"/>
      <c r="P1218" s="424"/>
      <c r="Q1218" s="424"/>
      <c r="R1218" s="424"/>
      <c r="S1218" s="424"/>
      <c r="T1218" s="424"/>
      <c r="U1218" s="424"/>
      <c r="V1218" s="436" t="n">
        <f aca="false">AY1223</f>
        <v>0</v>
      </c>
    </row>
    <row r="1219" customFormat="false" ht="13.5" hidden="false" customHeight="false" outlineLevel="0" collapsed="false">
      <c r="A1219" s="424"/>
      <c r="B1219" s="424"/>
      <c r="C1219" s="424"/>
      <c r="D1219" s="424"/>
      <c r="E1219" s="424"/>
      <c r="F1219" s="424"/>
      <c r="G1219" s="424"/>
      <c r="H1219" s="424"/>
      <c r="I1219" s="424"/>
      <c r="J1219" s="424"/>
      <c r="K1219" s="424"/>
      <c r="L1219" s="424"/>
      <c r="M1219" s="424"/>
      <c r="N1219" s="424"/>
      <c r="O1219" s="424"/>
      <c r="P1219" s="424"/>
      <c r="Q1219" s="424"/>
      <c r="R1219" s="424"/>
      <c r="S1219" s="424"/>
      <c r="T1219" s="424"/>
      <c r="U1219" s="424"/>
      <c r="V1219" s="424"/>
    </row>
    <row r="1220" customFormat="false" ht="13.5" hidden="false" customHeight="false" outlineLevel="0" collapsed="false">
      <c r="A1220" s="424"/>
      <c r="B1220" s="424"/>
      <c r="C1220" s="424"/>
      <c r="D1220" s="424"/>
      <c r="E1220" s="424"/>
      <c r="F1220" s="424"/>
      <c r="G1220" s="424"/>
      <c r="H1220" s="424"/>
      <c r="I1220" s="424"/>
      <c r="J1220" s="424"/>
      <c r="K1220" s="424"/>
      <c r="L1220" s="424"/>
      <c r="M1220" s="424"/>
      <c r="N1220" s="424"/>
      <c r="O1220" s="424"/>
      <c r="P1220" s="424"/>
      <c r="Q1220" s="424"/>
      <c r="R1220" s="424"/>
      <c r="S1220" s="424"/>
      <c r="T1220" s="424"/>
      <c r="U1220" s="424"/>
      <c r="V1220" s="424"/>
    </row>
    <row r="1221" customFormat="false" ht="13.5" hidden="false" customHeight="false" outlineLevel="0" collapsed="false">
      <c r="A1221" s="424"/>
      <c r="B1221" s="424"/>
      <c r="C1221" s="424"/>
      <c r="D1221" s="424"/>
      <c r="E1221" s="424"/>
      <c r="F1221" s="424"/>
      <c r="G1221" s="424"/>
      <c r="H1221" s="424"/>
      <c r="I1221" s="424"/>
      <c r="J1221" s="424"/>
      <c r="K1221" s="424"/>
      <c r="L1221" s="424"/>
      <c r="M1221" s="424"/>
      <c r="N1221" s="424"/>
      <c r="O1221" s="424"/>
      <c r="P1221" s="424"/>
      <c r="Q1221" s="424"/>
      <c r="R1221" s="434" t="s">
        <v>400</v>
      </c>
      <c r="S1221" s="424"/>
      <c r="T1221" s="424"/>
      <c r="U1221" s="424"/>
      <c r="V1221" s="435" t="n">
        <f aca="false">SUM(V1223:V1255)</f>
        <v>0</v>
      </c>
    </row>
    <row r="1222" customFormat="false" ht="13.5" hidden="false" customHeight="false" outlineLevel="0" collapsed="false">
      <c r="A1222" s="424"/>
      <c r="B1222" s="424"/>
      <c r="C1222" s="424"/>
      <c r="D1222" s="424"/>
      <c r="E1222" s="424"/>
      <c r="F1222" s="424"/>
      <c r="G1222" s="424"/>
      <c r="H1222" s="424"/>
      <c r="I1222" s="424"/>
      <c r="J1222" s="424"/>
      <c r="K1222" s="424"/>
      <c r="L1222" s="424"/>
      <c r="M1222" s="424"/>
      <c r="N1222" s="424"/>
      <c r="O1222" s="424"/>
      <c r="P1222" s="424"/>
      <c r="Q1222" s="435" t="n">
        <v>0</v>
      </c>
      <c r="R1222" s="424"/>
      <c r="S1222" s="435" t="n">
        <v>0</v>
      </c>
      <c r="T1222" s="424"/>
      <c r="U1222" s="424"/>
      <c r="V1222" s="436" t="n">
        <f aca="false">AY1222</f>
        <v>0</v>
      </c>
    </row>
    <row r="1223" customFormat="false" ht="13.5" hidden="false" customHeight="false" outlineLevel="0" collapsed="false">
      <c r="A1223" s="424"/>
      <c r="B1223" s="424"/>
      <c r="C1223" s="424"/>
      <c r="D1223" s="424"/>
      <c r="E1223" s="424"/>
      <c r="F1223" s="424"/>
      <c r="G1223" s="424"/>
      <c r="H1223" s="424"/>
      <c r="I1223" s="424"/>
      <c r="J1223" s="424"/>
      <c r="K1223" s="424"/>
      <c r="L1223" s="424"/>
      <c r="M1223" s="424"/>
      <c r="N1223" s="424"/>
      <c r="O1223" s="424"/>
      <c r="P1223" s="424"/>
      <c r="Q1223" s="435" t="n">
        <v>1</v>
      </c>
      <c r="R1223" s="434" t="s">
        <v>401</v>
      </c>
      <c r="S1223" s="434" t="s">
        <v>402</v>
      </c>
      <c r="T1223" s="434" t="s">
        <v>403</v>
      </c>
      <c r="U1223" s="434" t="s">
        <v>404</v>
      </c>
      <c r="V1223" s="436" t="n">
        <f aca="false">AY1223</f>
        <v>0</v>
      </c>
    </row>
    <row r="1224" customFormat="false" ht="13.5" hidden="false" customHeight="false" outlineLevel="0" collapsed="false">
      <c r="A1224" s="424"/>
      <c r="B1224" s="424"/>
      <c r="C1224" s="424"/>
      <c r="D1224" s="424"/>
      <c r="E1224" s="424"/>
      <c r="F1224" s="424"/>
      <c r="G1224" s="424"/>
      <c r="H1224" s="424"/>
      <c r="I1224" s="424"/>
      <c r="J1224" s="424"/>
      <c r="K1224" s="424"/>
      <c r="L1224" s="424"/>
      <c r="M1224" s="424"/>
      <c r="N1224" s="424"/>
      <c r="O1224" s="424"/>
      <c r="P1224" s="424"/>
      <c r="Q1224" s="435" t="n">
        <v>2</v>
      </c>
      <c r="R1224" s="434" t="s">
        <v>405</v>
      </c>
      <c r="S1224" s="434" t="s">
        <v>406</v>
      </c>
      <c r="T1224" s="434" t="s">
        <v>407</v>
      </c>
      <c r="U1224" s="434" t="s">
        <v>408</v>
      </c>
      <c r="V1224" s="436" t="n">
        <f aca="false">AY1224</f>
        <v>0</v>
      </c>
    </row>
    <row r="1225" customFormat="false" ht="13.5" hidden="false" customHeight="false" outlineLevel="0" collapsed="false">
      <c r="A1225" s="424"/>
      <c r="B1225" s="424"/>
      <c r="C1225" s="424"/>
      <c r="D1225" s="424"/>
      <c r="E1225" s="424"/>
      <c r="F1225" s="424"/>
      <c r="G1225" s="424"/>
      <c r="H1225" s="424"/>
      <c r="I1225" s="424"/>
      <c r="J1225" s="424"/>
      <c r="K1225" s="424"/>
      <c r="L1225" s="424"/>
      <c r="M1225" s="424"/>
      <c r="N1225" s="424"/>
      <c r="O1225" s="424"/>
      <c r="P1225" s="424"/>
      <c r="Q1225" s="435" t="n">
        <v>3</v>
      </c>
      <c r="R1225" s="434" t="s">
        <v>409</v>
      </c>
      <c r="S1225" s="434" t="s">
        <v>410</v>
      </c>
      <c r="T1225" s="434" t="s">
        <v>411</v>
      </c>
      <c r="U1225" s="434" t="s">
        <v>412</v>
      </c>
      <c r="V1225" s="436" t="n">
        <f aca="false">AY1225</f>
        <v>0</v>
      </c>
    </row>
    <row r="1226" customFormat="false" ht="13.5" hidden="false" customHeight="false" outlineLevel="0" collapsed="false">
      <c r="A1226" s="424"/>
      <c r="B1226" s="424"/>
      <c r="C1226" s="424"/>
      <c r="D1226" s="424"/>
      <c r="E1226" s="424"/>
      <c r="F1226" s="424"/>
      <c r="G1226" s="424"/>
      <c r="H1226" s="424"/>
      <c r="I1226" s="424"/>
      <c r="J1226" s="424"/>
      <c r="K1226" s="424"/>
      <c r="L1226" s="424"/>
      <c r="M1226" s="424"/>
      <c r="N1226" s="424"/>
      <c r="O1226" s="424"/>
      <c r="P1226" s="424"/>
      <c r="Q1226" s="435" t="n">
        <v>4</v>
      </c>
      <c r="R1226" s="434" t="s">
        <v>413</v>
      </c>
      <c r="S1226" s="434" t="s">
        <v>414</v>
      </c>
      <c r="T1226" s="434" t="s">
        <v>415</v>
      </c>
      <c r="U1226" s="434" t="s">
        <v>416</v>
      </c>
      <c r="V1226" s="436" t="n">
        <f aca="false">AY1226</f>
        <v>0</v>
      </c>
    </row>
    <row r="1227" customFormat="false" ht="13.5" hidden="false" customHeight="false" outlineLevel="0" collapsed="false">
      <c r="A1227" s="424"/>
      <c r="B1227" s="424"/>
      <c r="C1227" s="424"/>
      <c r="D1227" s="424"/>
      <c r="E1227" s="424"/>
      <c r="F1227" s="424"/>
      <c r="G1227" s="424"/>
      <c r="H1227" s="424"/>
      <c r="I1227" s="424"/>
      <c r="J1227" s="424"/>
      <c r="K1227" s="424"/>
      <c r="L1227" s="424"/>
      <c r="M1227" s="424"/>
      <c r="N1227" s="424"/>
      <c r="O1227" s="424"/>
      <c r="P1227" s="438" t="s">
        <v>417</v>
      </c>
      <c r="Q1227" s="435" t="n">
        <v>5</v>
      </c>
      <c r="R1227" s="434" t="s">
        <v>418</v>
      </c>
      <c r="S1227" s="434" t="s">
        <v>419</v>
      </c>
      <c r="T1227" s="434" t="s">
        <v>420</v>
      </c>
      <c r="U1227" s="434" t="s">
        <v>421</v>
      </c>
      <c r="V1227" s="436" t="n">
        <f aca="false">AY1227</f>
        <v>0</v>
      </c>
    </row>
    <row r="1228" customFormat="false" ht="13.5" hidden="false" customHeight="false" outlineLevel="0" collapsed="false">
      <c r="A1228" s="424"/>
      <c r="B1228" s="424"/>
      <c r="C1228" s="424"/>
      <c r="D1228" s="424"/>
      <c r="E1228" s="424"/>
      <c r="F1228" s="424"/>
      <c r="G1228" s="424"/>
      <c r="H1228" s="424"/>
      <c r="I1228" s="424"/>
      <c r="J1228" s="424"/>
      <c r="K1228" s="424"/>
      <c r="L1228" s="424"/>
      <c r="M1228" s="424"/>
      <c r="N1228" s="424"/>
      <c r="O1228" s="424"/>
      <c r="P1228" s="438" t="s">
        <v>417</v>
      </c>
      <c r="Q1228" s="435" t="n">
        <v>6</v>
      </c>
      <c r="R1228" s="434" t="s">
        <v>422</v>
      </c>
      <c r="S1228" s="434" t="s">
        <v>423</v>
      </c>
      <c r="T1228" s="434" t="s">
        <v>424</v>
      </c>
      <c r="U1228" s="434" t="s">
        <v>425</v>
      </c>
      <c r="V1228" s="436" t="n">
        <f aca="false">AY1228</f>
        <v>0</v>
      </c>
    </row>
    <row r="1229" customFormat="false" ht="13.5" hidden="false" customHeight="false" outlineLevel="0" collapsed="false">
      <c r="A1229" s="424"/>
      <c r="B1229" s="424"/>
      <c r="C1229" s="424"/>
      <c r="D1229" s="424"/>
      <c r="E1229" s="424"/>
      <c r="F1229" s="424"/>
      <c r="G1229" s="424"/>
      <c r="H1229" s="424"/>
      <c r="I1229" s="424"/>
      <c r="J1229" s="424"/>
      <c r="K1229" s="424"/>
      <c r="L1229" s="424"/>
      <c r="M1229" s="424"/>
      <c r="N1229" s="424"/>
      <c r="O1229" s="424"/>
      <c r="P1229" s="438" t="s">
        <v>417</v>
      </c>
      <c r="Q1229" s="435" t="n">
        <v>7</v>
      </c>
      <c r="R1229" s="434" t="s">
        <v>426</v>
      </c>
      <c r="S1229" s="434" t="s">
        <v>427</v>
      </c>
      <c r="T1229" s="434" t="s">
        <v>428</v>
      </c>
      <c r="U1229" s="434" t="s">
        <v>429</v>
      </c>
      <c r="V1229" s="436" t="n">
        <f aca="false">AY1229</f>
        <v>0</v>
      </c>
    </row>
    <row r="1230" customFormat="false" ht="13.5" hidden="false" customHeight="false" outlineLevel="0" collapsed="false">
      <c r="A1230" s="424"/>
      <c r="B1230" s="424"/>
      <c r="C1230" s="424"/>
      <c r="D1230" s="424"/>
      <c r="E1230" s="424"/>
      <c r="F1230" s="424"/>
      <c r="G1230" s="424"/>
      <c r="H1230" s="424"/>
      <c r="I1230" s="424"/>
      <c r="J1230" s="424"/>
      <c r="K1230" s="424"/>
      <c r="L1230" s="424"/>
      <c r="M1230" s="424"/>
      <c r="N1230" s="424"/>
      <c r="O1230" s="424"/>
      <c r="P1230" s="438" t="s">
        <v>417</v>
      </c>
      <c r="Q1230" s="435" t="n">
        <v>8</v>
      </c>
      <c r="R1230" s="434" t="s">
        <v>430</v>
      </c>
      <c r="S1230" s="434" t="s">
        <v>431</v>
      </c>
      <c r="T1230" s="434" t="s">
        <v>432</v>
      </c>
      <c r="U1230" s="434" t="s">
        <v>433</v>
      </c>
      <c r="V1230" s="436" t="n">
        <f aca="false">AY1230</f>
        <v>0</v>
      </c>
    </row>
    <row r="1231" customFormat="false" ht="13.5" hidden="false" customHeight="false" outlineLevel="0" collapsed="false">
      <c r="A1231" s="424"/>
      <c r="B1231" s="424"/>
      <c r="C1231" s="424"/>
      <c r="D1231" s="424"/>
      <c r="E1231" s="424"/>
      <c r="F1231" s="424"/>
      <c r="G1231" s="424"/>
      <c r="H1231" s="424"/>
      <c r="I1231" s="424"/>
      <c r="J1231" s="424"/>
      <c r="K1231" s="424"/>
      <c r="L1231" s="424"/>
      <c r="M1231" s="424"/>
      <c r="N1231" s="424"/>
      <c r="O1231" s="424"/>
      <c r="P1231" s="438" t="s">
        <v>417</v>
      </c>
      <c r="Q1231" s="435" t="n">
        <v>9</v>
      </c>
      <c r="R1231" s="434" t="s">
        <v>434</v>
      </c>
      <c r="S1231" s="434" t="s">
        <v>435</v>
      </c>
      <c r="T1231" s="434" t="s">
        <v>436</v>
      </c>
      <c r="U1231" s="434" t="s">
        <v>437</v>
      </c>
      <c r="V1231" s="436" t="n">
        <f aca="false">AY1231</f>
        <v>0</v>
      </c>
    </row>
    <row r="1232" customFormat="false" ht="13.5" hidden="false" customHeight="false" outlineLevel="0" collapsed="false">
      <c r="A1232" s="424"/>
      <c r="B1232" s="424"/>
      <c r="C1232" s="424"/>
      <c r="D1232" s="424"/>
      <c r="E1232" s="424"/>
      <c r="F1232" s="424"/>
      <c r="G1232" s="424"/>
      <c r="H1232" s="424"/>
      <c r="I1232" s="424"/>
      <c r="J1232" s="424"/>
      <c r="K1232" s="424"/>
      <c r="L1232" s="424"/>
      <c r="M1232" s="424"/>
      <c r="N1232" s="424"/>
      <c r="O1232" s="424"/>
      <c r="P1232" s="438" t="s">
        <v>417</v>
      </c>
      <c r="Q1232" s="435" t="n">
        <v>10</v>
      </c>
      <c r="R1232" s="434" t="s">
        <v>438</v>
      </c>
      <c r="S1232" s="424"/>
      <c r="T1232" s="434" t="s">
        <v>439</v>
      </c>
      <c r="U1232" s="434" t="s">
        <v>440</v>
      </c>
      <c r="V1232" s="436" t="n">
        <f aca="false">AY1232</f>
        <v>0</v>
      </c>
    </row>
    <row r="1233" customFormat="false" ht="13.5" hidden="false" customHeight="false" outlineLevel="0" collapsed="false">
      <c r="A1233" s="424"/>
      <c r="B1233" s="424"/>
      <c r="C1233" s="424"/>
      <c r="D1233" s="424"/>
      <c r="E1233" s="424"/>
      <c r="F1233" s="435" t="n">
        <f aca="false">TRUNC(+A1235/1000000)</f>
        <v>0</v>
      </c>
      <c r="G1233" s="424"/>
      <c r="H1233" s="424"/>
      <c r="I1233" s="424"/>
      <c r="J1233" s="424"/>
      <c r="K1233" s="424"/>
      <c r="L1233" s="424"/>
      <c r="M1233" s="424"/>
      <c r="N1233" s="424"/>
      <c r="O1233" s="424"/>
      <c r="P1233" s="438" t="s">
        <v>417</v>
      </c>
      <c r="Q1233" s="435" t="n">
        <v>11</v>
      </c>
      <c r="R1233" s="434" t="s">
        <v>441</v>
      </c>
      <c r="S1233" s="424"/>
      <c r="T1233" s="434" t="s">
        <v>442</v>
      </c>
      <c r="U1233" s="434" t="s">
        <v>443</v>
      </c>
      <c r="V1233" s="436" t="n">
        <f aca="false">AY1233</f>
        <v>0</v>
      </c>
    </row>
    <row r="1234" customFormat="false" ht="13.5" hidden="false" customHeight="false" outlineLevel="0" collapsed="false">
      <c r="A1234" s="424"/>
      <c r="B1234" s="424"/>
      <c r="C1234" s="424"/>
      <c r="D1234" s="424"/>
      <c r="E1234" s="424"/>
      <c r="F1234" s="435" t="e">
        <f aca="false">(+B1238*100000+C1238*1000+E1238*100)</f>
        <v>#VALUE!</v>
      </c>
      <c r="G1234" s="424"/>
      <c r="H1234" s="424"/>
      <c r="I1234" s="424"/>
      <c r="J1234" s="424"/>
      <c r="K1234" s="424"/>
      <c r="L1234" s="434" t="s">
        <v>444</v>
      </c>
      <c r="M1234" s="424"/>
      <c r="N1234" s="424"/>
      <c r="O1234" s="424"/>
      <c r="P1234" s="438" t="s">
        <v>417</v>
      </c>
      <c r="Q1234" s="435" t="n">
        <v>12</v>
      </c>
      <c r="R1234" s="434" t="s">
        <v>445</v>
      </c>
      <c r="S1234" s="424"/>
      <c r="T1234" s="434" t="s">
        <v>446</v>
      </c>
      <c r="U1234" s="434" t="s">
        <v>447</v>
      </c>
      <c r="V1234" s="436" t="n">
        <f aca="false">AY1234</f>
        <v>0</v>
      </c>
    </row>
    <row r="1235" customFormat="false" ht="13.5" hidden="false" customHeight="false" outlineLevel="0" collapsed="false">
      <c r="A1235" s="436" t="n">
        <f aca="false">TRUNC(+A1236)</f>
        <v>12</v>
      </c>
      <c r="B1235" s="424"/>
      <c r="C1235" s="424"/>
      <c r="D1235" s="424"/>
      <c r="E1235" s="440" t="n">
        <f aca="false">TRUNC(+A1235/100000000)</f>
        <v>0</v>
      </c>
      <c r="F1235" s="424"/>
      <c r="G1235" s="424"/>
      <c r="H1235" s="424"/>
      <c r="I1235" s="424"/>
      <c r="J1235" s="424"/>
      <c r="K1235" s="424"/>
      <c r="L1235" s="424"/>
      <c r="M1235" s="424"/>
      <c r="N1235" s="424"/>
      <c r="O1235" s="424"/>
      <c r="P1235" s="438" t="s">
        <v>417</v>
      </c>
      <c r="Q1235" s="435" t="n">
        <v>13</v>
      </c>
      <c r="R1235" s="434" t="s">
        <v>448</v>
      </c>
      <c r="S1235" s="424"/>
      <c r="T1235" s="434" t="s">
        <v>449</v>
      </c>
      <c r="U1235" s="434" t="s">
        <v>450</v>
      </c>
      <c r="V1235" s="436" t="n">
        <f aca="false">AY1235</f>
        <v>0</v>
      </c>
    </row>
    <row r="1236" customFormat="false" ht="13.5" hidden="false" customHeight="false" outlineLevel="0" collapsed="false">
      <c r="A1236" s="441" t="n">
        <v>12</v>
      </c>
      <c r="B1236" s="434" t="s">
        <v>451</v>
      </c>
      <c r="C1236" s="434" t="s">
        <v>452</v>
      </c>
      <c r="D1236" s="424"/>
      <c r="E1236" s="434" t="s">
        <v>452</v>
      </c>
      <c r="F1236" s="424"/>
      <c r="G1236" s="424"/>
      <c r="H1236" s="424"/>
      <c r="I1236" s="440" t="n">
        <f aca="false">TRUNC((+A1235-(+F1233*1000000))/1000)</f>
        <v>0</v>
      </c>
      <c r="J1236" s="424"/>
      <c r="K1236" s="440" t="n">
        <f aca="false">(TRUNC((+A1235-(+F1233*1000000))/1))-I1236*1000</f>
        <v>12</v>
      </c>
      <c r="L1236" s="424"/>
      <c r="M1236" s="424"/>
      <c r="N1236" s="424"/>
      <c r="O1236" s="424"/>
      <c r="P1236" s="438" t="s">
        <v>417</v>
      </c>
      <c r="Q1236" s="435" t="n">
        <v>14</v>
      </c>
      <c r="R1236" s="434" t="s">
        <v>453</v>
      </c>
      <c r="S1236" s="424"/>
      <c r="T1236" s="434" t="s">
        <v>454</v>
      </c>
      <c r="U1236" s="434" t="s">
        <v>455</v>
      </c>
      <c r="V1236" s="436" t="n">
        <f aca="false">AY1236</f>
        <v>0</v>
      </c>
    </row>
    <row r="1237" customFormat="false" ht="13.5" hidden="false" customHeight="false" outlineLevel="0" collapsed="false">
      <c r="A1237" s="424"/>
      <c r="B1237" s="442" t="s">
        <v>712</v>
      </c>
      <c r="C1237" s="442" t="s">
        <v>712</v>
      </c>
      <c r="D1237" s="424"/>
      <c r="E1237" s="442" t="s">
        <v>712</v>
      </c>
      <c r="F1237" s="424"/>
      <c r="G1237" s="424"/>
      <c r="H1237" s="424"/>
      <c r="I1237" s="424"/>
      <c r="J1237" s="424"/>
      <c r="K1237" s="424"/>
      <c r="L1237" s="424"/>
      <c r="M1237" s="424"/>
      <c r="N1237" s="440" t="n">
        <f aca="false">ROUND(((+A1236-A1235)*100),1)</f>
        <v>0</v>
      </c>
      <c r="O1237" s="424"/>
      <c r="P1237" s="438" t="s">
        <v>417</v>
      </c>
      <c r="Q1237" s="435" t="n">
        <v>15</v>
      </c>
      <c r="R1237" s="434" t="s">
        <v>457</v>
      </c>
      <c r="S1237" s="424"/>
      <c r="T1237" s="434" t="s">
        <v>458</v>
      </c>
      <c r="U1237" s="434" t="s">
        <v>459</v>
      </c>
      <c r="V1237" s="436" t="n">
        <f aca="false">AY1237</f>
        <v>0</v>
      </c>
    </row>
    <row r="1238" customFormat="false" ht="13.5" hidden="false" customHeight="false" outlineLevel="0" collapsed="false">
      <c r="A1238" s="424"/>
      <c r="B1238" s="440" t="n">
        <f aca="false">TRUNC(+A1236/100000000000)</f>
        <v>0</v>
      </c>
      <c r="C1238" s="440" t="n">
        <f aca="false">(TRUNC(+A1235/1000000000))-B1238*100</f>
        <v>0</v>
      </c>
      <c r="D1238" s="424"/>
      <c r="E1238" s="435" t="str">
        <f aca="false">IF(E1235&gt;0,TRUNC(+E1235-B1238*1000-C1238*10),"")</f>
        <v/>
      </c>
      <c r="F1238" s="435" t="e">
        <f aca="false">F1233-F1234</f>
        <v>#VALUE!</v>
      </c>
      <c r="G1238" s="435" t="e">
        <f aca="false">G1240</f>
        <v>#VALUE!</v>
      </c>
      <c r="H1238" s="440" t="n">
        <f aca="false">TRUNC((+A1235-(+F1233*1000000))/100000)</f>
        <v>0</v>
      </c>
      <c r="I1238" s="440" t="n">
        <f aca="false">I1236-H1238*100</f>
        <v>0</v>
      </c>
      <c r="J1238" s="424"/>
      <c r="K1238" s="440" t="n">
        <f aca="false">TRUNC(+K1236/100)</f>
        <v>0</v>
      </c>
      <c r="L1238" s="440" t="n">
        <f aca="false">K1236-K1238*100</f>
        <v>12</v>
      </c>
      <c r="M1238" s="440" t="str">
        <f aca="false">IF(N1238&gt;0," &amp; Sen ","")</f>
        <v/>
      </c>
      <c r="N1238" s="435" t="n">
        <f aca="false">N1237</f>
        <v>0</v>
      </c>
      <c r="O1238" s="424"/>
      <c r="P1238" s="438" t="s">
        <v>417</v>
      </c>
      <c r="Q1238" s="435" t="n">
        <v>16</v>
      </c>
      <c r="R1238" s="434" t="s">
        <v>460</v>
      </c>
      <c r="S1238" s="424"/>
      <c r="T1238" s="434" t="s">
        <v>461</v>
      </c>
      <c r="U1238" s="434" t="s">
        <v>462</v>
      </c>
      <c r="V1238" s="436" t="n">
        <f aca="false">AY1238</f>
        <v>0</v>
      </c>
    </row>
    <row r="1239" customFormat="false" ht="13.5" hidden="false" customHeight="false" outlineLevel="0" collapsed="false">
      <c r="A1239" s="424"/>
      <c r="B1239" s="424"/>
      <c r="C1239" s="424"/>
      <c r="D1239" s="424"/>
      <c r="E1239" s="424"/>
      <c r="F1239" s="424"/>
      <c r="G1239" s="424"/>
      <c r="H1239" s="424"/>
      <c r="I1239" s="424"/>
      <c r="J1239" s="424"/>
      <c r="K1239" s="424"/>
      <c r="L1239" s="424"/>
      <c r="M1239" s="424"/>
      <c r="N1239" s="424"/>
      <c r="O1239" s="424"/>
      <c r="P1239" s="438" t="s">
        <v>417</v>
      </c>
      <c r="Q1239" s="435" t="n">
        <v>17</v>
      </c>
      <c r="R1239" s="434" t="s">
        <v>463</v>
      </c>
      <c r="S1239" s="424"/>
      <c r="T1239" s="434" t="s">
        <v>464</v>
      </c>
      <c r="U1239" s="434" t="s">
        <v>465</v>
      </c>
      <c r="V1239" s="436" t="n">
        <f aca="false">AY1239</f>
        <v>0</v>
      </c>
    </row>
    <row r="1240" customFormat="false" ht="13.5" hidden="false" customHeight="false" outlineLevel="0" collapsed="false">
      <c r="A1240" s="440" t="n">
        <f aca="false">B1238*100000000000</f>
        <v>0</v>
      </c>
      <c r="B1240" s="440" t="str">
        <f aca="false">IF(B1238&gt;0,VLOOKUP(B1238,$Q$7:$T$15,3),"")</f>
        <v/>
      </c>
      <c r="C1240" s="440" t="str">
        <f aca="false">IF(C1238&gt;0,VLOOKUP(C1238,Q1223:R1321,2),"")</f>
        <v/>
      </c>
      <c r="D1240" s="440" t="str">
        <f aca="false">IF(B1235+C1238&gt;0,"Milyar","")</f>
        <v/>
      </c>
      <c r="E1240" s="440" t="e">
        <f aca="false">IF(E1238&gt;0,VLOOKUP(E1238,$Q$7:$T$15,3),"")</f>
        <v>#N/A</v>
      </c>
      <c r="F1240" s="440" t="e">
        <f aca="false">IF(F1238&gt;0,VLOOKUP(F1238,Q1223:R1321,2),"")</f>
        <v>#VALUE!</v>
      </c>
      <c r="G1240" s="435" t="e">
        <f aca="false">IF(F1238+E1238&gt;0," Juta","")</f>
        <v>#VALUE!</v>
      </c>
      <c r="H1240" s="440" t="str">
        <f aca="false">IF(H1238&gt;0,VLOOKUP(H1238,$Q$7:$T$15,3),"")</f>
        <v/>
      </c>
      <c r="I1240" s="440" t="str">
        <f aca="false">IF(I1238=1," Se",IF(I1238=0,"",VLOOKUP(I1238,Q1223:R1321,2)))</f>
        <v/>
      </c>
      <c r="J1240" s="435" t="str">
        <f aca="false">IF(I1238+H1238&gt;0," ribu","")</f>
        <v/>
      </c>
      <c r="K1240" s="440" t="str">
        <f aca="false">IF(K1238&gt;0,VLOOKUP(K1238,Q1223:S1231,3),"")</f>
        <v/>
      </c>
      <c r="L1240" s="440" t="str">
        <f aca="false">IF(L1238&gt;0,VLOOKUP(L1238,Q1223:R1321,2),"")</f>
        <v> Dua belas</v>
      </c>
      <c r="M1240" s="440" t="str">
        <f aca="false">IF(N1238&gt;0,VLOOKUP(N1237,Q1222:U1321,5)," Rupiah ")</f>
        <v> Rupiah </v>
      </c>
      <c r="N1240" s="424"/>
      <c r="O1240" s="435" t="str">
        <f aca="false">IF(N1238&gt;0," ====","")</f>
        <v/>
      </c>
      <c r="P1240" s="435" t="str">
        <f aca="false">IF(N1238&gt;0,"-","====")</f>
        <v>====</v>
      </c>
      <c r="Q1240" s="435" t="n">
        <v>18</v>
      </c>
      <c r="R1240" s="434" t="s">
        <v>466</v>
      </c>
      <c r="S1240" s="424"/>
      <c r="T1240" s="434" t="s">
        <v>467</v>
      </c>
      <c r="U1240" s="434" t="s">
        <v>468</v>
      </c>
      <c r="V1240" s="436" t="n">
        <f aca="false">AY1240</f>
        <v>0</v>
      </c>
    </row>
    <row r="1241" customFormat="false" ht="13.5" hidden="false" customHeight="false" outlineLevel="0" collapsed="false">
      <c r="A1241" s="440"/>
      <c r="B1241" s="435" t="str">
        <f aca="false">B1240</f>
        <v/>
      </c>
      <c r="C1241" s="424"/>
      <c r="D1241" s="424"/>
      <c r="E1241" s="424"/>
      <c r="F1241" s="424"/>
      <c r="G1241" s="424"/>
      <c r="H1241" s="424"/>
      <c r="I1241" s="424"/>
      <c r="J1241" s="424"/>
      <c r="K1241" s="424"/>
      <c r="L1241" s="424"/>
      <c r="M1241" s="424"/>
      <c r="N1241" s="424"/>
      <c r="O1241" s="424"/>
      <c r="P1241" s="438" t="s">
        <v>417</v>
      </c>
      <c r="Q1241" s="435" t="n">
        <v>19</v>
      </c>
      <c r="R1241" s="434" t="s">
        <v>469</v>
      </c>
      <c r="S1241" s="424"/>
      <c r="T1241" s="434" t="s">
        <v>470</v>
      </c>
      <c r="U1241" s="434" t="s">
        <v>471</v>
      </c>
      <c r="V1241" s="436" t="n">
        <f aca="false">AY1246</f>
        <v>0</v>
      </c>
    </row>
    <row r="1242" customFormat="false" ht="13.5" hidden="false" customHeight="false" outlineLevel="0" collapsed="false">
      <c r="A1242" s="440"/>
      <c r="B1242" s="435" t="str">
        <f aca="false">C1240</f>
        <v/>
      </c>
      <c r="C1242" s="424"/>
      <c r="D1242" s="424"/>
      <c r="E1242" s="424"/>
      <c r="F1242" s="424"/>
      <c r="G1242" s="424"/>
      <c r="H1242" s="424"/>
      <c r="I1242" s="424"/>
      <c r="J1242" s="424"/>
      <c r="K1242" s="424"/>
      <c r="L1242" s="424"/>
      <c r="M1242" s="424"/>
      <c r="N1242" s="424"/>
      <c r="O1242" s="424"/>
      <c r="P1242" s="438" t="s">
        <v>417</v>
      </c>
      <c r="Q1242" s="435" t="n">
        <v>20</v>
      </c>
      <c r="R1242" s="434" t="s">
        <v>472</v>
      </c>
      <c r="S1242" s="424"/>
      <c r="T1242" s="434" t="s">
        <v>473</v>
      </c>
      <c r="U1242" s="434" t="s">
        <v>474</v>
      </c>
      <c r="V1242" s="436" t="n">
        <f aca="false">AY1247</f>
        <v>0</v>
      </c>
    </row>
    <row r="1243" customFormat="false" ht="13.5" hidden="false" customHeight="false" outlineLevel="0" collapsed="false">
      <c r="A1243" s="440"/>
      <c r="B1243" s="435" t="str">
        <f aca="false">D1240</f>
        <v/>
      </c>
      <c r="C1243" s="424"/>
      <c r="D1243" s="424"/>
      <c r="E1243" s="424"/>
      <c r="F1243" s="424"/>
      <c r="G1243" s="424"/>
      <c r="H1243" s="424"/>
      <c r="I1243" s="424"/>
      <c r="J1243" s="424"/>
      <c r="K1243" s="424"/>
      <c r="L1243" s="424"/>
      <c r="M1243" s="424"/>
      <c r="N1243" s="424"/>
      <c r="O1243" s="424"/>
      <c r="P1243" s="438" t="s">
        <v>417</v>
      </c>
      <c r="Q1243" s="435" t="n">
        <v>21</v>
      </c>
      <c r="R1243" s="434" t="s">
        <v>475</v>
      </c>
      <c r="S1243" s="424"/>
      <c r="T1243" s="434" t="s">
        <v>476</v>
      </c>
      <c r="U1243" s="434" t="s">
        <v>477</v>
      </c>
      <c r="V1243" s="436" t="n">
        <f aca="false">AY1248</f>
        <v>0</v>
      </c>
    </row>
    <row r="1244" customFormat="false" ht="13.5" hidden="false" customHeight="false" outlineLevel="0" collapsed="false">
      <c r="A1244" s="440"/>
      <c r="B1244" s="435" t="e">
        <f aca="false">E1240</f>
        <v>#N/A</v>
      </c>
      <c r="C1244" s="424"/>
      <c r="D1244" s="424"/>
      <c r="E1244" s="424"/>
      <c r="F1244" s="424"/>
      <c r="G1244" s="424"/>
      <c r="H1244" s="424"/>
      <c r="I1244" s="424"/>
      <c r="J1244" s="424"/>
      <c r="K1244" s="424"/>
      <c r="L1244" s="424"/>
      <c r="M1244" s="424"/>
      <c r="N1244" s="424"/>
      <c r="O1244" s="424"/>
      <c r="P1244" s="424"/>
      <c r="Q1244" s="435" t="n">
        <v>22</v>
      </c>
      <c r="R1244" s="434" t="s">
        <v>478</v>
      </c>
      <c r="S1244" s="424"/>
      <c r="T1244" s="434" t="s">
        <v>479</v>
      </c>
      <c r="U1244" s="434" t="s">
        <v>480</v>
      </c>
      <c r="V1244" s="436" t="n">
        <f aca="false">AY1249</f>
        <v>0</v>
      </c>
    </row>
    <row r="1245" customFormat="false" ht="13.5" hidden="false" customHeight="false" outlineLevel="0" collapsed="false">
      <c r="A1245" s="440"/>
      <c r="B1245" s="435" t="e">
        <f aca="false">F1240</f>
        <v>#VALUE!</v>
      </c>
      <c r="C1245" s="424"/>
      <c r="D1245" s="424"/>
      <c r="E1245" s="424"/>
      <c r="F1245" s="424"/>
      <c r="G1245" s="424"/>
      <c r="H1245" s="424"/>
      <c r="I1245" s="424"/>
      <c r="J1245" s="424"/>
      <c r="K1245" s="424"/>
      <c r="L1245" s="424"/>
      <c r="M1245" s="424"/>
      <c r="N1245" s="424"/>
      <c r="O1245" s="424"/>
      <c r="P1245" s="438" t="s">
        <v>417</v>
      </c>
      <c r="Q1245" s="435" t="n">
        <v>23</v>
      </c>
      <c r="R1245" s="434" t="s">
        <v>481</v>
      </c>
      <c r="S1245" s="424"/>
      <c r="T1245" s="434" t="s">
        <v>482</v>
      </c>
      <c r="U1245" s="434" t="s">
        <v>483</v>
      </c>
      <c r="V1245" s="436" t="n">
        <f aca="false">AY1250</f>
        <v>0</v>
      </c>
    </row>
    <row r="1246" customFormat="false" ht="13.5" hidden="false" customHeight="false" outlineLevel="0" collapsed="false">
      <c r="A1246" s="424"/>
      <c r="B1246" s="424"/>
      <c r="C1246" s="424"/>
      <c r="D1246" s="424"/>
      <c r="E1246" s="424"/>
      <c r="F1246" s="424"/>
      <c r="G1246" s="424"/>
      <c r="H1246" s="424"/>
      <c r="I1246" s="424"/>
      <c r="J1246" s="424"/>
      <c r="K1246" s="424"/>
      <c r="L1246" s="424"/>
      <c r="M1246" s="424"/>
      <c r="N1246" s="424"/>
      <c r="O1246" s="424"/>
      <c r="P1246" s="438" t="s">
        <v>417</v>
      </c>
      <c r="Q1246" s="435" t="n">
        <v>24</v>
      </c>
      <c r="R1246" s="434" t="s">
        <v>484</v>
      </c>
      <c r="S1246" s="424"/>
      <c r="T1246" s="434" t="s">
        <v>485</v>
      </c>
      <c r="U1246" s="434" t="s">
        <v>486</v>
      </c>
      <c r="V1246" s="436" t="n">
        <f aca="false">AY1251</f>
        <v>0</v>
      </c>
    </row>
    <row r="1247" customFormat="false" ht="13.5" hidden="false" customHeight="false" outlineLevel="0" collapsed="false">
      <c r="A1247" s="424"/>
      <c r="B1247" s="424"/>
      <c r="C1247" s="424"/>
      <c r="D1247" s="424"/>
      <c r="E1247" s="424"/>
      <c r="F1247" s="424"/>
      <c r="G1247" s="424"/>
      <c r="H1247" s="424"/>
      <c r="I1247" s="424"/>
      <c r="J1247" s="424"/>
      <c r="K1247" s="424"/>
      <c r="L1247" s="424"/>
      <c r="M1247" s="424"/>
      <c r="N1247" s="424"/>
      <c r="O1247" s="424"/>
      <c r="P1247" s="438" t="s">
        <v>417</v>
      </c>
      <c r="Q1247" s="435" t="n">
        <v>25</v>
      </c>
      <c r="R1247" s="434" t="s">
        <v>487</v>
      </c>
      <c r="S1247" s="424"/>
      <c r="T1247" s="434" t="s">
        <v>488</v>
      </c>
      <c r="U1247" s="434" t="s">
        <v>489</v>
      </c>
      <c r="V1247" s="436" t="n">
        <f aca="false">AY1252</f>
        <v>0</v>
      </c>
    </row>
    <row r="1248" customFormat="false" ht="13.5" hidden="false" customHeight="false" outlineLevel="0" collapsed="false">
      <c r="A1248" s="424"/>
      <c r="B1248" s="424"/>
      <c r="C1248" s="424"/>
      <c r="D1248" s="424"/>
      <c r="E1248" s="424"/>
      <c r="F1248" s="424"/>
      <c r="G1248" s="424"/>
      <c r="H1248" s="424"/>
      <c r="I1248" s="424"/>
      <c r="J1248" s="424"/>
      <c r="K1248" s="424"/>
      <c r="L1248" s="424"/>
      <c r="M1248" s="424"/>
      <c r="N1248" s="424"/>
      <c r="O1248" s="424"/>
      <c r="P1248" s="438" t="s">
        <v>417</v>
      </c>
      <c r="Q1248" s="435" t="n">
        <v>26</v>
      </c>
      <c r="R1248" s="434" t="s">
        <v>490</v>
      </c>
      <c r="S1248" s="424"/>
      <c r="T1248" s="434" t="s">
        <v>491</v>
      </c>
      <c r="U1248" s="434" t="s">
        <v>492</v>
      </c>
      <c r="V1248" s="436" t="n">
        <f aca="false">AY1253</f>
        <v>0</v>
      </c>
    </row>
    <row r="1249" customFormat="false" ht="13.5" hidden="false" customHeight="false" outlineLevel="0" collapsed="false">
      <c r="A1249" s="424"/>
      <c r="B1249" s="424"/>
      <c r="C1249" s="424"/>
      <c r="D1249" s="424"/>
      <c r="E1249" s="424"/>
      <c r="F1249" s="424"/>
      <c r="G1249" s="424"/>
      <c r="H1249" s="424"/>
      <c r="I1249" s="424"/>
      <c r="J1249" s="424"/>
      <c r="K1249" s="424"/>
      <c r="L1249" s="424"/>
      <c r="M1249" s="424"/>
      <c r="N1249" s="424"/>
      <c r="O1249" s="424"/>
      <c r="P1249" s="424"/>
      <c r="Q1249" s="435" t="n">
        <v>27</v>
      </c>
      <c r="R1249" s="434" t="s">
        <v>493</v>
      </c>
      <c r="S1249" s="424"/>
      <c r="T1249" s="434" t="s">
        <v>494</v>
      </c>
      <c r="U1249" s="434" t="s">
        <v>495</v>
      </c>
      <c r="V1249" s="436" t="n">
        <f aca="false">AY1254</f>
        <v>0</v>
      </c>
    </row>
    <row r="1250" customFormat="false" ht="13.5" hidden="false" customHeight="false" outlineLevel="0" collapsed="false">
      <c r="A1250" s="424"/>
      <c r="B1250" s="424"/>
      <c r="C1250" s="424"/>
      <c r="D1250" s="424"/>
      <c r="E1250" s="424"/>
      <c r="F1250" s="424"/>
      <c r="G1250" s="424"/>
      <c r="H1250" s="424"/>
      <c r="I1250" s="424"/>
      <c r="J1250" s="424"/>
      <c r="K1250" s="424"/>
      <c r="L1250" s="424"/>
      <c r="M1250" s="424"/>
      <c r="N1250" s="424"/>
      <c r="O1250" s="424"/>
      <c r="P1250" s="424"/>
      <c r="Q1250" s="435" t="n">
        <v>28</v>
      </c>
      <c r="R1250" s="434" t="s">
        <v>496</v>
      </c>
      <c r="S1250" s="424"/>
      <c r="T1250" s="434" t="s">
        <v>497</v>
      </c>
      <c r="U1250" s="434" t="s">
        <v>498</v>
      </c>
      <c r="V1250" s="436" t="n">
        <f aca="false">AY1255</f>
        <v>0</v>
      </c>
    </row>
    <row r="1251" customFormat="false" ht="13.5" hidden="false" customHeight="false" outlineLevel="0" collapsed="false">
      <c r="A1251" s="424"/>
      <c r="B1251" s="424"/>
      <c r="C1251" s="424"/>
      <c r="D1251" s="424"/>
      <c r="E1251" s="424"/>
      <c r="F1251" s="424"/>
      <c r="G1251" s="424"/>
      <c r="H1251" s="424"/>
      <c r="I1251" s="424"/>
      <c r="J1251" s="424"/>
      <c r="K1251" s="424"/>
      <c r="L1251" s="424"/>
      <c r="M1251" s="424"/>
      <c r="N1251" s="424"/>
      <c r="O1251" s="424"/>
      <c r="P1251" s="424"/>
      <c r="Q1251" s="435" t="n">
        <v>29</v>
      </c>
      <c r="R1251" s="434" t="s">
        <v>499</v>
      </c>
      <c r="S1251" s="424"/>
      <c r="T1251" s="434" t="s">
        <v>500</v>
      </c>
      <c r="U1251" s="434" t="s">
        <v>501</v>
      </c>
      <c r="V1251" s="436" t="n">
        <f aca="false">AY1256</f>
        <v>0</v>
      </c>
    </row>
    <row r="1252" customFormat="false" ht="13.5" hidden="false" customHeight="false" outlineLevel="0" collapsed="false">
      <c r="A1252" s="424"/>
      <c r="B1252" s="424"/>
      <c r="C1252" s="424"/>
      <c r="D1252" s="424"/>
      <c r="E1252" s="424"/>
      <c r="F1252" s="424"/>
      <c r="G1252" s="424"/>
      <c r="H1252" s="424"/>
      <c r="I1252" s="424"/>
      <c r="J1252" s="424"/>
      <c r="K1252" s="424"/>
      <c r="L1252" s="424"/>
      <c r="M1252" s="424"/>
      <c r="N1252" s="424"/>
      <c r="O1252" s="424"/>
      <c r="P1252" s="424"/>
      <c r="Q1252" s="435" t="n">
        <v>30</v>
      </c>
      <c r="R1252" s="434" t="s">
        <v>502</v>
      </c>
      <c r="S1252" s="424"/>
      <c r="T1252" s="434" t="s">
        <v>503</v>
      </c>
      <c r="U1252" s="434" t="s">
        <v>504</v>
      </c>
      <c r="V1252" s="436" t="n">
        <f aca="false">AY1257</f>
        <v>0</v>
      </c>
    </row>
    <row r="1253" customFormat="false" ht="13.5" hidden="false" customHeight="false" outlineLevel="0" collapsed="false">
      <c r="A1253" s="424"/>
      <c r="B1253" s="424"/>
      <c r="C1253" s="424"/>
      <c r="D1253" s="424"/>
      <c r="E1253" s="424"/>
      <c r="F1253" s="424"/>
      <c r="G1253" s="424"/>
      <c r="H1253" s="424"/>
      <c r="I1253" s="424"/>
      <c r="J1253" s="424"/>
      <c r="K1253" s="424"/>
      <c r="L1253" s="424"/>
      <c r="M1253" s="424"/>
      <c r="N1253" s="424"/>
      <c r="O1253" s="424"/>
      <c r="P1253" s="424"/>
      <c r="Q1253" s="435" t="n">
        <v>31</v>
      </c>
      <c r="R1253" s="434" t="s">
        <v>505</v>
      </c>
      <c r="S1253" s="424"/>
      <c r="T1253" s="434" t="s">
        <v>506</v>
      </c>
      <c r="U1253" s="434" t="s">
        <v>507</v>
      </c>
      <c r="V1253" s="436" t="n">
        <f aca="false">AY1258</f>
        <v>0</v>
      </c>
    </row>
    <row r="1254" customFormat="false" ht="13.5" hidden="false" customHeight="false" outlineLevel="0" collapsed="false">
      <c r="A1254" s="424"/>
      <c r="B1254" s="424"/>
      <c r="C1254" s="424"/>
      <c r="D1254" s="424"/>
      <c r="E1254" s="424"/>
      <c r="F1254" s="424"/>
      <c r="G1254" s="424"/>
      <c r="H1254" s="424"/>
      <c r="I1254" s="424"/>
      <c r="J1254" s="424"/>
      <c r="K1254" s="424"/>
      <c r="L1254" s="424"/>
      <c r="M1254" s="424"/>
      <c r="N1254" s="424"/>
      <c r="O1254" s="424"/>
      <c r="P1254" s="424"/>
      <c r="Q1254" s="435" t="n">
        <v>32</v>
      </c>
      <c r="R1254" s="434" t="s">
        <v>508</v>
      </c>
      <c r="S1254" s="424"/>
      <c r="T1254" s="434" t="s">
        <v>509</v>
      </c>
      <c r="U1254" s="434" t="s">
        <v>510</v>
      </c>
      <c r="V1254" s="436" t="n">
        <f aca="false">AY1259</f>
        <v>0</v>
      </c>
    </row>
    <row r="1255" customFormat="false" ht="13.5" hidden="false" customHeight="false" outlineLevel="0" collapsed="false">
      <c r="A1255" s="440"/>
      <c r="B1255" s="435" t="e">
        <f aca="false">G1240</f>
        <v>#VALUE!</v>
      </c>
      <c r="C1255" s="424"/>
      <c r="D1255" s="424"/>
      <c r="E1255" s="424"/>
      <c r="F1255" s="424"/>
      <c r="G1255" s="424"/>
      <c r="H1255" s="424"/>
      <c r="I1255" s="424"/>
      <c r="J1255" s="424"/>
      <c r="K1255" s="424"/>
      <c r="L1255" s="424"/>
      <c r="M1255" s="424"/>
      <c r="N1255" s="424"/>
      <c r="O1255" s="424"/>
      <c r="P1255" s="424"/>
      <c r="Q1255" s="435" t="n">
        <v>33</v>
      </c>
      <c r="R1255" s="434" t="s">
        <v>511</v>
      </c>
      <c r="S1255" s="424"/>
      <c r="T1255" s="434" t="s">
        <v>512</v>
      </c>
      <c r="U1255" s="434" t="s">
        <v>513</v>
      </c>
      <c r="V1255" s="436" t="n">
        <f aca="false">AY1260</f>
        <v>0</v>
      </c>
    </row>
    <row r="1256" customFormat="false" ht="13.5" hidden="false" customHeight="false" outlineLevel="0" collapsed="false">
      <c r="A1256" s="440"/>
      <c r="B1256" s="435" t="str">
        <f aca="false">H1240</f>
        <v/>
      </c>
      <c r="C1256" s="424"/>
      <c r="D1256" s="424"/>
      <c r="E1256" s="424"/>
      <c r="F1256" s="424"/>
      <c r="G1256" s="424"/>
      <c r="H1256" s="424"/>
      <c r="I1256" s="424"/>
      <c r="J1256" s="424"/>
      <c r="K1256" s="424"/>
      <c r="L1256" s="424"/>
      <c r="M1256" s="424"/>
      <c r="N1256" s="424"/>
      <c r="O1256" s="424"/>
      <c r="P1256" s="424"/>
      <c r="Q1256" s="435" t="n">
        <v>34</v>
      </c>
      <c r="R1256" s="434" t="s">
        <v>514</v>
      </c>
      <c r="S1256" s="424"/>
      <c r="T1256" s="434" t="s">
        <v>515</v>
      </c>
      <c r="U1256" s="434" t="s">
        <v>516</v>
      </c>
      <c r="V1256" s="436" t="n">
        <f aca="false">AY1261</f>
        <v>0</v>
      </c>
    </row>
    <row r="1257" customFormat="false" ht="13.5" hidden="false" customHeight="false" outlineLevel="0" collapsed="false">
      <c r="A1257" s="440"/>
      <c r="B1257" s="435" t="str">
        <f aca="false">I1240</f>
        <v/>
      </c>
      <c r="C1257" s="424"/>
      <c r="D1257" s="424"/>
      <c r="E1257" s="424"/>
      <c r="F1257" s="424"/>
      <c r="G1257" s="424"/>
      <c r="H1257" s="424"/>
      <c r="I1257" s="424"/>
      <c r="J1257" s="424"/>
      <c r="K1257" s="424"/>
      <c r="L1257" s="424"/>
      <c r="M1257" s="424"/>
      <c r="N1257" s="424"/>
      <c r="O1257" s="424"/>
      <c r="P1257" s="424"/>
      <c r="Q1257" s="435" t="n">
        <v>35</v>
      </c>
      <c r="R1257" s="434" t="s">
        <v>517</v>
      </c>
      <c r="S1257" s="424"/>
      <c r="T1257" s="434" t="s">
        <v>518</v>
      </c>
      <c r="U1257" s="434" t="s">
        <v>519</v>
      </c>
      <c r="V1257" s="436" t="n">
        <f aca="false">AY1262</f>
        <v>0</v>
      </c>
    </row>
    <row r="1258" customFormat="false" ht="13.5" hidden="false" customHeight="false" outlineLevel="0" collapsed="false">
      <c r="A1258" s="440"/>
      <c r="B1258" s="435" t="str">
        <f aca="false">J1240</f>
        <v/>
      </c>
      <c r="C1258" s="424"/>
      <c r="D1258" s="424"/>
      <c r="E1258" s="424"/>
      <c r="F1258" s="424"/>
      <c r="G1258" s="424"/>
      <c r="H1258" s="424"/>
      <c r="I1258" s="424"/>
      <c r="J1258" s="424"/>
      <c r="K1258" s="424"/>
      <c r="L1258" s="424"/>
      <c r="M1258" s="424"/>
      <c r="N1258" s="424"/>
      <c r="O1258" s="424"/>
      <c r="P1258" s="424"/>
      <c r="Q1258" s="435" t="n">
        <v>36</v>
      </c>
      <c r="R1258" s="434" t="s">
        <v>520</v>
      </c>
      <c r="S1258" s="424"/>
      <c r="T1258" s="434" t="s">
        <v>521</v>
      </c>
      <c r="U1258" s="434" t="s">
        <v>522</v>
      </c>
      <c r="V1258" s="436" t="n">
        <f aca="false">AY1263</f>
        <v>0</v>
      </c>
    </row>
    <row r="1259" customFormat="false" ht="13.5" hidden="false" customHeight="false" outlineLevel="0" collapsed="false">
      <c r="A1259" s="440"/>
      <c r="B1259" s="440" t="str">
        <f aca="false">K1240</f>
        <v/>
      </c>
      <c r="C1259" s="424"/>
      <c r="D1259" s="424"/>
      <c r="E1259" s="424"/>
      <c r="F1259" s="424"/>
      <c r="G1259" s="424"/>
      <c r="H1259" s="424"/>
      <c r="I1259" s="424"/>
      <c r="J1259" s="424"/>
      <c r="K1259" s="424"/>
      <c r="L1259" s="424"/>
      <c r="M1259" s="424"/>
      <c r="N1259" s="424"/>
      <c r="O1259" s="424"/>
      <c r="P1259" s="424"/>
      <c r="Q1259" s="435" t="n">
        <v>37</v>
      </c>
      <c r="R1259" s="434" t="s">
        <v>523</v>
      </c>
      <c r="S1259" s="424"/>
      <c r="T1259" s="434" t="s">
        <v>524</v>
      </c>
      <c r="U1259" s="434" t="s">
        <v>525</v>
      </c>
      <c r="V1259" s="436" t="n">
        <f aca="false">AY1264</f>
        <v>0</v>
      </c>
    </row>
    <row r="1260" customFormat="false" ht="13.5" hidden="false" customHeight="false" outlineLevel="0" collapsed="false">
      <c r="A1260" s="440"/>
      <c r="B1260" s="435" t="str">
        <f aca="false">L1240</f>
        <v> Dua belas</v>
      </c>
      <c r="C1260" s="424"/>
      <c r="D1260" s="424"/>
      <c r="E1260" s="424"/>
      <c r="F1260" s="424"/>
      <c r="G1260" s="424"/>
      <c r="H1260" s="424"/>
      <c r="I1260" s="424"/>
      <c r="J1260" s="424"/>
      <c r="K1260" s="424"/>
      <c r="L1260" s="424"/>
      <c r="M1260" s="424"/>
      <c r="N1260" s="424"/>
      <c r="O1260" s="424"/>
      <c r="P1260" s="424"/>
      <c r="Q1260" s="435" t="n">
        <v>38</v>
      </c>
      <c r="R1260" s="434" t="s">
        <v>526</v>
      </c>
      <c r="S1260" s="424"/>
      <c r="T1260" s="434" t="s">
        <v>527</v>
      </c>
      <c r="U1260" s="434" t="s">
        <v>528</v>
      </c>
      <c r="V1260" s="436" t="n">
        <f aca="false">AY1265</f>
        <v>0</v>
      </c>
    </row>
    <row r="1261" customFormat="false" ht="13.5" hidden="false" customHeight="false" outlineLevel="0" collapsed="false">
      <c r="A1261" s="440"/>
      <c r="B1261" s="435" t="str">
        <f aca="false">M1240</f>
        <v> Rupiah </v>
      </c>
      <c r="C1261" s="424"/>
      <c r="D1261" s="424"/>
      <c r="E1261" s="424"/>
      <c r="F1261" s="424"/>
      <c r="G1261" s="424"/>
      <c r="H1261" s="424"/>
      <c r="I1261" s="424"/>
      <c r="J1261" s="424"/>
      <c r="K1261" s="424"/>
      <c r="L1261" s="424"/>
      <c r="M1261" s="424"/>
      <c r="N1261" s="424"/>
      <c r="O1261" s="424"/>
      <c r="P1261" s="424"/>
      <c r="Q1261" s="435" t="n">
        <v>39</v>
      </c>
      <c r="R1261" s="434" t="s">
        <v>529</v>
      </c>
      <c r="S1261" s="424"/>
      <c r="T1261" s="434" t="s">
        <v>530</v>
      </c>
      <c r="U1261" s="434" t="s">
        <v>531</v>
      </c>
      <c r="V1261" s="436" t="n">
        <f aca="false">AY1266</f>
        <v>0</v>
      </c>
    </row>
    <row r="1262" customFormat="false" ht="13.5" hidden="false" customHeight="false" outlineLevel="0" collapsed="false">
      <c r="A1262" s="436" t="e">
        <f aca="false">+#REF!</f>
        <v>#REF!</v>
      </c>
      <c r="B1262" s="435" t="str">
        <f aca="false">O1240</f>
        <v/>
      </c>
      <c r="C1262" s="424"/>
      <c r="D1262" s="424"/>
      <c r="E1262" s="424"/>
      <c r="F1262" s="424"/>
      <c r="G1262" s="424"/>
      <c r="H1262" s="424"/>
      <c r="I1262" s="424"/>
      <c r="J1262" s="424"/>
      <c r="K1262" s="424"/>
      <c r="L1262" s="424"/>
      <c r="M1262" s="424"/>
      <c r="N1262" s="424"/>
      <c r="O1262" s="424"/>
      <c r="P1262" s="424"/>
      <c r="Q1262" s="435" t="n">
        <v>40</v>
      </c>
      <c r="R1262" s="434" t="s">
        <v>532</v>
      </c>
      <c r="S1262" s="424"/>
      <c r="T1262" s="434" t="s">
        <v>533</v>
      </c>
      <c r="U1262" s="434" t="s">
        <v>534</v>
      </c>
      <c r="V1262" s="436" t="n">
        <f aca="false">AY1267</f>
        <v>0</v>
      </c>
    </row>
    <row r="1263" customFormat="false" ht="13.5" hidden="false" customHeight="false" outlineLevel="0" collapsed="false">
      <c r="A1263" s="440"/>
      <c r="B1263" s="435" t="str">
        <f aca="false">IF(N1238&gt;0,"-","====")</f>
        <v>====</v>
      </c>
      <c r="C1263" s="424"/>
      <c r="D1263" s="424"/>
      <c r="E1263" s="424"/>
      <c r="F1263" s="424"/>
      <c r="G1263" s="424"/>
      <c r="H1263" s="424"/>
      <c r="I1263" s="424"/>
      <c r="J1263" s="424"/>
      <c r="K1263" s="424"/>
      <c r="L1263" s="424"/>
      <c r="M1263" s="424"/>
      <c r="N1263" s="424"/>
      <c r="O1263" s="424"/>
      <c r="P1263" s="424"/>
      <c r="Q1263" s="435" t="n">
        <v>41</v>
      </c>
      <c r="R1263" s="434" t="s">
        <v>535</v>
      </c>
      <c r="S1263" s="424"/>
      <c r="T1263" s="434" t="s">
        <v>536</v>
      </c>
      <c r="U1263" s="434" t="s">
        <v>537</v>
      </c>
      <c r="V1263" s="436" t="n">
        <f aca="false">AY1268</f>
        <v>0</v>
      </c>
    </row>
    <row r="1264" customFormat="false" ht="13.5" hidden="false" customHeight="false" outlineLevel="0" collapsed="false">
      <c r="A1264" s="444" t="e">
        <f aca="false">B1240&amp;C1240&amp;D1240&amp;E1240&amp;F1240&amp;G1240&amp;H1240&amp;I1240&amp;J1240&amp;K1240&amp;L1240&amp;M1240&amp;O1240</f>
        <v>#N/A</v>
      </c>
      <c r="B1264" s="424"/>
      <c r="C1264" s="424"/>
      <c r="D1264" s="424"/>
      <c r="E1264" s="424"/>
      <c r="F1264" s="424"/>
      <c r="G1264" s="424"/>
      <c r="H1264" s="424"/>
      <c r="I1264" s="424"/>
      <c r="J1264" s="424"/>
      <c r="K1264" s="424"/>
      <c r="L1264" s="424"/>
      <c r="M1264" s="424"/>
      <c r="N1264" s="424"/>
      <c r="O1264" s="424"/>
      <c r="P1264" s="424"/>
      <c r="Q1264" s="435" t="n">
        <v>42</v>
      </c>
      <c r="R1264" s="434" t="s">
        <v>538</v>
      </c>
      <c r="S1264" s="424"/>
      <c r="T1264" s="434" t="s">
        <v>539</v>
      </c>
      <c r="U1264" s="434" t="s">
        <v>540</v>
      </c>
      <c r="V1264" s="436" t="n">
        <f aca="false">AY1269</f>
        <v>0</v>
      </c>
    </row>
    <row r="1265" customFormat="false" ht="13.5" hidden="false" customHeight="false" outlineLevel="0" collapsed="false">
      <c r="A1265" s="440" t="str">
        <f aca="false">I1240&amp;J1240&amp;K1240&amp;L1240&amp;M1240&amp;O1240</f>
        <v> Dua belas Rupiah </v>
      </c>
      <c r="B1265" s="424"/>
      <c r="C1265" s="424"/>
      <c r="D1265" s="424"/>
      <c r="E1265" s="424"/>
      <c r="F1265" s="424"/>
      <c r="G1265" s="424"/>
      <c r="H1265" s="424"/>
      <c r="I1265" s="424"/>
      <c r="J1265" s="424"/>
      <c r="K1265" s="424"/>
      <c r="L1265" s="424"/>
      <c r="M1265" s="424"/>
      <c r="N1265" s="424"/>
      <c r="O1265" s="424"/>
      <c r="P1265" s="424"/>
      <c r="Q1265" s="435" t="n">
        <v>43</v>
      </c>
      <c r="R1265" s="434" t="s">
        <v>541</v>
      </c>
      <c r="S1265" s="424"/>
      <c r="T1265" s="434" t="s">
        <v>542</v>
      </c>
      <c r="U1265" s="434" t="s">
        <v>543</v>
      </c>
      <c r="V1265" s="436" t="n">
        <f aca="false">AY1270</f>
        <v>0</v>
      </c>
    </row>
    <row r="1266" customFormat="false" ht="13.5" hidden="false" customHeight="false" outlineLevel="0" collapsed="false">
      <c r="A1266" s="440"/>
      <c r="B1266" s="424"/>
      <c r="C1266" s="424"/>
      <c r="D1266" s="424"/>
      <c r="E1266" s="424"/>
      <c r="F1266" s="424"/>
      <c r="G1266" s="424"/>
      <c r="H1266" s="424"/>
      <c r="I1266" s="424"/>
      <c r="J1266" s="424"/>
      <c r="K1266" s="424"/>
      <c r="L1266" s="424"/>
      <c r="M1266" s="424"/>
      <c r="N1266" s="424"/>
      <c r="O1266" s="424"/>
      <c r="P1266" s="424"/>
      <c r="Q1266" s="435" t="n">
        <v>44</v>
      </c>
      <c r="R1266" s="434" t="s">
        <v>544</v>
      </c>
      <c r="S1266" s="424"/>
      <c r="T1266" s="434" t="s">
        <v>545</v>
      </c>
      <c r="U1266" s="434" t="s">
        <v>546</v>
      </c>
      <c r="V1266" s="436" t="n">
        <f aca="false">AY1271</f>
        <v>0</v>
      </c>
    </row>
    <row r="1267" customFormat="false" ht="13.5" hidden="false" customHeight="false" outlineLevel="0" collapsed="false">
      <c r="A1267" s="440"/>
      <c r="B1267" s="424"/>
      <c r="C1267" s="424"/>
      <c r="D1267" s="424"/>
      <c r="E1267" s="424"/>
      <c r="F1267" s="424"/>
      <c r="G1267" s="424"/>
      <c r="H1267" s="424"/>
      <c r="I1267" s="424"/>
      <c r="J1267" s="424"/>
      <c r="K1267" s="424"/>
      <c r="L1267" s="424"/>
      <c r="M1267" s="424"/>
      <c r="N1267" s="424"/>
      <c r="O1267" s="424"/>
      <c r="P1267" s="424"/>
      <c r="Q1267" s="435" t="n">
        <v>45</v>
      </c>
      <c r="R1267" s="434" t="s">
        <v>547</v>
      </c>
      <c r="S1267" s="424"/>
      <c r="T1267" s="434" t="s">
        <v>548</v>
      </c>
      <c r="U1267" s="434" t="s">
        <v>549</v>
      </c>
      <c r="V1267" s="436" t="n">
        <f aca="false">AY1272</f>
        <v>0</v>
      </c>
    </row>
    <row r="1268" customFormat="false" ht="13.5" hidden="false" customHeight="false" outlineLevel="0" collapsed="false">
      <c r="A1268" s="440"/>
      <c r="B1268" s="424"/>
      <c r="C1268" s="424"/>
      <c r="D1268" s="424"/>
      <c r="E1268" s="424"/>
      <c r="F1268" s="424"/>
      <c r="G1268" s="424"/>
      <c r="H1268" s="424"/>
      <c r="I1268" s="424"/>
      <c r="J1268" s="424"/>
      <c r="K1268" s="424"/>
      <c r="L1268" s="424"/>
      <c r="M1268" s="424"/>
      <c r="N1268" s="424"/>
      <c r="O1268" s="424"/>
      <c r="P1268" s="424"/>
      <c r="Q1268" s="435" t="n">
        <v>46</v>
      </c>
      <c r="R1268" s="434" t="s">
        <v>550</v>
      </c>
      <c r="S1268" s="424"/>
      <c r="T1268" s="434" t="s">
        <v>551</v>
      </c>
      <c r="U1268" s="434" t="s">
        <v>552</v>
      </c>
      <c r="V1268" s="436" t="n">
        <f aca="false">AY1273</f>
        <v>0</v>
      </c>
    </row>
    <row r="1269" customFormat="false" ht="13.5" hidden="false" customHeight="false" outlineLevel="0" collapsed="false">
      <c r="A1269" s="440"/>
      <c r="B1269" s="424"/>
      <c r="C1269" s="424"/>
      <c r="D1269" s="424"/>
      <c r="E1269" s="424"/>
      <c r="F1269" s="424"/>
      <c r="G1269" s="424"/>
      <c r="H1269" s="424"/>
      <c r="I1269" s="424"/>
      <c r="J1269" s="424"/>
      <c r="K1269" s="424"/>
      <c r="L1269" s="424"/>
      <c r="M1269" s="424"/>
      <c r="N1269" s="424"/>
      <c r="O1269" s="424"/>
      <c r="P1269" s="424"/>
      <c r="Q1269" s="435" t="n">
        <v>47</v>
      </c>
      <c r="R1269" s="434" t="s">
        <v>553</v>
      </c>
      <c r="S1269" s="424"/>
      <c r="T1269" s="434" t="s">
        <v>554</v>
      </c>
      <c r="U1269" s="434" t="s">
        <v>555</v>
      </c>
      <c r="V1269" s="436" t="n">
        <f aca="false">AY1274</f>
        <v>0</v>
      </c>
    </row>
    <row r="1270" customFormat="false" ht="13.5" hidden="false" customHeight="false" outlineLevel="0" collapsed="false">
      <c r="A1270" s="424"/>
      <c r="B1270" s="424"/>
      <c r="C1270" s="424"/>
      <c r="D1270" s="424"/>
      <c r="E1270" s="424"/>
      <c r="F1270" s="424"/>
      <c r="G1270" s="424"/>
      <c r="H1270" s="424"/>
      <c r="I1270" s="424"/>
      <c r="J1270" s="424"/>
      <c r="K1270" s="424"/>
      <c r="L1270" s="424"/>
      <c r="M1270" s="424"/>
      <c r="N1270" s="424"/>
      <c r="O1270" s="424"/>
      <c r="P1270" s="424"/>
      <c r="Q1270" s="435" t="n">
        <v>48</v>
      </c>
      <c r="R1270" s="434" t="s">
        <v>556</v>
      </c>
      <c r="S1270" s="424"/>
      <c r="T1270" s="434" t="s">
        <v>557</v>
      </c>
      <c r="U1270" s="434" t="s">
        <v>558</v>
      </c>
      <c r="V1270" s="436" t="n">
        <f aca="false">AY1275</f>
        <v>0</v>
      </c>
    </row>
    <row r="1271" customFormat="false" ht="13.5" hidden="false" customHeight="false" outlineLevel="0" collapsed="false">
      <c r="A1271" s="424"/>
      <c r="B1271" s="424"/>
      <c r="C1271" s="424"/>
      <c r="D1271" s="424"/>
      <c r="E1271" s="424"/>
      <c r="F1271" s="424"/>
      <c r="G1271" s="424"/>
      <c r="H1271" s="424"/>
      <c r="I1271" s="424"/>
      <c r="J1271" s="424"/>
      <c r="K1271" s="424"/>
      <c r="L1271" s="424"/>
      <c r="M1271" s="424"/>
      <c r="N1271" s="424"/>
      <c r="O1271" s="424"/>
      <c r="P1271" s="424"/>
      <c r="Q1271" s="435" t="n">
        <v>49</v>
      </c>
      <c r="R1271" s="434" t="s">
        <v>559</v>
      </c>
      <c r="S1271" s="424"/>
      <c r="T1271" s="434" t="s">
        <v>560</v>
      </c>
      <c r="U1271" s="434" t="s">
        <v>561</v>
      </c>
      <c r="V1271" s="436" t="n">
        <f aca="false">AY1276</f>
        <v>0</v>
      </c>
    </row>
    <row r="1272" customFormat="false" ht="13.5" hidden="false" customHeight="false" outlineLevel="0" collapsed="false">
      <c r="A1272" s="424"/>
      <c r="B1272" s="424"/>
      <c r="C1272" s="424"/>
      <c r="D1272" s="424"/>
      <c r="E1272" s="424"/>
      <c r="F1272" s="424"/>
      <c r="G1272" s="424"/>
      <c r="H1272" s="424"/>
      <c r="I1272" s="424"/>
      <c r="J1272" s="424"/>
      <c r="K1272" s="424"/>
      <c r="L1272" s="424"/>
      <c r="M1272" s="424"/>
      <c r="N1272" s="424"/>
      <c r="O1272" s="424"/>
      <c r="P1272" s="424"/>
      <c r="Q1272" s="435" t="n">
        <v>50</v>
      </c>
      <c r="R1272" s="434" t="s">
        <v>562</v>
      </c>
      <c r="S1272" s="424"/>
      <c r="T1272" s="434" t="s">
        <v>563</v>
      </c>
      <c r="U1272" s="434" t="s">
        <v>564</v>
      </c>
      <c r="V1272" s="436" t="n">
        <f aca="false">AY1277</f>
        <v>0</v>
      </c>
    </row>
    <row r="1273" customFormat="false" ht="13.5" hidden="false" customHeight="false" outlineLevel="0" collapsed="false">
      <c r="A1273" s="424"/>
      <c r="B1273" s="424"/>
      <c r="C1273" s="424"/>
      <c r="D1273" s="424"/>
      <c r="E1273" s="424"/>
      <c r="F1273" s="424"/>
      <c r="G1273" s="424"/>
      <c r="H1273" s="424"/>
      <c r="I1273" s="424"/>
      <c r="J1273" s="424"/>
      <c r="K1273" s="424"/>
      <c r="L1273" s="424"/>
      <c r="M1273" s="424"/>
      <c r="N1273" s="424"/>
      <c r="O1273" s="424"/>
      <c r="P1273" s="424"/>
      <c r="Q1273" s="435" t="n">
        <v>51</v>
      </c>
      <c r="R1273" s="434" t="s">
        <v>565</v>
      </c>
      <c r="S1273" s="424"/>
      <c r="T1273" s="434" t="s">
        <v>566</v>
      </c>
      <c r="U1273" s="434" t="s">
        <v>567</v>
      </c>
      <c r="V1273" s="436" t="n">
        <f aca="false">AY1278</f>
        <v>0</v>
      </c>
    </row>
    <row r="1274" customFormat="false" ht="13.5" hidden="false" customHeight="false" outlineLevel="0" collapsed="false">
      <c r="A1274" s="424"/>
      <c r="B1274" s="424"/>
      <c r="C1274" s="424"/>
      <c r="D1274" s="424"/>
      <c r="E1274" s="424"/>
      <c r="F1274" s="424"/>
      <c r="G1274" s="424"/>
      <c r="H1274" s="424"/>
      <c r="I1274" s="424"/>
      <c r="J1274" s="424"/>
      <c r="K1274" s="424"/>
      <c r="L1274" s="424"/>
      <c r="M1274" s="424"/>
      <c r="N1274" s="424"/>
      <c r="O1274" s="424"/>
      <c r="P1274" s="424"/>
      <c r="Q1274" s="435" t="n">
        <v>52</v>
      </c>
      <c r="R1274" s="434" t="s">
        <v>568</v>
      </c>
      <c r="S1274" s="424"/>
      <c r="T1274" s="434" t="s">
        <v>569</v>
      </c>
      <c r="U1274" s="434" t="s">
        <v>570</v>
      </c>
      <c r="V1274" s="436" t="n">
        <f aca="false">AY1279</f>
        <v>0</v>
      </c>
    </row>
    <row r="1275" customFormat="false" ht="13.5" hidden="false" customHeight="false" outlineLevel="0" collapsed="false">
      <c r="A1275" s="424"/>
      <c r="B1275" s="424"/>
      <c r="C1275" s="424"/>
      <c r="D1275" s="424"/>
      <c r="E1275" s="424"/>
      <c r="F1275" s="424"/>
      <c r="G1275" s="424"/>
      <c r="H1275" s="424"/>
      <c r="I1275" s="424"/>
      <c r="J1275" s="424"/>
      <c r="K1275" s="424"/>
      <c r="L1275" s="424"/>
      <c r="M1275" s="424"/>
      <c r="N1275" s="424"/>
      <c r="O1275" s="424"/>
      <c r="P1275" s="424"/>
      <c r="Q1275" s="435" t="n">
        <v>53</v>
      </c>
      <c r="R1275" s="434" t="s">
        <v>571</v>
      </c>
      <c r="S1275" s="424"/>
      <c r="T1275" s="434" t="s">
        <v>572</v>
      </c>
      <c r="U1275" s="434" t="s">
        <v>573</v>
      </c>
      <c r="V1275" s="436" t="n">
        <f aca="false">AY1280</f>
        <v>0</v>
      </c>
    </row>
    <row r="1276" customFormat="false" ht="13.5" hidden="false" customHeight="false" outlineLevel="0" collapsed="false">
      <c r="A1276" s="424"/>
      <c r="B1276" s="424"/>
      <c r="C1276" s="424"/>
      <c r="D1276" s="424"/>
      <c r="E1276" s="424"/>
      <c r="F1276" s="424"/>
      <c r="G1276" s="424"/>
      <c r="H1276" s="424"/>
      <c r="I1276" s="424"/>
      <c r="J1276" s="424"/>
      <c r="K1276" s="424"/>
      <c r="L1276" s="424"/>
      <c r="M1276" s="424"/>
      <c r="N1276" s="424"/>
      <c r="O1276" s="424"/>
      <c r="P1276" s="424"/>
      <c r="Q1276" s="435" t="n">
        <v>54</v>
      </c>
      <c r="R1276" s="434" t="s">
        <v>574</v>
      </c>
      <c r="S1276" s="424"/>
      <c r="T1276" s="434" t="s">
        <v>575</v>
      </c>
      <c r="U1276" s="434" t="s">
        <v>576</v>
      </c>
      <c r="V1276" s="436" t="n">
        <f aca="false">AY1281</f>
        <v>0</v>
      </c>
    </row>
    <row r="1277" customFormat="false" ht="13.5" hidden="false" customHeight="false" outlineLevel="0" collapsed="false">
      <c r="A1277" s="424"/>
      <c r="B1277" s="424"/>
      <c r="C1277" s="424"/>
      <c r="D1277" s="424"/>
      <c r="E1277" s="424"/>
      <c r="F1277" s="424"/>
      <c r="G1277" s="424"/>
      <c r="H1277" s="424"/>
      <c r="I1277" s="424"/>
      <c r="J1277" s="424"/>
      <c r="K1277" s="424"/>
      <c r="L1277" s="424"/>
      <c r="M1277" s="424"/>
      <c r="N1277" s="424"/>
      <c r="O1277" s="424"/>
      <c r="P1277" s="424"/>
      <c r="Q1277" s="435" t="n">
        <v>55</v>
      </c>
      <c r="R1277" s="434" t="s">
        <v>577</v>
      </c>
      <c r="S1277" s="424"/>
      <c r="T1277" s="434" t="s">
        <v>578</v>
      </c>
      <c r="U1277" s="434" t="s">
        <v>579</v>
      </c>
      <c r="V1277" s="436" t="n">
        <f aca="false">AY1282</f>
        <v>0</v>
      </c>
    </row>
    <row r="1278" customFormat="false" ht="13.5" hidden="false" customHeight="false" outlineLevel="0" collapsed="false">
      <c r="A1278" s="424"/>
      <c r="B1278" s="424"/>
      <c r="C1278" s="424"/>
      <c r="D1278" s="424"/>
      <c r="E1278" s="424"/>
      <c r="F1278" s="424"/>
      <c r="G1278" s="424"/>
      <c r="H1278" s="424"/>
      <c r="I1278" s="424"/>
      <c r="J1278" s="424"/>
      <c r="K1278" s="424"/>
      <c r="L1278" s="424"/>
      <c r="M1278" s="424"/>
      <c r="N1278" s="424"/>
      <c r="O1278" s="424"/>
      <c r="P1278" s="424"/>
      <c r="Q1278" s="435" t="n">
        <v>56</v>
      </c>
      <c r="R1278" s="434" t="s">
        <v>580</v>
      </c>
      <c r="S1278" s="424"/>
      <c r="T1278" s="434" t="s">
        <v>581</v>
      </c>
      <c r="U1278" s="434" t="s">
        <v>582</v>
      </c>
      <c r="V1278" s="436" t="n">
        <f aca="false">AY1283</f>
        <v>0</v>
      </c>
    </row>
    <row r="1279" customFormat="false" ht="13.5" hidden="false" customHeight="false" outlineLevel="0" collapsed="false">
      <c r="A1279" s="424"/>
      <c r="B1279" s="424"/>
      <c r="C1279" s="424"/>
      <c r="D1279" s="424"/>
      <c r="E1279" s="424"/>
      <c r="F1279" s="424"/>
      <c r="G1279" s="424"/>
      <c r="H1279" s="424"/>
      <c r="I1279" s="424"/>
      <c r="J1279" s="424"/>
      <c r="K1279" s="424"/>
      <c r="L1279" s="424"/>
      <c r="M1279" s="424"/>
      <c r="N1279" s="424"/>
      <c r="O1279" s="424"/>
      <c r="P1279" s="424"/>
      <c r="Q1279" s="435" t="n">
        <v>57</v>
      </c>
      <c r="R1279" s="434" t="s">
        <v>583</v>
      </c>
      <c r="S1279" s="424"/>
      <c r="T1279" s="434" t="s">
        <v>584</v>
      </c>
      <c r="U1279" s="434" t="s">
        <v>585</v>
      </c>
      <c r="V1279" s="436" t="n">
        <f aca="false">AY1284</f>
        <v>0</v>
      </c>
    </row>
    <row r="1280" customFormat="false" ht="13.5" hidden="false" customHeight="false" outlineLevel="0" collapsed="false">
      <c r="A1280" s="424"/>
      <c r="B1280" s="424"/>
      <c r="C1280" s="424"/>
      <c r="D1280" s="424"/>
      <c r="E1280" s="424"/>
      <c r="F1280" s="424"/>
      <c r="G1280" s="424"/>
      <c r="H1280" s="424"/>
      <c r="I1280" s="424"/>
      <c r="J1280" s="424"/>
      <c r="K1280" s="424"/>
      <c r="L1280" s="424"/>
      <c r="M1280" s="424"/>
      <c r="N1280" s="424"/>
      <c r="O1280" s="424"/>
      <c r="P1280" s="424"/>
      <c r="Q1280" s="435" t="n">
        <v>58</v>
      </c>
      <c r="R1280" s="434" t="s">
        <v>586</v>
      </c>
      <c r="S1280" s="424"/>
      <c r="T1280" s="434" t="s">
        <v>587</v>
      </c>
      <c r="U1280" s="434" t="s">
        <v>588</v>
      </c>
      <c r="V1280" s="436" t="n">
        <f aca="false">AY1285</f>
        <v>0</v>
      </c>
    </row>
    <row r="1281" customFormat="false" ht="13.5" hidden="false" customHeight="false" outlineLevel="0" collapsed="false">
      <c r="A1281" s="424"/>
      <c r="B1281" s="424"/>
      <c r="C1281" s="424"/>
      <c r="D1281" s="424"/>
      <c r="E1281" s="424"/>
      <c r="F1281" s="424"/>
      <c r="G1281" s="424"/>
      <c r="H1281" s="424"/>
      <c r="I1281" s="424"/>
      <c r="J1281" s="424"/>
      <c r="K1281" s="424"/>
      <c r="L1281" s="424"/>
      <c r="M1281" s="424"/>
      <c r="N1281" s="424"/>
      <c r="O1281" s="424"/>
      <c r="P1281" s="424"/>
      <c r="Q1281" s="435" t="n">
        <v>59</v>
      </c>
      <c r="R1281" s="434" t="s">
        <v>589</v>
      </c>
      <c r="S1281" s="424"/>
      <c r="T1281" s="434" t="s">
        <v>590</v>
      </c>
      <c r="U1281" s="434" t="s">
        <v>591</v>
      </c>
      <c r="V1281" s="436" t="n">
        <f aca="false">AY1286</f>
        <v>0</v>
      </c>
    </row>
    <row r="1282" customFormat="false" ht="13.5" hidden="false" customHeight="false" outlineLevel="0" collapsed="false">
      <c r="A1282" s="424"/>
      <c r="B1282" s="424"/>
      <c r="C1282" s="424"/>
      <c r="D1282" s="424"/>
      <c r="E1282" s="424"/>
      <c r="F1282" s="424"/>
      <c r="G1282" s="424"/>
      <c r="H1282" s="424"/>
      <c r="I1282" s="424"/>
      <c r="J1282" s="424"/>
      <c r="K1282" s="424"/>
      <c r="L1282" s="424"/>
      <c r="M1282" s="424"/>
      <c r="N1282" s="424"/>
      <c r="O1282" s="424"/>
      <c r="P1282" s="424"/>
      <c r="Q1282" s="435" t="n">
        <v>60</v>
      </c>
      <c r="R1282" s="434" t="s">
        <v>592</v>
      </c>
      <c r="S1282" s="424"/>
      <c r="T1282" s="434" t="s">
        <v>593</v>
      </c>
      <c r="U1282" s="434" t="s">
        <v>594</v>
      </c>
      <c r="V1282" s="436" t="n">
        <f aca="false">AY1287</f>
        <v>0</v>
      </c>
    </row>
    <row r="1283" customFormat="false" ht="13.5" hidden="false" customHeight="false" outlineLevel="0" collapsed="false">
      <c r="A1283" s="424"/>
      <c r="B1283" s="424"/>
      <c r="C1283" s="424"/>
      <c r="D1283" s="424"/>
      <c r="E1283" s="424"/>
      <c r="F1283" s="424"/>
      <c r="G1283" s="424"/>
      <c r="H1283" s="424"/>
      <c r="I1283" s="424"/>
      <c r="J1283" s="424"/>
      <c r="K1283" s="424"/>
      <c r="L1283" s="424"/>
      <c r="M1283" s="424"/>
      <c r="N1283" s="424"/>
      <c r="O1283" s="424"/>
      <c r="P1283" s="424"/>
      <c r="Q1283" s="435" t="n">
        <v>61</v>
      </c>
      <c r="R1283" s="434" t="s">
        <v>595</v>
      </c>
      <c r="S1283" s="424"/>
      <c r="T1283" s="434" t="s">
        <v>596</v>
      </c>
      <c r="U1283" s="434" t="s">
        <v>597</v>
      </c>
      <c r="V1283" s="436" t="n">
        <f aca="false">AY1288</f>
        <v>0</v>
      </c>
    </row>
    <row r="1284" customFormat="false" ht="13.5" hidden="false" customHeight="false" outlineLevel="0" collapsed="false">
      <c r="A1284" s="424"/>
      <c r="B1284" s="424"/>
      <c r="C1284" s="424"/>
      <c r="D1284" s="424"/>
      <c r="E1284" s="424"/>
      <c r="F1284" s="424"/>
      <c r="G1284" s="424"/>
      <c r="H1284" s="424"/>
      <c r="I1284" s="424"/>
      <c r="J1284" s="424"/>
      <c r="K1284" s="424"/>
      <c r="L1284" s="424"/>
      <c r="M1284" s="424"/>
      <c r="N1284" s="424"/>
      <c r="O1284" s="424"/>
      <c r="P1284" s="424"/>
      <c r="Q1284" s="435" t="n">
        <v>62</v>
      </c>
      <c r="R1284" s="434" t="s">
        <v>598</v>
      </c>
      <c r="S1284" s="424"/>
      <c r="T1284" s="434" t="s">
        <v>599</v>
      </c>
      <c r="U1284" s="434" t="s">
        <v>600</v>
      </c>
      <c r="V1284" s="436" t="n">
        <f aca="false">AY1289</f>
        <v>0</v>
      </c>
    </row>
    <row r="1285" customFormat="false" ht="13.5" hidden="false" customHeight="false" outlineLevel="0" collapsed="false">
      <c r="A1285" s="424"/>
      <c r="B1285" s="424"/>
      <c r="C1285" s="424"/>
      <c r="D1285" s="424"/>
      <c r="E1285" s="424"/>
      <c r="F1285" s="424"/>
      <c r="G1285" s="424"/>
      <c r="H1285" s="424"/>
      <c r="I1285" s="424"/>
      <c r="J1285" s="424"/>
      <c r="K1285" s="424"/>
      <c r="L1285" s="424"/>
      <c r="M1285" s="424"/>
      <c r="N1285" s="424"/>
      <c r="O1285" s="424"/>
      <c r="P1285" s="424"/>
      <c r="Q1285" s="435" t="n">
        <v>63</v>
      </c>
      <c r="R1285" s="434" t="s">
        <v>601</v>
      </c>
      <c r="S1285" s="424"/>
      <c r="T1285" s="434" t="s">
        <v>602</v>
      </c>
      <c r="U1285" s="434" t="s">
        <v>603</v>
      </c>
      <c r="V1285" s="436" t="n">
        <f aca="false">AY1290</f>
        <v>0</v>
      </c>
    </row>
    <row r="1286" customFormat="false" ht="13.5" hidden="false" customHeight="false" outlineLevel="0" collapsed="false">
      <c r="A1286" s="424"/>
      <c r="B1286" s="424"/>
      <c r="C1286" s="424"/>
      <c r="D1286" s="424"/>
      <c r="E1286" s="424"/>
      <c r="F1286" s="424"/>
      <c r="G1286" s="424"/>
      <c r="H1286" s="424"/>
      <c r="I1286" s="424"/>
      <c r="J1286" s="424"/>
      <c r="K1286" s="424"/>
      <c r="L1286" s="424"/>
      <c r="M1286" s="424"/>
      <c r="N1286" s="424"/>
      <c r="O1286" s="424"/>
      <c r="P1286" s="424"/>
      <c r="Q1286" s="435" t="n">
        <v>64</v>
      </c>
      <c r="R1286" s="434" t="s">
        <v>604</v>
      </c>
      <c r="S1286" s="424"/>
      <c r="T1286" s="434" t="s">
        <v>605</v>
      </c>
      <c r="U1286" s="434" t="s">
        <v>606</v>
      </c>
      <c r="V1286" s="436" t="n">
        <f aca="false">AY1291</f>
        <v>0</v>
      </c>
    </row>
    <row r="1287" customFormat="false" ht="13.5" hidden="false" customHeight="false" outlineLevel="0" collapsed="false">
      <c r="A1287" s="424"/>
      <c r="B1287" s="424"/>
      <c r="C1287" s="424"/>
      <c r="D1287" s="424"/>
      <c r="E1287" s="424"/>
      <c r="F1287" s="424"/>
      <c r="G1287" s="424"/>
      <c r="H1287" s="424"/>
      <c r="I1287" s="424"/>
      <c r="J1287" s="424"/>
      <c r="K1287" s="424"/>
      <c r="L1287" s="424"/>
      <c r="M1287" s="424"/>
      <c r="N1287" s="424"/>
      <c r="O1287" s="424"/>
      <c r="P1287" s="424"/>
      <c r="Q1287" s="435" t="n">
        <v>65</v>
      </c>
      <c r="R1287" s="434" t="s">
        <v>607</v>
      </c>
      <c r="S1287" s="424"/>
      <c r="T1287" s="434" t="s">
        <v>608</v>
      </c>
      <c r="U1287" s="434" t="s">
        <v>609</v>
      </c>
      <c r="V1287" s="436" t="n">
        <f aca="false">AY1292</f>
        <v>0</v>
      </c>
    </row>
    <row r="1288" customFormat="false" ht="13.5" hidden="false" customHeight="false" outlineLevel="0" collapsed="false">
      <c r="A1288" s="424"/>
      <c r="B1288" s="424"/>
      <c r="C1288" s="424"/>
      <c r="D1288" s="424"/>
      <c r="E1288" s="424"/>
      <c r="F1288" s="424"/>
      <c r="G1288" s="424"/>
      <c r="H1288" s="424"/>
      <c r="I1288" s="424"/>
      <c r="J1288" s="424"/>
      <c r="K1288" s="424"/>
      <c r="L1288" s="424"/>
      <c r="M1288" s="424"/>
      <c r="N1288" s="424"/>
      <c r="O1288" s="424"/>
      <c r="P1288" s="424"/>
      <c r="Q1288" s="435" t="n">
        <v>66</v>
      </c>
      <c r="R1288" s="434" t="s">
        <v>610</v>
      </c>
      <c r="S1288" s="424"/>
      <c r="T1288" s="434" t="s">
        <v>611</v>
      </c>
      <c r="U1288" s="434" t="s">
        <v>612</v>
      </c>
      <c r="V1288" s="436" t="n">
        <f aca="false">AY1293</f>
        <v>0</v>
      </c>
    </row>
    <row r="1289" customFormat="false" ht="13.5" hidden="false" customHeight="false" outlineLevel="0" collapsed="false">
      <c r="A1289" s="424"/>
      <c r="B1289" s="424"/>
      <c r="C1289" s="424"/>
      <c r="D1289" s="424"/>
      <c r="E1289" s="424"/>
      <c r="F1289" s="424"/>
      <c r="G1289" s="424"/>
      <c r="H1289" s="424"/>
      <c r="I1289" s="424"/>
      <c r="J1289" s="424"/>
      <c r="K1289" s="424"/>
      <c r="L1289" s="424"/>
      <c r="M1289" s="424"/>
      <c r="N1289" s="424"/>
      <c r="O1289" s="424"/>
      <c r="P1289" s="424"/>
      <c r="Q1289" s="435" t="n">
        <v>67</v>
      </c>
      <c r="R1289" s="434" t="s">
        <v>613</v>
      </c>
      <c r="S1289" s="424"/>
      <c r="T1289" s="434" t="s">
        <v>614</v>
      </c>
      <c r="U1289" s="434" t="s">
        <v>615</v>
      </c>
      <c r="V1289" s="436" t="n">
        <f aca="false">AY1294</f>
        <v>0</v>
      </c>
    </row>
    <row r="1290" customFormat="false" ht="13.5" hidden="false" customHeight="false" outlineLevel="0" collapsed="false">
      <c r="A1290" s="424"/>
      <c r="B1290" s="424"/>
      <c r="C1290" s="424"/>
      <c r="D1290" s="424"/>
      <c r="E1290" s="424"/>
      <c r="F1290" s="424"/>
      <c r="G1290" s="424"/>
      <c r="H1290" s="424"/>
      <c r="I1290" s="424"/>
      <c r="J1290" s="424"/>
      <c r="K1290" s="424"/>
      <c r="L1290" s="424"/>
      <c r="M1290" s="424"/>
      <c r="N1290" s="424"/>
      <c r="O1290" s="424"/>
      <c r="P1290" s="424"/>
      <c r="Q1290" s="435" t="n">
        <v>68</v>
      </c>
      <c r="R1290" s="434" t="s">
        <v>616</v>
      </c>
      <c r="S1290" s="424"/>
      <c r="T1290" s="434" t="s">
        <v>617</v>
      </c>
      <c r="U1290" s="434" t="s">
        <v>618</v>
      </c>
      <c r="V1290" s="436" t="n">
        <f aca="false">AY1295</f>
        <v>0</v>
      </c>
    </row>
    <row r="1291" customFormat="false" ht="13.5" hidden="false" customHeight="false" outlineLevel="0" collapsed="false">
      <c r="A1291" s="424"/>
      <c r="B1291" s="424"/>
      <c r="C1291" s="424"/>
      <c r="D1291" s="424"/>
      <c r="E1291" s="424"/>
      <c r="F1291" s="424"/>
      <c r="G1291" s="424"/>
      <c r="H1291" s="424"/>
      <c r="I1291" s="424"/>
      <c r="J1291" s="424"/>
      <c r="K1291" s="424"/>
      <c r="L1291" s="424"/>
      <c r="M1291" s="424"/>
      <c r="N1291" s="424"/>
      <c r="O1291" s="424"/>
      <c r="P1291" s="424"/>
      <c r="Q1291" s="435" t="n">
        <v>69</v>
      </c>
      <c r="R1291" s="434" t="s">
        <v>619</v>
      </c>
      <c r="S1291" s="424"/>
      <c r="T1291" s="434" t="s">
        <v>620</v>
      </c>
      <c r="U1291" s="434" t="s">
        <v>621</v>
      </c>
      <c r="V1291" s="436" t="n">
        <f aca="false">AY1296</f>
        <v>0</v>
      </c>
    </row>
    <row r="1292" customFormat="false" ht="13.5" hidden="false" customHeight="false" outlineLevel="0" collapsed="false">
      <c r="A1292" s="424"/>
      <c r="B1292" s="424"/>
      <c r="C1292" s="424"/>
      <c r="D1292" s="424"/>
      <c r="E1292" s="424"/>
      <c r="F1292" s="424"/>
      <c r="G1292" s="424"/>
      <c r="H1292" s="424"/>
      <c r="I1292" s="424"/>
      <c r="J1292" s="424"/>
      <c r="K1292" s="424"/>
      <c r="L1292" s="424"/>
      <c r="M1292" s="424"/>
      <c r="N1292" s="424"/>
      <c r="O1292" s="424"/>
      <c r="P1292" s="424"/>
      <c r="Q1292" s="435" t="n">
        <v>70</v>
      </c>
      <c r="R1292" s="434" t="s">
        <v>622</v>
      </c>
      <c r="S1292" s="424"/>
      <c r="T1292" s="434" t="s">
        <v>623</v>
      </c>
      <c r="U1292" s="434" t="s">
        <v>624</v>
      </c>
      <c r="V1292" s="436" t="n">
        <f aca="false">AY1297</f>
        <v>0</v>
      </c>
    </row>
    <row r="1293" customFormat="false" ht="13.5" hidden="false" customHeight="false" outlineLevel="0" collapsed="false">
      <c r="A1293" s="424"/>
      <c r="B1293" s="424"/>
      <c r="C1293" s="424"/>
      <c r="D1293" s="424"/>
      <c r="E1293" s="424"/>
      <c r="F1293" s="424"/>
      <c r="G1293" s="424"/>
      <c r="H1293" s="424"/>
      <c r="I1293" s="424"/>
      <c r="J1293" s="424"/>
      <c r="K1293" s="424"/>
      <c r="L1293" s="424"/>
      <c r="M1293" s="424"/>
      <c r="N1293" s="424"/>
      <c r="O1293" s="424"/>
      <c r="P1293" s="424"/>
      <c r="Q1293" s="435" t="n">
        <v>71</v>
      </c>
      <c r="R1293" s="434" t="s">
        <v>625</v>
      </c>
      <c r="S1293" s="424"/>
      <c r="T1293" s="434" t="s">
        <v>626</v>
      </c>
      <c r="U1293" s="434" t="s">
        <v>627</v>
      </c>
      <c r="V1293" s="436" t="n">
        <f aca="false">AY1298</f>
        <v>0</v>
      </c>
    </row>
    <row r="1294" customFormat="false" ht="13.5" hidden="false" customHeight="false" outlineLevel="0" collapsed="false">
      <c r="A1294" s="424"/>
      <c r="B1294" s="424"/>
      <c r="C1294" s="424"/>
      <c r="D1294" s="424"/>
      <c r="E1294" s="424"/>
      <c r="F1294" s="424"/>
      <c r="G1294" s="424"/>
      <c r="H1294" s="424"/>
      <c r="I1294" s="424"/>
      <c r="J1294" s="424"/>
      <c r="K1294" s="424"/>
      <c r="L1294" s="424"/>
      <c r="M1294" s="424"/>
      <c r="N1294" s="424"/>
      <c r="O1294" s="424"/>
      <c r="P1294" s="424"/>
      <c r="Q1294" s="435" t="n">
        <v>72</v>
      </c>
      <c r="R1294" s="434" t="s">
        <v>628</v>
      </c>
      <c r="S1294" s="424"/>
      <c r="T1294" s="434" t="s">
        <v>629</v>
      </c>
      <c r="U1294" s="434" t="s">
        <v>630</v>
      </c>
      <c r="V1294" s="436" t="n">
        <f aca="false">AY1299</f>
        <v>0</v>
      </c>
    </row>
    <row r="1295" customFormat="false" ht="13.5" hidden="false" customHeight="false" outlineLevel="0" collapsed="false">
      <c r="A1295" s="424"/>
      <c r="B1295" s="424"/>
      <c r="C1295" s="424"/>
      <c r="D1295" s="424"/>
      <c r="E1295" s="424"/>
      <c r="F1295" s="424"/>
      <c r="G1295" s="424"/>
      <c r="H1295" s="424"/>
      <c r="I1295" s="424"/>
      <c r="J1295" s="424"/>
      <c r="K1295" s="424"/>
      <c r="L1295" s="424"/>
      <c r="M1295" s="424"/>
      <c r="N1295" s="424"/>
      <c r="O1295" s="424"/>
      <c r="P1295" s="424"/>
      <c r="Q1295" s="435" t="n">
        <v>73</v>
      </c>
      <c r="R1295" s="434" t="s">
        <v>631</v>
      </c>
      <c r="S1295" s="424"/>
      <c r="T1295" s="434" t="s">
        <v>632</v>
      </c>
      <c r="U1295" s="434" t="s">
        <v>633</v>
      </c>
      <c r="V1295" s="436" t="n">
        <f aca="false">AY1300</f>
        <v>0</v>
      </c>
    </row>
    <row r="1296" customFormat="false" ht="13.5" hidden="false" customHeight="false" outlineLevel="0" collapsed="false">
      <c r="A1296" s="424"/>
      <c r="B1296" s="424"/>
      <c r="C1296" s="424"/>
      <c r="D1296" s="424"/>
      <c r="E1296" s="424"/>
      <c r="F1296" s="424"/>
      <c r="G1296" s="424"/>
      <c r="H1296" s="424"/>
      <c r="I1296" s="424"/>
      <c r="J1296" s="424"/>
      <c r="K1296" s="424"/>
      <c r="L1296" s="424"/>
      <c r="M1296" s="424"/>
      <c r="N1296" s="424"/>
      <c r="O1296" s="424"/>
      <c r="P1296" s="424"/>
      <c r="Q1296" s="435" t="n">
        <v>74</v>
      </c>
      <c r="R1296" s="434" t="s">
        <v>634</v>
      </c>
      <c r="S1296" s="424"/>
      <c r="T1296" s="434" t="s">
        <v>635</v>
      </c>
      <c r="U1296" s="434" t="s">
        <v>636</v>
      </c>
      <c r="V1296" s="436" t="n">
        <f aca="false">AY1301</f>
        <v>0</v>
      </c>
    </row>
    <row r="1297" customFormat="false" ht="13.5" hidden="false" customHeight="false" outlineLevel="0" collapsed="false">
      <c r="A1297" s="424"/>
      <c r="B1297" s="424"/>
      <c r="C1297" s="424"/>
      <c r="D1297" s="424"/>
      <c r="E1297" s="424"/>
      <c r="F1297" s="424"/>
      <c r="G1297" s="424"/>
      <c r="H1297" s="424"/>
      <c r="I1297" s="424"/>
      <c r="J1297" s="424"/>
      <c r="K1297" s="424"/>
      <c r="L1297" s="424"/>
      <c r="M1297" s="424"/>
      <c r="N1297" s="424"/>
      <c r="O1297" s="424"/>
      <c r="P1297" s="424"/>
      <c r="Q1297" s="435" t="n">
        <v>75</v>
      </c>
      <c r="R1297" s="434" t="s">
        <v>637</v>
      </c>
      <c r="S1297" s="424"/>
      <c r="T1297" s="434" t="s">
        <v>638</v>
      </c>
      <c r="U1297" s="434" t="s">
        <v>639</v>
      </c>
      <c r="V1297" s="436" t="n">
        <f aca="false">AY1302</f>
        <v>0</v>
      </c>
    </row>
    <row r="1298" customFormat="false" ht="13.5" hidden="false" customHeight="false" outlineLevel="0" collapsed="false">
      <c r="A1298" s="424"/>
      <c r="B1298" s="424"/>
      <c r="C1298" s="424"/>
      <c r="D1298" s="424"/>
      <c r="E1298" s="424"/>
      <c r="F1298" s="424"/>
      <c r="G1298" s="424"/>
      <c r="H1298" s="424"/>
      <c r="I1298" s="424"/>
      <c r="J1298" s="424"/>
      <c r="K1298" s="424"/>
      <c r="L1298" s="424"/>
      <c r="M1298" s="424"/>
      <c r="N1298" s="424"/>
      <c r="O1298" s="424"/>
      <c r="P1298" s="424"/>
      <c r="Q1298" s="435" t="n">
        <v>76</v>
      </c>
      <c r="R1298" s="434" t="s">
        <v>640</v>
      </c>
      <c r="S1298" s="424"/>
      <c r="T1298" s="434" t="s">
        <v>641</v>
      </c>
      <c r="U1298" s="434" t="s">
        <v>642</v>
      </c>
      <c r="V1298" s="436" t="n">
        <f aca="false">AY1303</f>
        <v>0</v>
      </c>
    </row>
    <row r="1299" customFormat="false" ht="13.5" hidden="false" customHeight="false" outlineLevel="0" collapsed="false">
      <c r="A1299" s="424"/>
      <c r="B1299" s="424"/>
      <c r="C1299" s="424"/>
      <c r="D1299" s="424"/>
      <c r="E1299" s="424"/>
      <c r="F1299" s="424"/>
      <c r="G1299" s="424"/>
      <c r="H1299" s="424"/>
      <c r="I1299" s="424"/>
      <c r="J1299" s="424"/>
      <c r="K1299" s="424"/>
      <c r="L1299" s="424"/>
      <c r="M1299" s="424"/>
      <c r="N1299" s="424"/>
      <c r="O1299" s="424"/>
      <c r="P1299" s="424"/>
      <c r="Q1299" s="435" t="n">
        <v>77</v>
      </c>
      <c r="R1299" s="434" t="s">
        <v>643</v>
      </c>
      <c r="S1299" s="424"/>
      <c r="T1299" s="434" t="s">
        <v>644</v>
      </c>
      <c r="U1299" s="434" t="s">
        <v>645</v>
      </c>
      <c r="V1299" s="436" t="n">
        <f aca="false">AY1304</f>
        <v>0</v>
      </c>
    </row>
    <row r="1300" customFormat="false" ht="13.5" hidden="false" customHeight="false" outlineLevel="0" collapsed="false">
      <c r="A1300" s="424"/>
      <c r="B1300" s="424"/>
      <c r="C1300" s="424"/>
      <c r="D1300" s="424"/>
      <c r="E1300" s="424"/>
      <c r="F1300" s="424"/>
      <c r="G1300" s="424"/>
      <c r="H1300" s="424"/>
      <c r="I1300" s="424"/>
      <c r="J1300" s="424"/>
      <c r="K1300" s="424"/>
      <c r="L1300" s="424"/>
      <c r="M1300" s="424"/>
      <c r="N1300" s="424"/>
      <c r="O1300" s="424"/>
      <c r="P1300" s="424"/>
      <c r="Q1300" s="435" t="n">
        <v>78</v>
      </c>
      <c r="R1300" s="434" t="s">
        <v>646</v>
      </c>
      <c r="S1300" s="424"/>
      <c r="T1300" s="434" t="s">
        <v>647</v>
      </c>
      <c r="U1300" s="434" t="s">
        <v>648</v>
      </c>
      <c r="V1300" s="436" t="n">
        <f aca="false">AY1305</f>
        <v>0</v>
      </c>
    </row>
    <row r="1301" customFormat="false" ht="13.5" hidden="false" customHeight="false" outlineLevel="0" collapsed="false">
      <c r="A1301" s="424"/>
      <c r="B1301" s="424"/>
      <c r="C1301" s="424"/>
      <c r="D1301" s="424"/>
      <c r="E1301" s="424"/>
      <c r="F1301" s="424"/>
      <c r="G1301" s="424"/>
      <c r="H1301" s="424"/>
      <c r="I1301" s="424"/>
      <c r="J1301" s="424"/>
      <c r="K1301" s="424"/>
      <c r="L1301" s="424"/>
      <c r="M1301" s="424"/>
      <c r="N1301" s="424"/>
      <c r="O1301" s="424"/>
      <c r="P1301" s="424"/>
      <c r="Q1301" s="435" t="n">
        <v>79</v>
      </c>
      <c r="R1301" s="434" t="s">
        <v>649</v>
      </c>
      <c r="S1301" s="424"/>
      <c r="T1301" s="434" t="s">
        <v>650</v>
      </c>
      <c r="U1301" s="434" t="s">
        <v>651</v>
      </c>
      <c r="V1301" s="436" t="n">
        <f aca="false">AY1306</f>
        <v>0</v>
      </c>
    </row>
    <row r="1302" customFormat="false" ht="13.5" hidden="false" customHeight="false" outlineLevel="0" collapsed="false">
      <c r="A1302" s="424"/>
      <c r="B1302" s="424"/>
      <c r="C1302" s="424"/>
      <c r="D1302" s="424"/>
      <c r="E1302" s="424"/>
      <c r="F1302" s="424"/>
      <c r="G1302" s="424"/>
      <c r="H1302" s="424"/>
      <c r="I1302" s="424"/>
      <c r="J1302" s="424"/>
      <c r="K1302" s="424"/>
      <c r="L1302" s="424"/>
      <c r="M1302" s="424"/>
      <c r="N1302" s="424"/>
      <c r="O1302" s="424"/>
      <c r="P1302" s="424"/>
      <c r="Q1302" s="435" t="n">
        <v>80</v>
      </c>
      <c r="R1302" s="434" t="s">
        <v>652</v>
      </c>
      <c r="S1302" s="424"/>
      <c r="T1302" s="434" t="s">
        <v>653</v>
      </c>
      <c r="U1302" s="434" t="s">
        <v>654</v>
      </c>
      <c r="V1302" s="436" t="n">
        <f aca="false">AY1307</f>
        <v>0</v>
      </c>
    </row>
    <row r="1303" customFormat="false" ht="13.5" hidden="false" customHeight="false" outlineLevel="0" collapsed="false">
      <c r="A1303" s="424"/>
      <c r="B1303" s="424"/>
      <c r="C1303" s="424"/>
      <c r="D1303" s="424"/>
      <c r="E1303" s="424"/>
      <c r="F1303" s="424"/>
      <c r="G1303" s="424"/>
      <c r="H1303" s="424"/>
      <c r="I1303" s="424"/>
      <c r="J1303" s="424"/>
      <c r="K1303" s="424"/>
      <c r="L1303" s="424"/>
      <c r="M1303" s="424"/>
      <c r="N1303" s="424"/>
      <c r="O1303" s="424"/>
      <c r="P1303" s="424"/>
      <c r="Q1303" s="435" t="n">
        <v>81</v>
      </c>
      <c r="R1303" s="434" t="s">
        <v>655</v>
      </c>
      <c r="S1303" s="424"/>
      <c r="T1303" s="434" t="s">
        <v>656</v>
      </c>
      <c r="U1303" s="434" t="s">
        <v>657</v>
      </c>
      <c r="V1303" s="436" t="n">
        <f aca="false">AY1308</f>
        <v>0</v>
      </c>
    </row>
    <row r="1304" customFormat="false" ht="13.5" hidden="false" customHeight="false" outlineLevel="0" collapsed="false">
      <c r="A1304" s="424"/>
      <c r="B1304" s="424"/>
      <c r="C1304" s="424"/>
      <c r="D1304" s="424"/>
      <c r="E1304" s="424"/>
      <c r="F1304" s="424"/>
      <c r="G1304" s="424"/>
      <c r="H1304" s="424"/>
      <c r="I1304" s="424"/>
      <c r="J1304" s="424"/>
      <c r="K1304" s="424"/>
      <c r="L1304" s="424"/>
      <c r="M1304" s="424"/>
      <c r="N1304" s="424"/>
      <c r="O1304" s="424"/>
      <c r="P1304" s="424"/>
      <c r="Q1304" s="435" t="n">
        <v>82</v>
      </c>
      <c r="R1304" s="434" t="s">
        <v>658</v>
      </c>
      <c r="S1304" s="424"/>
      <c r="T1304" s="434" t="s">
        <v>659</v>
      </c>
      <c r="U1304" s="434" t="s">
        <v>660</v>
      </c>
      <c r="V1304" s="436" t="n">
        <f aca="false">AY1309</f>
        <v>0</v>
      </c>
    </row>
    <row r="1305" customFormat="false" ht="13.5" hidden="false" customHeight="false" outlineLevel="0" collapsed="false">
      <c r="A1305" s="424"/>
      <c r="B1305" s="424"/>
      <c r="C1305" s="424"/>
      <c r="D1305" s="424"/>
      <c r="E1305" s="424"/>
      <c r="F1305" s="424"/>
      <c r="G1305" s="424"/>
      <c r="H1305" s="424"/>
      <c r="I1305" s="424"/>
      <c r="J1305" s="424"/>
      <c r="K1305" s="424"/>
      <c r="L1305" s="424"/>
      <c r="M1305" s="424"/>
      <c r="N1305" s="424"/>
      <c r="O1305" s="424"/>
      <c r="P1305" s="424"/>
      <c r="Q1305" s="435" t="n">
        <v>83</v>
      </c>
      <c r="R1305" s="434" t="s">
        <v>661</v>
      </c>
      <c r="S1305" s="424"/>
      <c r="T1305" s="434" t="s">
        <v>662</v>
      </c>
      <c r="U1305" s="434" t="s">
        <v>663</v>
      </c>
      <c r="V1305" s="436" t="n">
        <f aca="false">AY1310</f>
        <v>0</v>
      </c>
    </row>
    <row r="1306" customFormat="false" ht="13.5" hidden="false" customHeight="false" outlineLevel="0" collapsed="false">
      <c r="A1306" s="424"/>
      <c r="B1306" s="424"/>
      <c r="C1306" s="424"/>
      <c r="D1306" s="424"/>
      <c r="E1306" s="424"/>
      <c r="F1306" s="424"/>
      <c r="G1306" s="424"/>
      <c r="H1306" s="424"/>
      <c r="I1306" s="424"/>
      <c r="J1306" s="424"/>
      <c r="K1306" s="424"/>
      <c r="L1306" s="424"/>
      <c r="M1306" s="424"/>
      <c r="N1306" s="424"/>
      <c r="O1306" s="424"/>
      <c r="P1306" s="424"/>
      <c r="Q1306" s="435" t="n">
        <v>84</v>
      </c>
      <c r="R1306" s="434" t="s">
        <v>664</v>
      </c>
      <c r="S1306" s="424"/>
      <c r="T1306" s="434" t="s">
        <v>665</v>
      </c>
      <c r="U1306" s="434" t="s">
        <v>666</v>
      </c>
      <c r="V1306" s="436" t="n">
        <f aca="false">AY1311</f>
        <v>0</v>
      </c>
    </row>
    <row r="1307" customFormat="false" ht="13.5" hidden="false" customHeight="false" outlineLevel="0" collapsed="false">
      <c r="A1307" s="424"/>
      <c r="B1307" s="424"/>
      <c r="C1307" s="424"/>
      <c r="D1307" s="424"/>
      <c r="E1307" s="424"/>
      <c r="F1307" s="424"/>
      <c r="G1307" s="424"/>
      <c r="H1307" s="424"/>
      <c r="I1307" s="424"/>
      <c r="J1307" s="424"/>
      <c r="K1307" s="424"/>
      <c r="L1307" s="424"/>
      <c r="M1307" s="424"/>
      <c r="N1307" s="424"/>
      <c r="O1307" s="424"/>
      <c r="P1307" s="424"/>
      <c r="Q1307" s="435" t="n">
        <v>85</v>
      </c>
      <c r="R1307" s="434" t="s">
        <v>667</v>
      </c>
      <c r="S1307" s="424"/>
      <c r="T1307" s="434" t="s">
        <v>668</v>
      </c>
      <c r="U1307" s="434" t="s">
        <v>669</v>
      </c>
      <c r="V1307" s="436" t="n">
        <f aca="false">AY1312</f>
        <v>0</v>
      </c>
    </row>
    <row r="1308" customFormat="false" ht="13.5" hidden="false" customHeight="false" outlineLevel="0" collapsed="false">
      <c r="A1308" s="424"/>
      <c r="B1308" s="424"/>
      <c r="C1308" s="424"/>
      <c r="D1308" s="424"/>
      <c r="E1308" s="424"/>
      <c r="F1308" s="424"/>
      <c r="G1308" s="424"/>
      <c r="H1308" s="424"/>
      <c r="I1308" s="424"/>
      <c r="J1308" s="424"/>
      <c r="K1308" s="424"/>
      <c r="L1308" s="424"/>
      <c r="M1308" s="424"/>
      <c r="N1308" s="424"/>
      <c r="O1308" s="424"/>
      <c r="P1308" s="424"/>
      <c r="Q1308" s="435" t="n">
        <v>86</v>
      </c>
      <c r="R1308" s="434" t="s">
        <v>670</v>
      </c>
      <c r="S1308" s="424"/>
      <c r="T1308" s="434" t="s">
        <v>671</v>
      </c>
      <c r="U1308" s="434" t="s">
        <v>672</v>
      </c>
      <c r="V1308" s="436" t="n">
        <f aca="false">AY1313</f>
        <v>0</v>
      </c>
    </row>
    <row r="1309" customFormat="false" ht="13.5" hidden="false" customHeight="false" outlineLevel="0" collapsed="false">
      <c r="A1309" s="424"/>
      <c r="B1309" s="424"/>
      <c r="C1309" s="424"/>
      <c r="D1309" s="424"/>
      <c r="E1309" s="424"/>
      <c r="F1309" s="424"/>
      <c r="G1309" s="424"/>
      <c r="H1309" s="424"/>
      <c r="I1309" s="424"/>
      <c r="J1309" s="424"/>
      <c r="K1309" s="424"/>
      <c r="L1309" s="424"/>
      <c r="M1309" s="424"/>
      <c r="N1309" s="424"/>
      <c r="O1309" s="424"/>
      <c r="P1309" s="424"/>
      <c r="Q1309" s="435" t="n">
        <v>87</v>
      </c>
      <c r="R1309" s="434" t="s">
        <v>673</v>
      </c>
      <c r="S1309" s="424"/>
      <c r="T1309" s="434" t="s">
        <v>674</v>
      </c>
      <c r="U1309" s="434" t="s">
        <v>675</v>
      </c>
      <c r="V1309" s="436" t="n">
        <f aca="false">AY1314</f>
        <v>0</v>
      </c>
    </row>
    <row r="1310" customFormat="false" ht="13.5" hidden="false" customHeight="false" outlineLevel="0" collapsed="false">
      <c r="A1310" s="424"/>
      <c r="B1310" s="424"/>
      <c r="C1310" s="424"/>
      <c r="D1310" s="424"/>
      <c r="E1310" s="424"/>
      <c r="F1310" s="424"/>
      <c r="G1310" s="424"/>
      <c r="H1310" s="424"/>
      <c r="I1310" s="424"/>
      <c r="J1310" s="424"/>
      <c r="K1310" s="424"/>
      <c r="L1310" s="424"/>
      <c r="M1310" s="424"/>
      <c r="N1310" s="424"/>
      <c r="O1310" s="424"/>
      <c r="P1310" s="424"/>
      <c r="Q1310" s="435" t="n">
        <v>88</v>
      </c>
      <c r="R1310" s="434" t="s">
        <v>676</v>
      </c>
      <c r="S1310" s="424"/>
      <c r="T1310" s="434" t="s">
        <v>677</v>
      </c>
      <c r="U1310" s="434" t="s">
        <v>678</v>
      </c>
      <c r="V1310" s="436" t="n">
        <f aca="false">AY1315</f>
        <v>0</v>
      </c>
    </row>
    <row r="1311" customFormat="false" ht="13.5" hidden="false" customHeight="false" outlineLevel="0" collapsed="false">
      <c r="A1311" s="424"/>
      <c r="B1311" s="424"/>
      <c r="C1311" s="424"/>
      <c r="D1311" s="424"/>
      <c r="E1311" s="424"/>
      <c r="F1311" s="424"/>
      <c r="G1311" s="424"/>
      <c r="H1311" s="424"/>
      <c r="I1311" s="424"/>
      <c r="J1311" s="424"/>
      <c r="K1311" s="424"/>
      <c r="L1311" s="424"/>
      <c r="M1311" s="424"/>
      <c r="N1311" s="424"/>
      <c r="O1311" s="424"/>
      <c r="P1311" s="424"/>
      <c r="Q1311" s="435" t="n">
        <v>89</v>
      </c>
      <c r="R1311" s="434" t="s">
        <v>679</v>
      </c>
      <c r="S1311" s="424"/>
      <c r="T1311" s="434" t="s">
        <v>680</v>
      </c>
      <c r="U1311" s="434" t="s">
        <v>681</v>
      </c>
      <c r="V1311" s="436" t="n">
        <f aca="false">AY1316</f>
        <v>0</v>
      </c>
    </row>
    <row r="1312" customFormat="false" ht="13.5" hidden="false" customHeight="false" outlineLevel="0" collapsed="false">
      <c r="A1312" s="424"/>
      <c r="B1312" s="424"/>
      <c r="C1312" s="424"/>
      <c r="D1312" s="424"/>
      <c r="E1312" s="424"/>
      <c r="F1312" s="424"/>
      <c r="G1312" s="424"/>
      <c r="H1312" s="424"/>
      <c r="I1312" s="424"/>
      <c r="J1312" s="424"/>
      <c r="K1312" s="424"/>
      <c r="L1312" s="424"/>
      <c r="M1312" s="424"/>
      <c r="N1312" s="424"/>
      <c r="O1312" s="424"/>
      <c r="P1312" s="424"/>
      <c r="Q1312" s="435" t="n">
        <v>90</v>
      </c>
      <c r="R1312" s="434" t="s">
        <v>682</v>
      </c>
      <c r="S1312" s="424"/>
      <c r="T1312" s="434" t="s">
        <v>683</v>
      </c>
      <c r="U1312" s="434" t="s">
        <v>684</v>
      </c>
      <c r="V1312" s="436" t="n">
        <f aca="false">AY1317</f>
        <v>0</v>
      </c>
    </row>
    <row r="1313" customFormat="false" ht="13.5" hidden="false" customHeight="false" outlineLevel="0" collapsed="false">
      <c r="A1313" s="424"/>
      <c r="B1313" s="424"/>
      <c r="C1313" s="424"/>
      <c r="D1313" s="424"/>
      <c r="E1313" s="424"/>
      <c r="F1313" s="424"/>
      <c r="G1313" s="424"/>
      <c r="H1313" s="424"/>
      <c r="I1313" s="424"/>
      <c r="J1313" s="424"/>
      <c r="K1313" s="424"/>
      <c r="L1313" s="424"/>
      <c r="M1313" s="424"/>
      <c r="N1313" s="424"/>
      <c r="O1313" s="424"/>
      <c r="P1313" s="424"/>
      <c r="Q1313" s="435" t="n">
        <v>91</v>
      </c>
      <c r="R1313" s="434" t="s">
        <v>685</v>
      </c>
      <c r="S1313" s="424"/>
      <c r="T1313" s="434" t="s">
        <v>686</v>
      </c>
      <c r="U1313" s="434" t="s">
        <v>687</v>
      </c>
      <c r="V1313" s="436" t="n">
        <f aca="false">AY1318</f>
        <v>0</v>
      </c>
    </row>
    <row r="1314" customFormat="false" ht="13.5" hidden="false" customHeight="false" outlineLevel="0" collapsed="false">
      <c r="A1314" s="424"/>
      <c r="B1314" s="424"/>
      <c r="C1314" s="424"/>
      <c r="D1314" s="424"/>
      <c r="E1314" s="424"/>
      <c r="F1314" s="424"/>
      <c r="G1314" s="424"/>
      <c r="H1314" s="424"/>
      <c r="I1314" s="424"/>
      <c r="J1314" s="424"/>
      <c r="K1314" s="424"/>
      <c r="L1314" s="424"/>
      <c r="M1314" s="424"/>
      <c r="N1314" s="424"/>
      <c r="O1314" s="424"/>
      <c r="P1314" s="424"/>
      <c r="Q1314" s="435" t="n">
        <v>92</v>
      </c>
      <c r="R1314" s="434" t="s">
        <v>688</v>
      </c>
      <c r="S1314" s="424"/>
      <c r="T1314" s="434" t="s">
        <v>689</v>
      </c>
      <c r="U1314" s="434" t="s">
        <v>690</v>
      </c>
      <c r="V1314" s="436" t="n">
        <f aca="false">AY1319</f>
        <v>0</v>
      </c>
    </row>
    <row r="1315" customFormat="false" ht="13.5" hidden="false" customHeight="false" outlineLevel="0" collapsed="false">
      <c r="A1315" s="424"/>
      <c r="B1315" s="424"/>
      <c r="C1315" s="424"/>
      <c r="D1315" s="424"/>
      <c r="E1315" s="424"/>
      <c r="F1315" s="424"/>
      <c r="G1315" s="424"/>
      <c r="H1315" s="424"/>
      <c r="I1315" s="424"/>
      <c r="J1315" s="424"/>
      <c r="K1315" s="424"/>
      <c r="L1315" s="424"/>
      <c r="M1315" s="424"/>
      <c r="N1315" s="424"/>
      <c r="O1315" s="424"/>
      <c r="P1315" s="424"/>
      <c r="Q1315" s="435" t="n">
        <v>93</v>
      </c>
      <c r="R1315" s="434" t="s">
        <v>691</v>
      </c>
      <c r="S1315" s="424"/>
      <c r="T1315" s="434" t="s">
        <v>692</v>
      </c>
      <c r="U1315" s="434" t="s">
        <v>693</v>
      </c>
      <c r="V1315" s="436" t="n">
        <f aca="false">AY1320</f>
        <v>0</v>
      </c>
    </row>
    <row r="1316" customFormat="false" ht="13.5" hidden="false" customHeight="false" outlineLevel="0" collapsed="false">
      <c r="A1316" s="424"/>
      <c r="B1316" s="424"/>
      <c r="C1316" s="424"/>
      <c r="D1316" s="424"/>
      <c r="E1316" s="424"/>
      <c r="F1316" s="424"/>
      <c r="G1316" s="424"/>
      <c r="H1316" s="424"/>
      <c r="I1316" s="424"/>
      <c r="J1316" s="424"/>
      <c r="K1316" s="424"/>
      <c r="L1316" s="424"/>
      <c r="M1316" s="424"/>
      <c r="N1316" s="424"/>
      <c r="O1316" s="424"/>
      <c r="P1316" s="424"/>
      <c r="Q1316" s="435" t="n">
        <v>94</v>
      </c>
      <c r="R1316" s="434" t="s">
        <v>694</v>
      </c>
      <c r="S1316" s="424"/>
      <c r="T1316" s="434" t="s">
        <v>695</v>
      </c>
      <c r="U1316" s="434" t="s">
        <v>696</v>
      </c>
      <c r="V1316" s="436" t="n">
        <f aca="false">AY1321</f>
        <v>0</v>
      </c>
    </row>
    <row r="1317" customFormat="false" ht="13.5" hidden="false" customHeight="false" outlineLevel="0" collapsed="false">
      <c r="A1317" s="424"/>
      <c r="B1317" s="424"/>
      <c r="C1317" s="424"/>
      <c r="D1317" s="424"/>
      <c r="E1317" s="424"/>
      <c r="F1317" s="424"/>
      <c r="G1317" s="424"/>
      <c r="H1317" s="424"/>
      <c r="I1317" s="424"/>
      <c r="J1317" s="424"/>
      <c r="K1317" s="424"/>
      <c r="L1317" s="424"/>
      <c r="M1317" s="424"/>
      <c r="N1317" s="424"/>
      <c r="O1317" s="424"/>
      <c r="P1317" s="424"/>
      <c r="Q1317" s="435" t="n">
        <v>95</v>
      </c>
      <c r="R1317" s="434" t="s">
        <v>697</v>
      </c>
      <c r="S1317" s="424"/>
      <c r="T1317" s="434" t="s">
        <v>698</v>
      </c>
      <c r="U1317" s="434" t="s">
        <v>699</v>
      </c>
      <c r="V1317" s="436" t="n">
        <f aca="false">AY1322</f>
        <v>0</v>
      </c>
    </row>
    <row r="1318" customFormat="false" ht="13.5" hidden="false" customHeight="false" outlineLevel="0" collapsed="false">
      <c r="A1318" s="424"/>
      <c r="B1318" s="424"/>
      <c r="C1318" s="424"/>
      <c r="D1318" s="424"/>
      <c r="E1318" s="424"/>
      <c r="F1318" s="424"/>
      <c r="G1318" s="424"/>
      <c r="H1318" s="424"/>
      <c r="I1318" s="424"/>
      <c r="J1318" s="424"/>
      <c r="K1318" s="424"/>
      <c r="L1318" s="424"/>
      <c r="M1318" s="424"/>
      <c r="N1318" s="424"/>
      <c r="O1318" s="424"/>
      <c r="P1318" s="424"/>
      <c r="Q1318" s="435" t="n">
        <v>96</v>
      </c>
      <c r="R1318" s="434" t="s">
        <v>700</v>
      </c>
      <c r="S1318" s="424"/>
      <c r="T1318" s="434" t="s">
        <v>701</v>
      </c>
      <c r="U1318" s="434" t="s">
        <v>702</v>
      </c>
      <c r="V1318" s="436" t="n">
        <f aca="false">AY1323</f>
        <v>0</v>
      </c>
    </row>
    <row r="1319" customFormat="false" ht="13.5" hidden="false" customHeight="false" outlineLevel="0" collapsed="false">
      <c r="A1319" s="424"/>
      <c r="B1319" s="424"/>
      <c r="C1319" s="424"/>
      <c r="D1319" s="424"/>
      <c r="E1319" s="424"/>
      <c r="F1319" s="424"/>
      <c r="G1319" s="424"/>
      <c r="H1319" s="424"/>
      <c r="I1319" s="424"/>
      <c r="J1319" s="424"/>
      <c r="K1319" s="424"/>
      <c r="L1319" s="424"/>
      <c r="M1319" s="424"/>
      <c r="N1319" s="424"/>
      <c r="O1319" s="424"/>
      <c r="P1319" s="424"/>
      <c r="Q1319" s="435" t="n">
        <v>97</v>
      </c>
      <c r="R1319" s="434" t="s">
        <v>703</v>
      </c>
      <c r="S1319" s="424"/>
      <c r="T1319" s="434" t="s">
        <v>704</v>
      </c>
      <c r="U1319" s="434" t="s">
        <v>705</v>
      </c>
      <c r="V1319" s="436" t="n">
        <f aca="false">AY1324</f>
        <v>0</v>
      </c>
    </row>
    <row r="1320" customFormat="false" ht="13.5" hidden="false" customHeight="false" outlineLevel="0" collapsed="false">
      <c r="A1320" s="424"/>
      <c r="B1320" s="424"/>
      <c r="C1320" s="424"/>
      <c r="D1320" s="424"/>
      <c r="E1320" s="424"/>
      <c r="F1320" s="424"/>
      <c r="G1320" s="424"/>
      <c r="H1320" s="424"/>
      <c r="I1320" s="424"/>
      <c r="J1320" s="424"/>
      <c r="K1320" s="424"/>
      <c r="L1320" s="424"/>
      <c r="M1320" s="424"/>
      <c r="N1320" s="424"/>
      <c r="O1320" s="424"/>
      <c r="P1320" s="424"/>
      <c r="Q1320" s="435" t="n">
        <v>98</v>
      </c>
      <c r="R1320" s="434" t="s">
        <v>706</v>
      </c>
      <c r="S1320" s="424"/>
      <c r="T1320" s="434" t="s">
        <v>707</v>
      </c>
      <c r="U1320" s="434" t="s">
        <v>708</v>
      </c>
      <c r="V1320" s="436" t="n">
        <f aca="false">AY1325</f>
        <v>0</v>
      </c>
    </row>
    <row r="1321" customFormat="false" ht="13.5" hidden="false" customHeight="false" outlineLevel="0" collapsed="false">
      <c r="A1321" s="424"/>
      <c r="B1321" s="424"/>
      <c r="C1321" s="424"/>
      <c r="D1321" s="424"/>
      <c r="E1321" s="424"/>
      <c r="F1321" s="424"/>
      <c r="G1321" s="424"/>
      <c r="H1321" s="424"/>
      <c r="I1321" s="424"/>
      <c r="J1321" s="424"/>
      <c r="K1321" s="424"/>
      <c r="L1321" s="424"/>
      <c r="M1321" s="424"/>
      <c r="N1321" s="424"/>
      <c r="O1321" s="424"/>
      <c r="P1321" s="424"/>
      <c r="Q1321" s="435" t="n">
        <v>99</v>
      </c>
      <c r="R1321" s="434" t="s">
        <v>709</v>
      </c>
      <c r="S1321" s="424"/>
      <c r="T1321" s="434" t="s">
        <v>710</v>
      </c>
      <c r="U1321" s="434" t="s">
        <v>711</v>
      </c>
      <c r="V1321" s="436" t="n">
        <f aca="false">AY1326</f>
        <v>0</v>
      </c>
    </row>
    <row r="1322" customFormat="false" ht="13.5" hidden="false" customHeight="false" outlineLevel="0" collapsed="false">
      <c r="A1322" s="424"/>
      <c r="B1322" s="424"/>
      <c r="C1322" s="424"/>
      <c r="D1322" s="424"/>
      <c r="E1322" s="424"/>
      <c r="F1322" s="424"/>
      <c r="G1322" s="424"/>
      <c r="H1322" s="424"/>
      <c r="I1322" s="424"/>
      <c r="J1322" s="424"/>
      <c r="K1322" s="424"/>
      <c r="L1322" s="424"/>
      <c r="M1322" s="424"/>
      <c r="N1322" s="424"/>
      <c r="O1322" s="424"/>
      <c r="P1322" s="424"/>
      <c r="Q1322" s="424"/>
      <c r="R1322" s="424"/>
      <c r="S1322" s="424"/>
      <c r="T1322" s="424"/>
      <c r="U1322" s="424"/>
      <c r="V1322" s="436" t="n">
        <f aca="false">AY1327</f>
        <v>0</v>
      </c>
    </row>
    <row r="1323" customFormat="false" ht="13.5" hidden="false" customHeight="false" outlineLevel="0" collapsed="false">
      <c r="A1323" s="424"/>
      <c r="B1323" s="424"/>
      <c r="C1323" s="424"/>
      <c r="D1323" s="424"/>
      <c r="E1323" s="424"/>
      <c r="F1323" s="424"/>
      <c r="G1323" s="424"/>
      <c r="H1323" s="424"/>
      <c r="I1323" s="424"/>
      <c r="J1323" s="424"/>
      <c r="K1323" s="424"/>
      <c r="L1323" s="424"/>
      <c r="M1323" s="424"/>
      <c r="N1323" s="424"/>
      <c r="O1323" s="424"/>
      <c r="P1323" s="424"/>
      <c r="Q1323" s="424"/>
      <c r="R1323" s="424"/>
      <c r="S1323" s="424"/>
      <c r="T1323" s="424"/>
      <c r="U1323" s="424"/>
      <c r="V1323" s="436" t="n">
        <f aca="false">AY1328</f>
        <v>0</v>
      </c>
    </row>
    <row r="1324" customFormat="false" ht="13.5" hidden="false" customHeight="false" outlineLevel="0" collapsed="false">
      <c r="A1324" s="424"/>
      <c r="B1324" s="424"/>
      <c r="C1324" s="424"/>
      <c r="D1324" s="424"/>
      <c r="E1324" s="424"/>
      <c r="F1324" s="424"/>
      <c r="G1324" s="424"/>
      <c r="H1324" s="424"/>
      <c r="I1324" s="424"/>
      <c r="J1324" s="424"/>
      <c r="K1324" s="424"/>
      <c r="L1324" s="424"/>
      <c r="M1324" s="424"/>
      <c r="N1324" s="424"/>
      <c r="O1324" s="424"/>
      <c r="P1324" s="424"/>
      <c r="Q1324" s="424"/>
      <c r="R1324" s="424"/>
      <c r="S1324" s="424"/>
      <c r="T1324" s="424"/>
      <c r="U1324" s="424"/>
      <c r="V1324" s="436" t="n">
        <f aca="false">AY1329</f>
        <v>0</v>
      </c>
    </row>
    <row r="1325" customFormat="false" ht="13.5" hidden="false" customHeight="false" outlineLevel="0" collapsed="false">
      <c r="A1325" s="424"/>
      <c r="B1325" s="424"/>
      <c r="C1325" s="424"/>
      <c r="D1325" s="424"/>
      <c r="E1325" s="424"/>
      <c r="F1325" s="424"/>
      <c r="G1325" s="424"/>
      <c r="H1325" s="424"/>
      <c r="I1325" s="424"/>
      <c r="J1325" s="424"/>
      <c r="K1325" s="424"/>
      <c r="L1325" s="424"/>
      <c r="M1325" s="424"/>
      <c r="N1325" s="424"/>
      <c r="O1325" s="424"/>
      <c r="P1325" s="424"/>
      <c r="Q1325" s="424"/>
      <c r="R1325" s="424"/>
      <c r="S1325" s="424"/>
      <c r="T1325" s="424"/>
      <c r="U1325" s="424"/>
      <c r="V1325" s="436" t="n">
        <f aca="false">AY1330</f>
        <v>0</v>
      </c>
    </row>
    <row r="1326" customFormat="false" ht="13.5" hidden="false" customHeight="false" outlineLevel="0" collapsed="false">
      <c r="A1326" s="424"/>
      <c r="B1326" s="424"/>
      <c r="C1326" s="424"/>
      <c r="D1326" s="424"/>
      <c r="E1326" s="424"/>
      <c r="F1326" s="424"/>
      <c r="G1326" s="424"/>
      <c r="H1326" s="424"/>
      <c r="I1326" s="424"/>
      <c r="J1326" s="424"/>
      <c r="K1326" s="424"/>
      <c r="L1326" s="424"/>
      <c r="M1326" s="424"/>
      <c r="N1326" s="424"/>
      <c r="O1326" s="424"/>
      <c r="P1326" s="424"/>
      <c r="Q1326" s="424"/>
      <c r="R1326" s="424"/>
      <c r="S1326" s="424"/>
      <c r="T1326" s="424"/>
      <c r="U1326" s="424"/>
      <c r="V1326" s="436" t="n">
        <f aca="false">AY1331</f>
        <v>0</v>
      </c>
    </row>
    <row r="1327" customFormat="false" ht="13.5" hidden="false" customHeight="false" outlineLevel="0" collapsed="false">
      <c r="A1327" s="424"/>
      <c r="B1327" s="424"/>
      <c r="C1327" s="424"/>
      <c r="D1327" s="424"/>
      <c r="E1327" s="424"/>
      <c r="F1327" s="424"/>
      <c r="G1327" s="424"/>
      <c r="H1327" s="424"/>
      <c r="I1327" s="424"/>
      <c r="J1327" s="424"/>
      <c r="K1327" s="424"/>
      <c r="L1327" s="424"/>
      <c r="M1327" s="424"/>
      <c r="N1327" s="424"/>
      <c r="O1327" s="424"/>
      <c r="P1327" s="424"/>
      <c r="Q1327" s="424"/>
      <c r="R1327" s="424"/>
      <c r="S1327" s="424"/>
      <c r="T1327" s="424"/>
      <c r="U1327" s="424"/>
      <c r="V1327" s="436" t="n">
        <f aca="false">AY1332</f>
        <v>0</v>
      </c>
    </row>
    <row r="1328" customFormat="false" ht="13.5" hidden="false" customHeight="false" outlineLevel="0" collapsed="false">
      <c r="A1328" s="424"/>
      <c r="B1328" s="424"/>
      <c r="C1328" s="424"/>
      <c r="D1328" s="424"/>
      <c r="E1328" s="424"/>
      <c r="F1328" s="424"/>
      <c r="G1328" s="424"/>
      <c r="H1328" s="424"/>
      <c r="I1328" s="424"/>
      <c r="J1328" s="424"/>
      <c r="K1328" s="424"/>
      <c r="L1328" s="424"/>
      <c r="M1328" s="424"/>
      <c r="N1328" s="424"/>
      <c r="O1328" s="424"/>
      <c r="P1328" s="424"/>
      <c r="Q1328" s="424"/>
      <c r="R1328" s="424"/>
      <c r="S1328" s="424"/>
      <c r="T1328" s="424"/>
      <c r="U1328" s="424"/>
      <c r="V1328" s="436" t="n">
        <f aca="false">AY1333</f>
        <v>0</v>
      </c>
    </row>
    <row r="1329" customFormat="false" ht="13.5" hidden="false" customHeight="false" outlineLevel="0" collapsed="false">
      <c r="A1329" s="424"/>
      <c r="B1329" s="424"/>
      <c r="C1329" s="424"/>
      <c r="D1329" s="424"/>
      <c r="E1329" s="424"/>
      <c r="F1329" s="424"/>
      <c r="G1329" s="424"/>
      <c r="H1329" s="424"/>
      <c r="I1329" s="424"/>
      <c r="J1329" s="424"/>
      <c r="K1329" s="424"/>
      <c r="L1329" s="424"/>
      <c r="M1329" s="424"/>
      <c r="N1329" s="424"/>
      <c r="O1329" s="424"/>
      <c r="P1329" s="424"/>
      <c r="Q1329" s="424"/>
      <c r="R1329" s="424"/>
      <c r="S1329" s="424"/>
      <c r="T1329" s="424"/>
      <c r="U1329" s="424"/>
      <c r="V1329" s="436" t="n">
        <f aca="false">AY1334</f>
        <v>0</v>
      </c>
    </row>
    <row r="1330" customFormat="false" ht="13.5" hidden="false" customHeight="false" outlineLevel="0" collapsed="false">
      <c r="A1330" s="424"/>
      <c r="B1330" s="424"/>
      <c r="C1330" s="424"/>
      <c r="D1330" s="424"/>
      <c r="E1330" s="424"/>
      <c r="F1330" s="424"/>
      <c r="G1330" s="424"/>
      <c r="H1330" s="424"/>
      <c r="I1330" s="424"/>
      <c r="J1330" s="424"/>
      <c r="K1330" s="424"/>
      <c r="L1330" s="424"/>
      <c r="M1330" s="424"/>
      <c r="N1330" s="424"/>
      <c r="O1330" s="424"/>
      <c r="P1330" s="424"/>
      <c r="Q1330" s="424"/>
      <c r="R1330" s="424"/>
      <c r="S1330" s="424"/>
      <c r="T1330" s="424"/>
      <c r="U1330" s="424"/>
      <c r="V1330" s="436" t="n">
        <f aca="false">AY1335</f>
        <v>0</v>
      </c>
    </row>
    <row r="1331" customFormat="false" ht="13.5" hidden="false" customHeight="false" outlineLevel="0" collapsed="false">
      <c r="A1331" s="424"/>
      <c r="B1331" s="424"/>
      <c r="C1331" s="424"/>
      <c r="D1331" s="424"/>
      <c r="E1331" s="424"/>
      <c r="F1331" s="424"/>
      <c r="G1331" s="424"/>
      <c r="H1331" s="424"/>
      <c r="I1331" s="424"/>
      <c r="J1331" s="424"/>
      <c r="K1331" s="424"/>
      <c r="L1331" s="424"/>
      <c r="M1331" s="424"/>
      <c r="N1331" s="424"/>
      <c r="O1331" s="424"/>
      <c r="P1331" s="424"/>
      <c r="Q1331" s="424"/>
      <c r="R1331" s="424"/>
      <c r="S1331" s="424"/>
      <c r="T1331" s="424"/>
      <c r="U1331" s="424"/>
      <c r="V1331" s="436" t="n">
        <f aca="false">AY1336</f>
        <v>0</v>
      </c>
    </row>
    <row r="1332" customFormat="false" ht="13.5" hidden="false" customHeight="false" outlineLevel="0" collapsed="false">
      <c r="A1332" s="424"/>
      <c r="B1332" s="424"/>
      <c r="C1332" s="424"/>
      <c r="D1332" s="424"/>
      <c r="E1332" s="424"/>
      <c r="F1332" s="424"/>
      <c r="G1332" s="424"/>
      <c r="H1332" s="424"/>
      <c r="I1332" s="424"/>
      <c r="J1332" s="424"/>
      <c r="K1332" s="424"/>
      <c r="L1332" s="424"/>
      <c r="M1332" s="424"/>
      <c r="N1332" s="424"/>
      <c r="O1332" s="424"/>
      <c r="P1332" s="424"/>
      <c r="Q1332" s="424"/>
      <c r="R1332" s="424"/>
      <c r="S1332" s="424"/>
      <c r="T1332" s="424"/>
      <c r="U1332" s="424"/>
      <c r="V1332" s="436" t="n">
        <f aca="false">AY1337</f>
        <v>0</v>
      </c>
    </row>
    <row r="1333" customFormat="false" ht="13.5" hidden="false" customHeight="false" outlineLevel="0" collapsed="false">
      <c r="A1333" s="424"/>
      <c r="B1333" s="424"/>
      <c r="C1333" s="424"/>
      <c r="D1333" s="424"/>
      <c r="E1333" s="424"/>
      <c r="F1333" s="424"/>
      <c r="G1333" s="424"/>
      <c r="H1333" s="424"/>
      <c r="I1333" s="424"/>
      <c r="J1333" s="424"/>
      <c r="K1333" s="424"/>
      <c r="L1333" s="424"/>
      <c r="M1333" s="424"/>
      <c r="N1333" s="424"/>
      <c r="O1333" s="424"/>
      <c r="P1333" s="424"/>
      <c r="Q1333" s="424"/>
      <c r="R1333" s="424"/>
      <c r="S1333" s="424"/>
      <c r="T1333" s="424"/>
      <c r="U1333" s="424"/>
      <c r="V1333" s="436" t="n">
        <f aca="false">AY1338</f>
        <v>0</v>
      </c>
    </row>
    <row r="1334" customFormat="false" ht="13.5" hidden="false" customHeight="false" outlineLevel="0" collapsed="false">
      <c r="A1334" s="424"/>
      <c r="B1334" s="424"/>
      <c r="C1334" s="424"/>
      <c r="D1334" s="424"/>
      <c r="E1334" s="424"/>
      <c r="F1334" s="424"/>
      <c r="G1334" s="424"/>
      <c r="H1334" s="424"/>
      <c r="I1334" s="424"/>
      <c r="J1334" s="424"/>
      <c r="K1334" s="424"/>
      <c r="L1334" s="424"/>
      <c r="M1334" s="424"/>
      <c r="N1334" s="424"/>
      <c r="O1334" s="424"/>
      <c r="P1334" s="424"/>
      <c r="Q1334" s="424"/>
      <c r="R1334" s="424"/>
      <c r="S1334" s="424"/>
      <c r="T1334" s="424"/>
      <c r="U1334" s="424"/>
      <c r="V1334" s="436" t="n">
        <f aca="false">AY1339</f>
        <v>0</v>
      </c>
    </row>
    <row r="1335" customFormat="false" ht="13.5" hidden="false" customHeight="false" outlineLevel="0" collapsed="false">
      <c r="A1335" s="424"/>
      <c r="B1335" s="424"/>
      <c r="C1335" s="424"/>
      <c r="D1335" s="424"/>
      <c r="E1335" s="424"/>
      <c r="F1335" s="424"/>
      <c r="G1335" s="424"/>
      <c r="H1335" s="424"/>
      <c r="I1335" s="424"/>
      <c r="J1335" s="424"/>
      <c r="K1335" s="424"/>
      <c r="L1335" s="424"/>
      <c r="M1335" s="424"/>
      <c r="N1335" s="424"/>
      <c r="O1335" s="424"/>
      <c r="P1335" s="424"/>
      <c r="Q1335" s="424"/>
      <c r="R1335" s="424"/>
      <c r="S1335" s="424"/>
      <c r="T1335" s="424"/>
      <c r="U1335" s="424"/>
      <c r="V1335" s="436" t="n">
        <f aca="false">AY1340</f>
        <v>0</v>
      </c>
    </row>
    <row r="1336" customFormat="false" ht="13.5" hidden="false" customHeight="false" outlineLevel="0" collapsed="false">
      <c r="A1336" s="424"/>
      <c r="B1336" s="424"/>
      <c r="C1336" s="424"/>
      <c r="D1336" s="424"/>
      <c r="E1336" s="424"/>
      <c r="F1336" s="424"/>
      <c r="G1336" s="424"/>
      <c r="H1336" s="424"/>
      <c r="I1336" s="424"/>
      <c r="J1336" s="424"/>
      <c r="K1336" s="424"/>
      <c r="L1336" s="424"/>
      <c r="M1336" s="424"/>
      <c r="N1336" s="424"/>
      <c r="O1336" s="424"/>
      <c r="P1336" s="424"/>
      <c r="Q1336" s="424"/>
      <c r="R1336" s="424"/>
      <c r="S1336" s="424"/>
      <c r="T1336" s="424"/>
      <c r="U1336" s="424"/>
      <c r="V1336" s="436" t="n">
        <f aca="false">AY1341</f>
        <v>0</v>
      </c>
    </row>
    <row r="1337" customFormat="false" ht="13.5" hidden="false" customHeight="false" outlineLevel="0" collapsed="false">
      <c r="A1337" s="424"/>
      <c r="B1337" s="424"/>
      <c r="C1337" s="424"/>
      <c r="D1337" s="424"/>
      <c r="E1337" s="424"/>
      <c r="F1337" s="424"/>
      <c r="G1337" s="424"/>
      <c r="H1337" s="424"/>
      <c r="I1337" s="424"/>
      <c r="J1337" s="424"/>
      <c r="K1337" s="424"/>
      <c r="L1337" s="424"/>
      <c r="M1337" s="424"/>
      <c r="N1337" s="424"/>
      <c r="O1337" s="424"/>
      <c r="P1337" s="424"/>
      <c r="Q1337" s="424"/>
      <c r="R1337" s="424"/>
      <c r="S1337" s="424"/>
      <c r="T1337" s="424"/>
      <c r="U1337" s="424"/>
      <c r="V1337" s="436" t="n">
        <f aca="false">AY1342</f>
        <v>0</v>
      </c>
    </row>
    <row r="1338" customFormat="false" ht="13.5" hidden="false" customHeight="false" outlineLevel="0" collapsed="false">
      <c r="A1338" s="424"/>
      <c r="B1338" s="424"/>
      <c r="C1338" s="424"/>
      <c r="D1338" s="424"/>
      <c r="E1338" s="424"/>
      <c r="F1338" s="424"/>
      <c r="G1338" s="424"/>
      <c r="H1338" s="424"/>
      <c r="I1338" s="424"/>
      <c r="J1338" s="424"/>
      <c r="K1338" s="424"/>
      <c r="L1338" s="424"/>
      <c r="M1338" s="424"/>
      <c r="N1338" s="424"/>
      <c r="O1338" s="424"/>
      <c r="P1338" s="424"/>
      <c r="Q1338" s="424"/>
      <c r="R1338" s="424"/>
      <c r="S1338" s="424"/>
      <c r="T1338" s="424"/>
      <c r="U1338" s="424"/>
      <c r="V1338" s="436" t="n">
        <f aca="false">AY1343</f>
        <v>0</v>
      </c>
    </row>
    <row r="1339" customFormat="false" ht="13.5" hidden="false" customHeight="false" outlineLevel="0" collapsed="false">
      <c r="A1339" s="424"/>
      <c r="B1339" s="424"/>
      <c r="C1339" s="424"/>
      <c r="D1339" s="424"/>
      <c r="E1339" s="424"/>
      <c r="F1339" s="424"/>
      <c r="G1339" s="424"/>
      <c r="H1339" s="424"/>
      <c r="I1339" s="424"/>
      <c r="J1339" s="424"/>
      <c r="K1339" s="424"/>
      <c r="L1339" s="424"/>
      <c r="M1339" s="424"/>
      <c r="N1339" s="424"/>
      <c r="O1339" s="424"/>
      <c r="P1339" s="424"/>
      <c r="Q1339" s="424"/>
      <c r="R1339" s="424"/>
      <c r="S1339" s="424"/>
      <c r="T1339" s="424"/>
      <c r="U1339" s="424"/>
      <c r="V1339" s="436" t="n">
        <f aca="false">AY1344</f>
        <v>0</v>
      </c>
    </row>
    <row r="1341" customFormat="false" ht="13.5" hidden="false" customHeight="false" outlineLevel="0" collapsed="false">
      <c r="A1341" s="424"/>
      <c r="B1341" s="424"/>
      <c r="C1341" s="424"/>
      <c r="D1341" s="424"/>
      <c r="E1341" s="424"/>
      <c r="F1341" s="424"/>
      <c r="G1341" s="424"/>
      <c r="H1341" s="424"/>
      <c r="I1341" s="424"/>
      <c r="J1341" s="424"/>
      <c r="K1341" s="424"/>
      <c r="L1341" s="424"/>
      <c r="M1341" s="424"/>
      <c r="N1341" s="424"/>
      <c r="O1341" s="424"/>
      <c r="P1341" s="424"/>
      <c r="Q1341" s="424"/>
      <c r="R1341" s="434" t="s">
        <v>400</v>
      </c>
      <c r="S1341" s="424"/>
      <c r="T1341" s="424"/>
      <c r="U1341" s="424"/>
      <c r="V1341" s="435" t="n">
        <f aca="false">SUM(V1343:V1375)</f>
        <v>0</v>
      </c>
    </row>
    <row r="1342" customFormat="false" ht="13.5" hidden="false" customHeight="false" outlineLevel="0" collapsed="false">
      <c r="A1342" s="424"/>
      <c r="B1342" s="424"/>
      <c r="C1342" s="424"/>
      <c r="D1342" s="424"/>
      <c r="E1342" s="424"/>
      <c r="F1342" s="424"/>
      <c r="G1342" s="424"/>
      <c r="H1342" s="424"/>
      <c r="I1342" s="424"/>
      <c r="J1342" s="424"/>
      <c r="K1342" s="424"/>
      <c r="L1342" s="424"/>
      <c r="M1342" s="424"/>
      <c r="N1342" s="424"/>
      <c r="O1342" s="424"/>
      <c r="P1342" s="424"/>
      <c r="Q1342" s="435" t="n">
        <v>0</v>
      </c>
      <c r="R1342" s="424"/>
      <c r="S1342" s="435" t="n">
        <v>0</v>
      </c>
      <c r="T1342" s="424"/>
      <c r="U1342" s="424"/>
      <c r="V1342" s="436" t="n">
        <f aca="false">AY1342</f>
        <v>0</v>
      </c>
    </row>
    <row r="1343" customFormat="false" ht="13.5" hidden="false" customHeight="false" outlineLevel="0" collapsed="false">
      <c r="A1343" s="424"/>
      <c r="B1343" s="424"/>
      <c r="C1343" s="424"/>
      <c r="D1343" s="424"/>
      <c r="E1343" s="424"/>
      <c r="F1343" s="424"/>
      <c r="G1343" s="424"/>
      <c r="H1343" s="424"/>
      <c r="I1343" s="424"/>
      <c r="J1343" s="424"/>
      <c r="K1343" s="424"/>
      <c r="L1343" s="424"/>
      <c r="M1343" s="424"/>
      <c r="N1343" s="424"/>
      <c r="O1343" s="424"/>
      <c r="P1343" s="424"/>
      <c r="Q1343" s="435" t="n">
        <v>1</v>
      </c>
      <c r="R1343" s="434" t="s">
        <v>401</v>
      </c>
      <c r="S1343" s="434" t="s">
        <v>402</v>
      </c>
      <c r="T1343" s="434" t="s">
        <v>403</v>
      </c>
      <c r="U1343" s="434" t="s">
        <v>404</v>
      </c>
      <c r="V1343" s="436" t="n">
        <f aca="false">AY1343</f>
        <v>0</v>
      </c>
    </row>
    <row r="1344" customFormat="false" ht="13.5" hidden="false" customHeight="false" outlineLevel="0" collapsed="false">
      <c r="A1344" s="424"/>
      <c r="B1344" s="424"/>
      <c r="C1344" s="424"/>
      <c r="D1344" s="424"/>
      <c r="E1344" s="424"/>
      <c r="F1344" s="424"/>
      <c r="G1344" s="424"/>
      <c r="H1344" s="424"/>
      <c r="I1344" s="424"/>
      <c r="J1344" s="424"/>
      <c r="K1344" s="424"/>
      <c r="L1344" s="424"/>
      <c r="M1344" s="424"/>
      <c r="N1344" s="424"/>
      <c r="O1344" s="424"/>
      <c r="P1344" s="424"/>
      <c r="Q1344" s="435" t="n">
        <v>2</v>
      </c>
      <c r="R1344" s="434" t="s">
        <v>405</v>
      </c>
      <c r="S1344" s="434" t="s">
        <v>406</v>
      </c>
      <c r="T1344" s="434" t="s">
        <v>407</v>
      </c>
      <c r="U1344" s="434" t="s">
        <v>408</v>
      </c>
      <c r="V1344" s="436" t="n">
        <f aca="false">AY1344</f>
        <v>0</v>
      </c>
    </row>
    <row r="1345" customFormat="false" ht="13.5" hidden="false" customHeight="false" outlineLevel="0" collapsed="false">
      <c r="A1345" s="424"/>
      <c r="B1345" s="424"/>
      <c r="C1345" s="424"/>
      <c r="D1345" s="424"/>
      <c r="E1345" s="424"/>
      <c r="F1345" s="424"/>
      <c r="G1345" s="424"/>
      <c r="H1345" s="424"/>
      <c r="I1345" s="424"/>
      <c r="J1345" s="424"/>
      <c r="K1345" s="424"/>
      <c r="L1345" s="424"/>
      <c r="M1345" s="424"/>
      <c r="N1345" s="424"/>
      <c r="O1345" s="424"/>
      <c r="P1345" s="424"/>
      <c r="Q1345" s="435" t="n">
        <v>3</v>
      </c>
      <c r="R1345" s="434" t="s">
        <v>409</v>
      </c>
      <c r="S1345" s="434" t="s">
        <v>410</v>
      </c>
      <c r="T1345" s="434" t="s">
        <v>411</v>
      </c>
      <c r="U1345" s="434" t="s">
        <v>412</v>
      </c>
      <c r="V1345" s="436" t="n">
        <f aca="false">AY1345</f>
        <v>0</v>
      </c>
    </row>
    <row r="1346" customFormat="false" ht="13.5" hidden="false" customHeight="false" outlineLevel="0" collapsed="false">
      <c r="A1346" s="424"/>
      <c r="B1346" s="424"/>
      <c r="C1346" s="424"/>
      <c r="D1346" s="424"/>
      <c r="E1346" s="424"/>
      <c r="F1346" s="424"/>
      <c r="G1346" s="424"/>
      <c r="H1346" s="424"/>
      <c r="I1346" s="424"/>
      <c r="J1346" s="424"/>
      <c r="K1346" s="424"/>
      <c r="L1346" s="424"/>
      <c r="M1346" s="424"/>
      <c r="N1346" s="424"/>
      <c r="O1346" s="424"/>
      <c r="P1346" s="424"/>
      <c r="Q1346" s="435" t="n">
        <v>4</v>
      </c>
      <c r="R1346" s="434" t="s">
        <v>413</v>
      </c>
      <c r="S1346" s="434" t="s">
        <v>414</v>
      </c>
      <c r="T1346" s="434" t="s">
        <v>415</v>
      </c>
      <c r="U1346" s="434" t="s">
        <v>416</v>
      </c>
      <c r="V1346" s="436" t="n">
        <f aca="false">AY1346</f>
        <v>0</v>
      </c>
    </row>
    <row r="1347" customFormat="false" ht="13.5" hidden="false" customHeight="false" outlineLevel="0" collapsed="false">
      <c r="A1347" s="424"/>
      <c r="B1347" s="424"/>
      <c r="C1347" s="424"/>
      <c r="D1347" s="424"/>
      <c r="E1347" s="424"/>
      <c r="F1347" s="424"/>
      <c r="G1347" s="424"/>
      <c r="H1347" s="424"/>
      <c r="I1347" s="424"/>
      <c r="J1347" s="424"/>
      <c r="K1347" s="424"/>
      <c r="L1347" s="424"/>
      <c r="M1347" s="424"/>
      <c r="N1347" s="424"/>
      <c r="O1347" s="424"/>
      <c r="P1347" s="438" t="s">
        <v>417</v>
      </c>
      <c r="Q1347" s="435" t="n">
        <v>5</v>
      </c>
      <c r="R1347" s="434" t="s">
        <v>418</v>
      </c>
      <c r="S1347" s="434" t="s">
        <v>419</v>
      </c>
      <c r="T1347" s="434" t="s">
        <v>420</v>
      </c>
      <c r="U1347" s="434" t="s">
        <v>421</v>
      </c>
      <c r="V1347" s="436" t="n">
        <f aca="false">AY1347</f>
        <v>0</v>
      </c>
    </row>
    <row r="1348" customFormat="false" ht="13.5" hidden="false" customHeight="false" outlineLevel="0" collapsed="false">
      <c r="A1348" s="424"/>
      <c r="B1348" s="424"/>
      <c r="C1348" s="424"/>
      <c r="D1348" s="424"/>
      <c r="E1348" s="424"/>
      <c r="F1348" s="424"/>
      <c r="G1348" s="424"/>
      <c r="H1348" s="424"/>
      <c r="I1348" s="424"/>
      <c r="J1348" s="424"/>
      <c r="K1348" s="424"/>
      <c r="L1348" s="424"/>
      <c r="M1348" s="424"/>
      <c r="N1348" s="424"/>
      <c r="O1348" s="424"/>
      <c r="P1348" s="438" t="s">
        <v>417</v>
      </c>
      <c r="Q1348" s="435" t="n">
        <v>6</v>
      </c>
      <c r="R1348" s="434" t="s">
        <v>422</v>
      </c>
      <c r="S1348" s="434" t="s">
        <v>423</v>
      </c>
      <c r="T1348" s="434" t="s">
        <v>424</v>
      </c>
      <c r="U1348" s="434" t="s">
        <v>425</v>
      </c>
      <c r="V1348" s="436" t="n">
        <f aca="false">AY1348</f>
        <v>0</v>
      </c>
    </row>
    <row r="1349" customFormat="false" ht="13.5" hidden="false" customHeight="false" outlineLevel="0" collapsed="false">
      <c r="A1349" s="424"/>
      <c r="B1349" s="424"/>
      <c r="C1349" s="424"/>
      <c r="D1349" s="424"/>
      <c r="E1349" s="424"/>
      <c r="F1349" s="424"/>
      <c r="G1349" s="424"/>
      <c r="H1349" s="424"/>
      <c r="I1349" s="424"/>
      <c r="J1349" s="424"/>
      <c r="K1349" s="424"/>
      <c r="L1349" s="424"/>
      <c r="M1349" s="424"/>
      <c r="N1349" s="424"/>
      <c r="O1349" s="424"/>
      <c r="P1349" s="438" t="s">
        <v>417</v>
      </c>
      <c r="Q1349" s="435" t="n">
        <v>7</v>
      </c>
      <c r="R1349" s="434" t="s">
        <v>426</v>
      </c>
      <c r="S1349" s="434" t="s">
        <v>427</v>
      </c>
      <c r="T1349" s="434" t="s">
        <v>428</v>
      </c>
      <c r="U1349" s="434" t="s">
        <v>429</v>
      </c>
      <c r="V1349" s="436" t="n">
        <f aca="false">AY1349</f>
        <v>0</v>
      </c>
    </row>
    <row r="1350" customFormat="false" ht="13.5" hidden="false" customHeight="false" outlineLevel="0" collapsed="false">
      <c r="A1350" s="424"/>
      <c r="B1350" s="424"/>
      <c r="C1350" s="424"/>
      <c r="D1350" s="424"/>
      <c r="E1350" s="424"/>
      <c r="F1350" s="424"/>
      <c r="G1350" s="424"/>
      <c r="H1350" s="424"/>
      <c r="I1350" s="424"/>
      <c r="J1350" s="424"/>
      <c r="K1350" s="424"/>
      <c r="L1350" s="424"/>
      <c r="M1350" s="424"/>
      <c r="N1350" s="424"/>
      <c r="O1350" s="424"/>
      <c r="P1350" s="438" t="s">
        <v>417</v>
      </c>
      <c r="Q1350" s="435" t="n">
        <v>8</v>
      </c>
      <c r="R1350" s="434" t="s">
        <v>430</v>
      </c>
      <c r="S1350" s="434" t="s">
        <v>431</v>
      </c>
      <c r="T1350" s="434" t="s">
        <v>432</v>
      </c>
      <c r="U1350" s="434" t="s">
        <v>433</v>
      </c>
      <c r="V1350" s="436" t="n">
        <f aca="false">AY1350</f>
        <v>0</v>
      </c>
    </row>
    <row r="1351" customFormat="false" ht="13.5" hidden="false" customHeight="false" outlineLevel="0" collapsed="false">
      <c r="A1351" s="424"/>
      <c r="B1351" s="424"/>
      <c r="C1351" s="424"/>
      <c r="D1351" s="424"/>
      <c r="E1351" s="424"/>
      <c r="F1351" s="424"/>
      <c r="G1351" s="424"/>
      <c r="H1351" s="424"/>
      <c r="I1351" s="424"/>
      <c r="J1351" s="424"/>
      <c r="K1351" s="424"/>
      <c r="L1351" s="424"/>
      <c r="M1351" s="424"/>
      <c r="N1351" s="424"/>
      <c r="O1351" s="424"/>
      <c r="P1351" s="438" t="s">
        <v>417</v>
      </c>
      <c r="Q1351" s="435" t="n">
        <v>9</v>
      </c>
      <c r="R1351" s="434" t="s">
        <v>434</v>
      </c>
      <c r="S1351" s="434" t="s">
        <v>435</v>
      </c>
      <c r="T1351" s="434" t="s">
        <v>436</v>
      </c>
      <c r="U1351" s="434" t="s">
        <v>437</v>
      </c>
      <c r="V1351" s="436" t="n">
        <f aca="false">AY1351</f>
        <v>0</v>
      </c>
    </row>
    <row r="1352" customFormat="false" ht="13.5" hidden="false" customHeight="false" outlineLevel="0" collapsed="false">
      <c r="A1352" s="424"/>
      <c r="B1352" s="424"/>
      <c r="C1352" s="424"/>
      <c r="D1352" s="424"/>
      <c r="E1352" s="424"/>
      <c r="F1352" s="424"/>
      <c r="G1352" s="424"/>
      <c r="H1352" s="424"/>
      <c r="I1352" s="424"/>
      <c r="J1352" s="424"/>
      <c r="K1352" s="424"/>
      <c r="L1352" s="424"/>
      <c r="M1352" s="424"/>
      <c r="N1352" s="424"/>
      <c r="O1352" s="424"/>
      <c r="P1352" s="438" t="s">
        <v>417</v>
      </c>
      <c r="Q1352" s="435" t="n">
        <v>10</v>
      </c>
      <c r="R1352" s="434" t="s">
        <v>438</v>
      </c>
      <c r="S1352" s="424"/>
      <c r="T1352" s="434" t="s">
        <v>439</v>
      </c>
      <c r="U1352" s="434" t="s">
        <v>440</v>
      </c>
      <c r="V1352" s="436" t="n">
        <f aca="false">AY1352</f>
        <v>0</v>
      </c>
    </row>
    <row r="1353" customFormat="false" ht="13.5" hidden="false" customHeight="false" outlineLevel="0" collapsed="false">
      <c r="A1353" s="424"/>
      <c r="B1353" s="424"/>
      <c r="C1353" s="424"/>
      <c r="D1353" s="424"/>
      <c r="E1353" s="424"/>
      <c r="F1353" s="435" t="n">
        <f aca="false">TRUNC(+A1355/1000000)</f>
        <v>0</v>
      </c>
      <c r="G1353" s="424"/>
      <c r="H1353" s="424"/>
      <c r="I1353" s="424"/>
      <c r="J1353" s="424"/>
      <c r="K1353" s="424"/>
      <c r="L1353" s="424"/>
      <c r="M1353" s="424"/>
      <c r="N1353" s="424"/>
      <c r="O1353" s="424"/>
      <c r="P1353" s="438" t="s">
        <v>417</v>
      </c>
      <c r="Q1353" s="435" t="n">
        <v>11</v>
      </c>
      <c r="R1353" s="434" t="s">
        <v>441</v>
      </c>
      <c r="S1353" s="424"/>
      <c r="T1353" s="434" t="s">
        <v>442</v>
      </c>
      <c r="U1353" s="434" t="s">
        <v>443</v>
      </c>
      <c r="V1353" s="436" t="n">
        <f aca="false">AY1353</f>
        <v>0</v>
      </c>
    </row>
    <row r="1354" customFormat="false" ht="13.5" hidden="false" customHeight="false" outlineLevel="0" collapsed="false">
      <c r="A1354" s="424"/>
      <c r="B1354" s="424"/>
      <c r="C1354" s="424"/>
      <c r="D1354" s="424"/>
      <c r="E1354" s="424"/>
      <c r="F1354" s="435" t="e">
        <f aca="false">(+B1358*100000+C1358*1000+E1358*100)</f>
        <v>#VALUE!</v>
      </c>
      <c r="G1354" s="424"/>
      <c r="H1354" s="424"/>
      <c r="I1354" s="424"/>
      <c r="J1354" s="424"/>
      <c r="K1354" s="424"/>
      <c r="L1354" s="434" t="s">
        <v>444</v>
      </c>
      <c r="M1354" s="424"/>
      <c r="N1354" s="424"/>
      <c r="O1354" s="424"/>
      <c r="P1354" s="438" t="s">
        <v>417</v>
      </c>
      <c r="Q1354" s="435" t="n">
        <v>12</v>
      </c>
      <c r="R1354" s="434" t="s">
        <v>445</v>
      </c>
      <c r="S1354" s="424"/>
      <c r="T1354" s="434" t="s">
        <v>446</v>
      </c>
      <c r="U1354" s="434" t="s">
        <v>447</v>
      </c>
      <c r="V1354" s="436" t="n">
        <f aca="false">AY1354</f>
        <v>0</v>
      </c>
    </row>
    <row r="1355" customFormat="false" ht="13.5" hidden="false" customHeight="false" outlineLevel="0" collapsed="false">
      <c r="A1355" s="436" t="n">
        <f aca="false">TRUNC(+A1356)</f>
        <v>12</v>
      </c>
      <c r="B1355" s="424"/>
      <c r="C1355" s="424"/>
      <c r="D1355" s="424"/>
      <c r="E1355" s="440" t="n">
        <f aca="false">TRUNC(+A1355/100000000)</f>
        <v>0</v>
      </c>
      <c r="F1355" s="424"/>
      <c r="G1355" s="424"/>
      <c r="H1355" s="424"/>
      <c r="I1355" s="424"/>
      <c r="J1355" s="424"/>
      <c r="K1355" s="424"/>
      <c r="L1355" s="424"/>
      <c r="M1355" s="424"/>
      <c r="N1355" s="424"/>
      <c r="O1355" s="424"/>
      <c r="P1355" s="438" t="s">
        <v>417</v>
      </c>
      <c r="Q1355" s="435" t="n">
        <v>13</v>
      </c>
      <c r="R1355" s="434" t="s">
        <v>448</v>
      </c>
      <c r="S1355" s="424"/>
      <c r="T1355" s="434" t="s">
        <v>449</v>
      </c>
      <c r="U1355" s="434" t="s">
        <v>450</v>
      </c>
      <c r="V1355" s="436" t="n">
        <f aca="false">AY1355</f>
        <v>0</v>
      </c>
    </row>
    <row r="1356" customFormat="false" ht="13.5" hidden="false" customHeight="false" outlineLevel="0" collapsed="false">
      <c r="A1356" s="441" t="n">
        <v>12</v>
      </c>
      <c r="B1356" s="434" t="s">
        <v>451</v>
      </c>
      <c r="C1356" s="434" t="s">
        <v>452</v>
      </c>
      <c r="D1356" s="424"/>
      <c r="E1356" s="434" t="s">
        <v>452</v>
      </c>
      <c r="F1356" s="424"/>
      <c r="G1356" s="424"/>
      <c r="H1356" s="424"/>
      <c r="I1356" s="440" t="n">
        <f aca="false">TRUNC((+A1355-(+F1353*1000000))/1000)</f>
        <v>0</v>
      </c>
      <c r="J1356" s="424"/>
      <c r="K1356" s="440" t="n">
        <f aca="false">(TRUNC((+A1355-(+F1353*1000000))/1))-I1356*1000</f>
        <v>12</v>
      </c>
      <c r="L1356" s="424"/>
      <c r="M1356" s="424"/>
      <c r="N1356" s="424"/>
      <c r="O1356" s="424"/>
      <c r="P1356" s="438" t="s">
        <v>417</v>
      </c>
      <c r="Q1356" s="435" t="n">
        <v>14</v>
      </c>
      <c r="R1356" s="434" t="s">
        <v>453</v>
      </c>
      <c r="S1356" s="424"/>
      <c r="T1356" s="434" t="s">
        <v>454</v>
      </c>
      <c r="U1356" s="434" t="s">
        <v>455</v>
      </c>
      <c r="V1356" s="436" t="n">
        <f aca="false">AY1356</f>
        <v>0</v>
      </c>
    </row>
    <row r="1357" customFormat="false" ht="13.5" hidden="false" customHeight="false" outlineLevel="0" collapsed="false">
      <c r="A1357" s="424"/>
      <c r="B1357" s="442" t="s">
        <v>712</v>
      </c>
      <c r="C1357" s="442" t="s">
        <v>712</v>
      </c>
      <c r="D1357" s="424"/>
      <c r="E1357" s="442" t="s">
        <v>712</v>
      </c>
      <c r="F1357" s="424"/>
      <c r="G1357" s="424"/>
      <c r="H1357" s="424"/>
      <c r="I1357" s="424"/>
      <c r="J1357" s="424"/>
      <c r="K1357" s="424"/>
      <c r="L1357" s="424"/>
      <c r="M1357" s="424"/>
      <c r="N1357" s="440" t="n">
        <f aca="false">ROUND(((+A1356-A1355)*100),1)</f>
        <v>0</v>
      </c>
      <c r="O1357" s="424"/>
      <c r="P1357" s="438" t="s">
        <v>417</v>
      </c>
      <c r="Q1357" s="435" t="n">
        <v>15</v>
      </c>
      <c r="R1357" s="434" t="s">
        <v>457</v>
      </c>
      <c r="S1357" s="424"/>
      <c r="T1357" s="434" t="s">
        <v>458</v>
      </c>
      <c r="U1357" s="434" t="s">
        <v>459</v>
      </c>
      <c r="V1357" s="436" t="n">
        <f aca="false">AY1357</f>
        <v>0</v>
      </c>
    </row>
    <row r="1358" customFormat="false" ht="13.5" hidden="false" customHeight="false" outlineLevel="0" collapsed="false">
      <c r="A1358" s="424"/>
      <c r="B1358" s="440" t="n">
        <f aca="false">TRUNC(+A1356/100000000000)</f>
        <v>0</v>
      </c>
      <c r="C1358" s="440" t="n">
        <f aca="false">(TRUNC(+A1355/1000000000))-B1358*100</f>
        <v>0</v>
      </c>
      <c r="D1358" s="424"/>
      <c r="E1358" s="435" t="str">
        <f aca="false">IF(E1355&gt;0,TRUNC(+E1355-B1358*1000-C1358*10),"")</f>
        <v/>
      </c>
      <c r="F1358" s="435" t="e">
        <f aca="false">F1353-F1354</f>
        <v>#VALUE!</v>
      </c>
      <c r="G1358" s="435" t="e">
        <f aca="false">G1360</f>
        <v>#VALUE!</v>
      </c>
      <c r="H1358" s="440" t="n">
        <f aca="false">TRUNC((+A1355-(+F1353*1000000))/100000)</f>
        <v>0</v>
      </c>
      <c r="I1358" s="440" t="n">
        <f aca="false">I1356-H1358*100</f>
        <v>0</v>
      </c>
      <c r="J1358" s="424"/>
      <c r="K1358" s="440" t="n">
        <f aca="false">TRUNC(+K1356/100)</f>
        <v>0</v>
      </c>
      <c r="L1358" s="440" t="n">
        <f aca="false">K1356-K1358*100</f>
        <v>12</v>
      </c>
      <c r="M1358" s="440" t="str">
        <f aca="false">IF(N1358&gt;0," &amp; Sen ","")</f>
        <v/>
      </c>
      <c r="N1358" s="435" t="n">
        <f aca="false">N1357</f>
        <v>0</v>
      </c>
      <c r="O1358" s="424"/>
      <c r="P1358" s="438" t="s">
        <v>417</v>
      </c>
      <c r="Q1358" s="435" t="n">
        <v>16</v>
      </c>
      <c r="R1358" s="434" t="s">
        <v>460</v>
      </c>
      <c r="S1358" s="424"/>
      <c r="T1358" s="434" t="s">
        <v>461</v>
      </c>
      <c r="U1358" s="434" t="s">
        <v>462</v>
      </c>
      <c r="V1358" s="436" t="n">
        <f aca="false">AY1358</f>
        <v>0</v>
      </c>
    </row>
    <row r="1359" customFormat="false" ht="13.5" hidden="false" customHeight="false" outlineLevel="0" collapsed="false">
      <c r="A1359" s="424"/>
      <c r="B1359" s="424"/>
      <c r="C1359" s="424"/>
      <c r="D1359" s="424"/>
      <c r="E1359" s="424"/>
      <c r="F1359" s="424"/>
      <c r="G1359" s="424"/>
      <c r="H1359" s="424"/>
      <c r="I1359" s="424"/>
      <c r="J1359" s="424"/>
      <c r="K1359" s="424"/>
      <c r="L1359" s="424"/>
      <c r="M1359" s="424"/>
      <c r="N1359" s="424"/>
      <c r="O1359" s="424"/>
      <c r="P1359" s="438" t="s">
        <v>417</v>
      </c>
      <c r="Q1359" s="435" t="n">
        <v>17</v>
      </c>
      <c r="R1359" s="434" t="s">
        <v>463</v>
      </c>
      <c r="S1359" s="424"/>
      <c r="T1359" s="434" t="s">
        <v>464</v>
      </c>
      <c r="U1359" s="434" t="s">
        <v>465</v>
      </c>
      <c r="V1359" s="436" t="n">
        <f aca="false">AY1359</f>
        <v>0</v>
      </c>
    </row>
    <row r="1360" customFormat="false" ht="13.5" hidden="false" customHeight="false" outlineLevel="0" collapsed="false">
      <c r="A1360" s="440" t="n">
        <f aca="false">B1358*100000000000</f>
        <v>0</v>
      </c>
      <c r="B1360" s="440" t="str">
        <f aca="false">IF(B1358&gt;0,VLOOKUP(B1358,$Q$7:$T$15,3),"")</f>
        <v/>
      </c>
      <c r="C1360" s="440" t="str">
        <f aca="false">IF(C1358&gt;0,VLOOKUP(C1358,Q1343:R1441,2),"")</f>
        <v/>
      </c>
      <c r="D1360" s="440" t="str">
        <f aca="false">IF(B1355+C1358&gt;0," Milyar","")</f>
        <v/>
      </c>
      <c r="E1360" s="440" t="e">
        <f aca="false">IF(E1358&gt;0,VLOOKUP(E1358,$Q$7:$T$15,3),"")</f>
        <v>#N/A</v>
      </c>
      <c r="F1360" s="440" t="e">
        <f aca="false">IF(F1358&gt;0,VLOOKUP(F1358,Q1343:R1441,2),"")</f>
        <v>#VALUE!</v>
      </c>
      <c r="G1360" s="435" t="e">
        <f aca="false">IF(F1358+E1358&gt;0," Juta","")</f>
        <v>#VALUE!</v>
      </c>
      <c r="H1360" s="440" t="str">
        <f aca="false">IF(H1358&gt;0,VLOOKUP(H1358,$Q$7:$T$15,3),"")</f>
        <v/>
      </c>
      <c r="I1360" s="440" t="str">
        <f aca="false">IF(I1358=1," Se",IF(I1358=0,"",VLOOKUP(I1358,Q1343:R1441,2)))</f>
        <v/>
      </c>
      <c r="J1360" s="435" t="str">
        <f aca="false">IF(I1358+H1358&gt;0," ribu","")</f>
        <v/>
      </c>
      <c r="K1360" s="440" t="str">
        <f aca="false">IF(K1358&gt;0,VLOOKUP(K1358,Q1343:S1351,3),"")</f>
        <v/>
      </c>
      <c r="L1360" s="440" t="str">
        <f aca="false">IF(L1358&gt;0,VLOOKUP(L1358,Q1343:R1441,2),"")</f>
        <v> Dua belas</v>
      </c>
      <c r="M1360" s="440" t="str">
        <f aca="false">IF(N1358&gt;0,VLOOKUP(N1357,Q1342:U1441,5)," Rupiah ")</f>
        <v> Rupiah </v>
      </c>
      <c r="N1360" s="424"/>
      <c r="O1360" s="435" t="str">
        <f aca="false">IF(N1358&gt;0," ====","")</f>
        <v/>
      </c>
      <c r="P1360" s="435" t="str">
        <f aca="false">IF(N1358&gt;0,"-","====")</f>
        <v>====</v>
      </c>
      <c r="Q1360" s="435" t="n">
        <v>18</v>
      </c>
      <c r="R1360" s="434" t="s">
        <v>466</v>
      </c>
      <c r="S1360" s="424"/>
      <c r="T1360" s="434" t="s">
        <v>467</v>
      </c>
      <c r="U1360" s="434" t="s">
        <v>468</v>
      </c>
      <c r="V1360" s="436" t="n">
        <f aca="false">AY1360</f>
        <v>0</v>
      </c>
    </row>
    <row r="1361" customFormat="false" ht="13.5" hidden="false" customHeight="false" outlineLevel="0" collapsed="false">
      <c r="A1361" s="440"/>
      <c r="B1361" s="435" t="str">
        <f aca="false">B1360</f>
        <v/>
      </c>
      <c r="C1361" s="424"/>
      <c r="D1361" s="424"/>
      <c r="E1361" s="424"/>
      <c r="F1361" s="424"/>
      <c r="G1361" s="424"/>
      <c r="H1361" s="424"/>
      <c r="I1361" s="424"/>
      <c r="J1361" s="424"/>
      <c r="K1361" s="424"/>
      <c r="L1361" s="424"/>
      <c r="M1361" s="424"/>
      <c r="N1361" s="424"/>
      <c r="O1361" s="424"/>
      <c r="P1361" s="438" t="s">
        <v>417</v>
      </c>
      <c r="Q1361" s="435" t="n">
        <v>19</v>
      </c>
      <c r="R1361" s="434" t="s">
        <v>469</v>
      </c>
      <c r="S1361" s="424"/>
      <c r="T1361" s="434" t="s">
        <v>470</v>
      </c>
      <c r="U1361" s="434" t="s">
        <v>471</v>
      </c>
      <c r="V1361" s="436" t="n">
        <f aca="false">AY1366</f>
        <v>0</v>
      </c>
    </row>
    <row r="1362" customFormat="false" ht="13.5" hidden="false" customHeight="false" outlineLevel="0" collapsed="false">
      <c r="A1362" s="440"/>
      <c r="B1362" s="435" t="str">
        <f aca="false">C1360</f>
        <v/>
      </c>
      <c r="C1362" s="424"/>
      <c r="D1362" s="424"/>
      <c r="E1362" s="424"/>
      <c r="F1362" s="424"/>
      <c r="G1362" s="424"/>
      <c r="H1362" s="424"/>
      <c r="I1362" s="424"/>
      <c r="J1362" s="424"/>
      <c r="K1362" s="424"/>
      <c r="L1362" s="424"/>
      <c r="M1362" s="424"/>
      <c r="N1362" s="424"/>
      <c r="O1362" s="424"/>
      <c r="P1362" s="438" t="s">
        <v>417</v>
      </c>
      <c r="Q1362" s="435" t="n">
        <v>20</v>
      </c>
      <c r="R1362" s="434" t="s">
        <v>472</v>
      </c>
      <c r="S1362" s="424"/>
      <c r="T1362" s="434" t="s">
        <v>473</v>
      </c>
      <c r="U1362" s="434" t="s">
        <v>474</v>
      </c>
      <c r="V1362" s="436" t="n">
        <f aca="false">AY1367</f>
        <v>0</v>
      </c>
    </row>
    <row r="1363" customFormat="false" ht="13.5" hidden="false" customHeight="false" outlineLevel="0" collapsed="false">
      <c r="A1363" s="440"/>
      <c r="B1363" s="435" t="str">
        <f aca="false">D1360</f>
        <v/>
      </c>
      <c r="C1363" s="424"/>
      <c r="D1363" s="424"/>
      <c r="E1363" s="424"/>
      <c r="F1363" s="424"/>
      <c r="G1363" s="424"/>
      <c r="H1363" s="424"/>
      <c r="I1363" s="424"/>
      <c r="J1363" s="424"/>
      <c r="K1363" s="424"/>
      <c r="L1363" s="424"/>
      <c r="M1363" s="424"/>
      <c r="N1363" s="424"/>
      <c r="O1363" s="424"/>
      <c r="P1363" s="438" t="s">
        <v>417</v>
      </c>
      <c r="Q1363" s="435" t="n">
        <v>21</v>
      </c>
      <c r="R1363" s="434" t="s">
        <v>475</v>
      </c>
      <c r="S1363" s="424"/>
      <c r="T1363" s="434" t="s">
        <v>476</v>
      </c>
      <c r="U1363" s="434" t="s">
        <v>477</v>
      </c>
      <c r="V1363" s="436" t="n">
        <f aca="false">AY1368</f>
        <v>0</v>
      </c>
    </row>
    <row r="1364" customFormat="false" ht="13.5" hidden="false" customHeight="false" outlineLevel="0" collapsed="false">
      <c r="A1364" s="440"/>
      <c r="B1364" s="435" t="e">
        <f aca="false">E1360</f>
        <v>#N/A</v>
      </c>
      <c r="C1364" s="424"/>
      <c r="D1364" s="424"/>
      <c r="E1364" s="424"/>
      <c r="F1364" s="424"/>
      <c r="G1364" s="424"/>
      <c r="H1364" s="424"/>
      <c r="I1364" s="424"/>
      <c r="J1364" s="424"/>
      <c r="K1364" s="424"/>
      <c r="L1364" s="424"/>
      <c r="M1364" s="424"/>
      <c r="N1364" s="424"/>
      <c r="O1364" s="424"/>
      <c r="P1364" s="424"/>
      <c r="Q1364" s="435" t="n">
        <v>22</v>
      </c>
      <c r="R1364" s="434" t="s">
        <v>478</v>
      </c>
      <c r="S1364" s="424"/>
      <c r="T1364" s="434" t="s">
        <v>479</v>
      </c>
      <c r="U1364" s="434" t="s">
        <v>480</v>
      </c>
      <c r="V1364" s="436" t="n">
        <f aca="false">AY1369</f>
        <v>0</v>
      </c>
    </row>
    <row r="1365" customFormat="false" ht="13.5" hidden="false" customHeight="false" outlineLevel="0" collapsed="false">
      <c r="A1365" s="440"/>
      <c r="B1365" s="435" t="e">
        <f aca="false">F1360</f>
        <v>#VALUE!</v>
      </c>
      <c r="C1365" s="424"/>
      <c r="D1365" s="424"/>
      <c r="E1365" s="424"/>
      <c r="F1365" s="424"/>
      <c r="G1365" s="424"/>
      <c r="H1365" s="424"/>
      <c r="I1365" s="424"/>
      <c r="J1365" s="424"/>
      <c r="K1365" s="424"/>
      <c r="L1365" s="424"/>
      <c r="M1365" s="424"/>
      <c r="N1365" s="424"/>
      <c r="O1365" s="424"/>
      <c r="P1365" s="438" t="s">
        <v>417</v>
      </c>
      <c r="Q1365" s="435" t="n">
        <v>23</v>
      </c>
      <c r="R1365" s="434" t="s">
        <v>481</v>
      </c>
      <c r="S1365" s="424"/>
      <c r="T1365" s="434" t="s">
        <v>482</v>
      </c>
      <c r="U1365" s="434" t="s">
        <v>483</v>
      </c>
      <c r="V1365" s="436" t="n">
        <f aca="false">AY1370</f>
        <v>0</v>
      </c>
    </row>
    <row r="1366" customFormat="false" ht="13.5" hidden="false" customHeight="false" outlineLevel="0" collapsed="false">
      <c r="A1366" s="424"/>
      <c r="B1366" s="424"/>
      <c r="C1366" s="424"/>
      <c r="D1366" s="424"/>
      <c r="E1366" s="424"/>
      <c r="F1366" s="424"/>
      <c r="G1366" s="424"/>
      <c r="H1366" s="424"/>
      <c r="I1366" s="424"/>
      <c r="J1366" s="424"/>
      <c r="K1366" s="424"/>
      <c r="L1366" s="424"/>
      <c r="M1366" s="424"/>
      <c r="N1366" s="424"/>
      <c r="O1366" s="424"/>
      <c r="P1366" s="438" t="s">
        <v>417</v>
      </c>
      <c r="Q1366" s="435" t="n">
        <v>24</v>
      </c>
      <c r="R1366" s="434" t="s">
        <v>484</v>
      </c>
      <c r="S1366" s="424"/>
      <c r="T1366" s="434" t="s">
        <v>485</v>
      </c>
      <c r="U1366" s="434" t="s">
        <v>486</v>
      </c>
      <c r="V1366" s="436" t="n">
        <f aca="false">AY1371</f>
        <v>0</v>
      </c>
    </row>
    <row r="1367" customFormat="false" ht="13.5" hidden="false" customHeight="false" outlineLevel="0" collapsed="false">
      <c r="A1367" s="424"/>
      <c r="B1367" s="424"/>
      <c r="C1367" s="424"/>
      <c r="D1367" s="424"/>
      <c r="E1367" s="424"/>
      <c r="F1367" s="424"/>
      <c r="G1367" s="424"/>
      <c r="H1367" s="424"/>
      <c r="I1367" s="424"/>
      <c r="J1367" s="424"/>
      <c r="K1367" s="424"/>
      <c r="L1367" s="424"/>
      <c r="M1367" s="424"/>
      <c r="N1367" s="424"/>
      <c r="O1367" s="424"/>
      <c r="P1367" s="438" t="s">
        <v>417</v>
      </c>
      <c r="Q1367" s="435" t="n">
        <v>25</v>
      </c>
      <c r="R1367" s="434" t="s">
        <v>487</v>
      </c>
      <c r="S1367" s="424"/>
      <c r="T1367" s="434" t="s">
        <v>488</v>
      </c>
      <c r="U1367" s="434" t="s">
        <v>489</v>
      </c>
      <c r="V1367" s="436" t="n">
        <f aca="false">AY1372</f>
        <v>0</v>
      </c>
    </row>
    <row r="1368" customFormat="false" ht="13.5" hidden="false" customHeight="false" outlineLevel="0" collapsed="false">
      <c r="A1368" s="424"/>
      <c r="B1368" s="424"/>
      <c r="C1368" s="424"/>
      <c r="D1368" s="424"/>
      <c r="E1368" s="424"/>
      <c r="F1368" s="424"/>
      <c r="G1368" s="424"/>
      <c r="H1368" s="424"/>
      <c r="I1368" s="424"/>
      <c r="J1368" s="424"/>
      <c r="K1368" s="424"/>
      <c r="L1368" s="424"/>
      <c r="M1368" s="424"/>
      <c r="N1368" s="424"/>
      <c r="O1368" s="424"/>
      <c r="P1368" s="438" t="s">
        <v>417</v>
      </c>
      <c r="Q1368" s="435" t="n">
        <v>26</v>
      </c>
      <c r="R1368" s="434" t="s">
        <v>490</v>
      </c>
      <c r="S1368" s="424"/>
      <c r="T1368" s="434" t="s">
        <v>491</v>
      </c>
      <c r="U1368" s="434" t="s">
        <v>492</v>
      </c>
      <c r="V1368" s="436" t="n">
        <f aca="false">AY1373</f>
        <v>0</v>
      </c>
    </row>
    <row r="1369" customFormat="false" ht="13.5" hidden="false" customHeight="false" outlineLevel="0" collapsed="false">
      <c r="A1369" s="424"/>
      <c r="B1369" s="424"/>
      <c r="C1369" s="424"/>
      <c r="D1369" s="424"/>
      <c r="E1369" s="424"/>
      <c r="F1369" s="424"/>
      <c r="G1369" s="424"/>
      <c r="H1369" s="424"/>
      <c r="I1369" s="424"/>
      <c r="J1369" s="424"/>
      <c r="K1369" s="424"/>
      <c r="L1369" s="424"/>
      <c r="M1369" s="424"/>
      <c r="N1369" s="424"/>
      <c r="O1369" s="424"/>
      <c r="P1369" s="424"/>
      <c r="Q1369" s="435" t="n">
        <v>27</v>
      </c>
      <c r="R1369" s="434" t="s">
        <v>493</v>
      </c>
      <c r="S1369" s="424"/>
      <c r="T1369" s="434" t="s">
        <v>494</v>
      </c>
      <c r="U1369" s="434" t="s">
        <v>495</v>
      </c>
      <c r="V1369" s="436" t="n">
        <f aca="false">AY1374</f>
        <v>0</v>
      </c>
    </row>
    <row r="1370" customFormat="false" ht="13.5" hidden="false" customHeight="false" outlineLevel="0" collapsed="false">
      <c r="A1370" s="424"/>
      <c r="B1370" s="424"/>
      <c r="C1370" s="424"/>
      <c r="D1370" s="424"/>
      <c r="E1370" s="424"/>
      <c r="F1370" s="424"/>
      <c r="G1370" s="424"/>
      <c r="H1370" s="424"/>
      <c r="I1370" s="424"/>
      <c r="J1370" s="424"/>
      <c r="K1370" s="424"/>
      <c r="L1370" s="424"/>
      <c r="M1370" s="424"/>
      <c r="N1370" s="424"/>
      <c r="O1370" s="424"/>
      <c r="P1370" s="424"/>
      <c r="Q1370" s="435" t="n">
        <v>28</v>
      </c>
      <c r="R1370" s="434" t="s">
        <v>496</v>
      </c>
      <c r="S1370" s="424"/>
      <c r="T1370" s="434" t="s">
        <v>497</v>
      </c>
      <c r="U1370" s="434" t="s">
        <v>498</v>
      </c>
      <c r="V1370" s="436" t="n">
        <f aca="false">AY1375</f>
        <v>0</v>
      </c>
    </row>
    <row r="1371" customFormat="false" ht="13.5" hidden="false" customHeight="false" outlineLevel="0" collapsed="false">
      <c r="A1371" s="424"/>
      <c r="B1371" s="424"/>
      <c r="C1371" s="424"/>
      <c r="D1371" s="424"/>
      <c r="E1371" s="424"/>
      <c r="F1371" s="424"/>
      <c r="G1371" s="424"/>
      <c r="H1371" s="424"/>
      <c r="I1371" s="424"/>
      <c r="J1371" s="424"/>
      <c r="K1371" s="424"/>
      <c r="L1371" s="424"/>
      <c r="M1371" s="424"/>
      <c r="N1371" s="424"/>
      <c r="O1371" s="424"/>
      <c r="P1371" s="424"/>
      <c r="Q1371" s="435" t="n">
        <v>29</v>
      </c>
      <c r="R1371" s="434" t="s">
        <v>499</v>
      </c>
      <c r="S1371" s="424"/>
      <c r="T1371" s="434" t="s">
        <v>500</v>
      </c>
      <c r="U1371" s="434" t="s">
        <v>501</v>
      </c>
      <c r="V1371" s="436" t="n">
        <f aca="false">AY1376</f>
        <v>0</v>
      </c>
    </row>
    <row r="1372" customFormat="false" ht="13.5" hidden="false" customHeight="false" outlineLevel="0" collapsed="false">
      <c r="A1372" s="424"/>
      <c r="B1372" s="424"/>
      <c r="C1372" s="424"/>
      <c r="D1372" s="424"/>
      <c r="E1372" s="424"/>
      <c r="F1372" s="424"/>
      <c r="G1372" s="424"/>
      <c r="H1372" s="424"/>
      <c r="I1372" s="424"/>
      <c r="J1372" s="424"/>
      <c r="K1372" s="424"/>
      <c r="L1372" s="424"/>
      <c r="M1372" s="424"/>
      <c r="N1372" s="424"/>
      <c r="O1372" s="424"/>
      <c r="P1372" s="424"/>
      <c r="Q1372" s="435" t="n">
        <v>30</v>
      </c>
      <c r="R1372" s="434" t="s">
        <v>502</v>
      </c>
      <c r="S1372" s="424"/>
      <c r="T1372" s="434" t="s">
        <v>503</v>
      </c>
      <c r="U1372" s="434" t="s">
        <v>504</v>
      </c>
      <c r="V1372" s="436" t="n">
        <f aca="false">AY1377</f>
        <v>0</v>
      </c>
    </row>
    <row r="1373" customFormat="false" ht="13.5" hidden="false" customHeight="false" outlineLevel="0" collapsed="false">
      <c r="A1373" s="424"/>
      <c r="B1373" s="424"/>
      <c r="C1373" s="424"/>
      <c r="D1373" s="424"/>
      <c r="E1373" s="424"/>
      <c r="F1373" s="424"/>
      <c r="G1373" s="424"/>
      <c r="H1373" s="424"/>
      <c r="I1373" s="424"/>
      <c r="J1373" s="424"/>
      <c r="K1373" s="424"/>
      <c r="L1373" s="424"/>
      <c r="M1373" s="424"/>
      <c r="N1373" s="424"/>
      <c r="O1373" s="424"/>
      <c r="P1373" s="424"/>
      <c r="Q1373" s="435" t="n">
        <v>31</v>
      </c>
      <c r="R1373" s="434" t="s">
        <v>505</v>
      </c>
      <c r="S1373" s="424"/>
      <c r="T1373" s="434" t="s">
        <v>506</v>
      </c>
      <c r="U1373" s="434" t="s">
        <v>507</v>
      </c>
      <c r="V1373" s="436" t="n">
        <f aca="false">AY1378</f>
        <v>0</v>
      </c>
    </row>
    <row r="1374" customFormat="false" ht="13.5" hidden="false" customHeight="false" outlineLevel="0" collapsed="false">
      <c r="A1374" s="424"/>
      <c r="B1374" s="424"/>
      <c r="C1374" s="424"/>
      <c r="D1374" s="424"/>
      <c r="E1374" s="424"/>
      <c r="F1374" s="424"/>
      <c r="G1374" s="424"/>
      <c r="H1374" s="424"/>
      <c r="I1374" s="424"/>
      <c r="J1374" s="424"/>
      <c r="K1374" s="424"/>
      <c r="L1374" s="424"/>
      <c r="M1374" s="424"/>
      <c r="N1374" s="424"/>
      <c r="O1374" s="424"/>
      <c r="P1374" s="424"/>
      <c r="Q1374" s="435" t="n">
        <v>32</v>
      </c>
      <c r="R1374" s="434" t="s">
        <v>508</v>
      </c>
      <c r="S1374" s="424"/>
      <c r="T1374" s="434" t="s">
        <v>509</v>
      </c>
      <c r="U1374" s="434" t="s">
        <v>510</v>
      </c>
      <c r="V1374" s="436" t="n">
        <f aca="false">AY1379</f>
        <v>0</v>
      </c>
    </row>
    <row r="1375" customFormat="false" ht="13.5" hidden="false" customHeight="false" outlineLevel="0" collapsed="false">
      <c r="A1375" s="440"/>
      <c r="B1375" s="435" t="e">
        <f aca="false">G1360</f>
        <v>#VALUE!</v>
      </c>
      <c r="C1375" s="424"/>
      <c r="D1375" s="424"/>
      <c r="E1375" s="424"/>
      <c r="F1375" s="424"/>
      <c r="G1375" s="424"/>
      <c r="H1375" s="424"/>
      <c r="I1375" s="424"/>
      <c r="J1375" s="424"/>
      <c r="K1375" s="424"/>
      <c r="L1375" s="424"/>
      <c r="M1375" s="424"/>
      <c r="N1375" s="424"/>
      <c r="O1375" s="424"/>
      <c r="P1375" s="424"/>
      <c r="Q1375" s="435" t="n">
        <v>33</v>
      </c>
      <c r="R1375" s="434" t="s">
        <v>511</v>
      </c>
      <c r="S1375" s="424"/>
      <c r="T1375" s="434" t="s">
        <v>512</v>
      </c>
      <c r="U1375" s="434" t="s">
        <v>513</v>
      </c>
      <c r="V1375" s="436" t="n">
        <f aca="false">AY1380</f>
        <v>0</v>
      </c>
    </row>
    <row r="1376" customFormat="false" ht="13.5" hidden="false" customHeight="false" outlineLevel="0" collapsed="false">
      <c r="A1376" s="440"/>
      <c r="B1376" s="435" t="str">
        <f aca="false">H1360</f>
        <v/>
      </c>
      <c r="C1376" s="424"/>
      <c r="D1376" s="424"/>
      <c r="E1376" s="424"/>
      <c r="F1376" s="424"/>
      <c r="G1376" s="424"/>
      <c r="H1376" s="424"/>
      <c r="I1376" s="424"/>
      <c r="J1376" s="424"/>
      <c r="K1376" s="424"/>
      <c r="L1376" s="424"/>
      <c r="M1376" s="424"/>
      <c r="N1376" s="424"/>
      <c r="O1376" s="424"/>
      <c r="P1376" s="424"/>
      <c r="Q1376" s="435" t="n">
        <v>34</v>
      </c>
      <c r="R1376" s="434" t="s">
        <v>514</v>
      </c>
      <c r="S1376" s="424"/>
      <c r="T1376" s="434" t="s">
        <v>515</v>
      </c>
      <c r="U1376" s="434" t="s">
        <v>516</v>
      </c>
      <c r="V1376" s="436" t="n">
        <f aca="false">AY1381</f>
        <v>0</v>
      </c>
    </row>
    <row r="1377" customFormat="false" ht="13.5" hidden="false" customHeight="false" outlineLevel="0" collapsed="false">
      <c r="A1377" s="440"/>
      <c r="B1377" s="435" t="str">
        <f aca="false">I1360</f>
        <v/>
      </c>
      <c r="C1377" s="424"/>
      <c r="D1377" s="424"/>
      <c r="E1377" s="424"/>
      <c r="F1377" s="424"/>
      <c r="G1377" s="424"/>
      <c r="H1377" s="424"/>
      <c r="I1377" s="424"/>
      <c r="J1377" s="424"/>
      <c r="K1377" s="424"/>
      <c r="L1377" s="424"/>
      <c r="M1377" s="424"/>
      <c r="N1377" s="424"/>
      <c r="O1377" s="424"/>
      <c r="P1377" s="424"/>
      <c r="Q1377" s="435" t="n">
        <v>35</v>
      </c>
      <c r="R1377" s="434" t="s">
        <v>517</v>
      </c>
      <c r="S1377" s="424"/>
      <c r="T1377" s="434" t="s">
        <v>518</v>
      </c>
      <c r="U1377" s="434" t="s">
        <v>519</v>
      </c>
      <c r="V1377" s="436" t="n">
        <f aca="false">AY1382</f>
        <v>0</v>
      </c>
    </row>
    <row r="1378" customFormat="false" ht="13.5" hidden="false" customHeight="false" outlineLevel="0" collapsed="false">
      <c r="A1378" s="440"/>
      <c r="B1378" s="435" t="str">
        <f aca="false">J1360</f>
        <v/>
      </c>
      <c r="C1378" s="424"/>
      <c r="D1378" s="424"/>
      <c r="E1378" s="424"/>
      <c r="F1378" s="424"/>
      <c r="G1378" s="424"/>
      <c r="H1378" s="424"/>
      <c r="I1378" s="424"/>
      <c r="J1378" s="424"/>
      <c r="K1378" s="424"/>
      <c r="L1378" s="424"/>
      <c r="M1378" s="424"/>
      <c r="N1378" s="424"/>
      <c r="O1378" s="424"/>
      <c r="P1378" s="424"/>
      <c r="Q1378" s="435" t="n">
        <v>36</v>
      </c>
      <c r="R1378" s="434" t="s">
        <v>520</v>
      </c>
      <c r="S1378" s="424"/>
      <c r="T1378" s="434" t="s">
        <v>521</v>
      </c>
      <c r="U1378" s="434" t="s">
        <v>522</v>
      </c>
      <c r="V1378" s="436" t="n">
        <f aca="false">AY1383</f>
        <v>0</v>
      </c>
    </row>
    <row r="1379" customFormat="false" ht="13.5" hidden="false" customHeight="false" outlineLevel="0" collapsed="false">
      <c r="A1379" s="440"/>
      <c r="B1379" s="440" t="str">
        <f aca="false">K1360</f>
        <v/>
      </c>
      <c r="C1379" s="424"/>
      <c r="D1379" s="424"/>
      <c r="E1379" s="424"/>
      <c r="F1379" s="424"/>
      <c r="G1379" s="424"/>
      <c r="H1379" s="424"/>
      <c r="I1379" s="424"/>
      <c r="J1379" s="424"/>
      <c r="K1379" s="424"/>
      <c r="L1379" s="424"/>
      <c r="M1379" s="424"/>
      <c r="N1379" s="424"/>
      <c r="O1379" s="424"/>
      <c r="P1379" s="424"/>
      <c r="Q1379" s="435" t="n">
        <v>37</v>
      </c>
      <c r="R1379" s="434" t="s">
        <v>523</v>
      </c>
      <c r="S1379" s="424"/>
      <c r="T1379" s="434" t="s">
        <v>524</v>
      </c>
      <c r="U1379" s="434" t="s">
        <v>525</v>
      </c>
      <c r="V1379" s="436" t="n">
        <f aca="false">AY1384</f>
        <v>0</v>
      </c>
    </row>
    <row r="1380" customFormat="false" ht="13.5" hidden="false" customHeight="false" outlineLevel="0" collapsed="false">
      <c r="A1380" s="440"/>
      <c r="B1380" s="435" t="str">
        <f aca="false">L1360</f>
        <v> Dua belas</v>
      </c>
      <c r="C1380" s="424"/>
      <c r="D1380" s="424"/>
      <c r="E1380" s="424"/>
      <c r="F1380" s="424"/>
      <c r="G1380" s="424"/>
      <c r="H1380" s="424"/>
      <c r="I1380" s="424"/>
      <c r="J1380" s="424"/>
      <c r="K1380" s="424"/>
      <c r="L1380" s="424"/>
      <c r="M1380" s="424"/>
      <c r="N1380" s="424"/>
      <c r="O1380" s="424"/>
      <c r="P1380" s="424"/>
      <c r="Q1380" s="435" t="n">
        <v>38</v>
      </c>
      <c r="R1380" s="434" t="s">
        <v>526</v>
      </c>
      <c r="S1380" s="424"/>
      <c r="T1380" s="434" t="s">
        <v>527</v>
      </c>
      <c r="U1380" s="434" t="s">
        <v>528</v>
      </c>
      <c r="V1380" s="436" t="n">
        <f aca="false">AY1385</f>
        <v>0</v>
      </c>
    </row>
    <row r="1381" customFormat="false" ht="13.5" hidden="false" customHeight="false" outlineLevel="0" collapsed="false">
      <c r="A1381" s="440"/>
      <c r="B1381" s="435" t="str">
        <f aca="false">M1360</f>
        <v> Rupiah </v>
      </c>
      <c r="C1381" s="424"/>
      <c r="D1381" s="424"/>
      <c r="E1381" s="424"/>
      <c r="F1381" s="424"/>
      <c r="G1381" s="424"/>
      <c r="H1381" s="424"/>
      <c r="I1381" s="424"/>
      <c r="J1381" s="424"/>
      <c r="K1381" s="424"/>
      <c r="L1381" s="424"/>
      <c r="M1381" s="424"/>
      <c r="N1381" s="424"/>
      <c r="O1381" s="424"/>
      <c r="P1381" s="424"/>
      <c r="Q1381" s="435" t="n">
        <v>39</v>
      </c>
      <c r="R1381" s="434" t="s">
        <v>529</v>
      </c>
      <c r="S1381" s="424"/>
      <c r="T1381" s="434" t="s">
        <v>530</v>
      </c>
      <c r="U1381" s="434" t="s">
        <v>531</v>
      </c>
      <c r="V1381" s="436" t="n">
        <f aca="false">AY1386</f>
        <v>0</v>
      </c>
    </row>
    <row r="1382" customFormat="false" ht="13.5" hidden="false" customHeight="false" outlineLevel="0" collapsed="false">
      <c r="A1382" s="436" t="e">
        <f aca="false">+#REF!</f>
        <v>#REF!</v>
      </c>
      <c r="B1382" s="435" t="str">
        <f aca="false">O1360</f>
        <v/>
      </c>
      <c r="C1382" s="424"/>
      <c r="D1382" s="424"/>
      <c r="E1382" s="424"/>
      <c r="F1382" s="424"/>
      <c r="G1382" s="424"/>
      <c r="H1382" s="424"/>
      <c r="I1382" s="424"/>
      <c r="J1382" s="424"/>
      <c r="K1382" s="424"/>
      <c r="L1382" s="424"/>
      <c r="M1382" s="424"/>
      <c r="N1382" s="424"/>
      <c r="O1382" s="424"/>
      <c r="P1382" s="424"/>
      <c r="Q1382" s="435" t="n">
        <v>40</v>
      </c>
      <c r="R1382" s="434" t="s">
        <v>532</v>
      </c>
      <c r="S1382" s="424"/>
      <c r="T1382" s="434" t="s">
        <v>533</v>
      </c>
      <c r="U1382" s="434" t="s">
        <v>534</v>
      </c>
      <c r="V1382" s="436" t="n">
        <f aca="false">AY1387</f>
        <v>0</v>
      </c>
    </row>
    <row r="1383" customFormat="false" ht="13.5" hidden="false" customHeight="false" outlineLevel="0" collapsed="false">
      <c r="A1383" s="440"/>
      <c r="B1383" s="435" t="str">
        <f aca="false">IF(N1358&gt;0,"-","====")</f>
        <v>====</v>
      </c>
      <c r="C1383" s="424"/>
      <c r="D1383" s="424"/>
      <c r="E1383" s="424"/>
      <c r="F1383" s="424"/>
      <c r="G1383" s="424"/>
      <c r="H1383" s="424"/>
      <c r="I1383" s="424"/>
      <c r="J1383" s="424"/>
      <c r="K1383" s="424"/>
      <c r="L1383" s="424"/>
      <c r="M1383" s="424"/>
      <c r="N1383" s="424"/>
      <c r="O1383" s="424"/>
      <c r="P1383" s="424"/>
      <c r="Q1383" s="435" t="n">
        <v>41</v>
      </c>
      <c r="R1383" s="434" t="s">
        <v>535</v>
      </c>
      <c r="S1383" s="424"/>
      <c r="T1383" s="434" t="s">
        <v>536</v>
      </c>
      <c r="U1383" s="434" t="s">
        <v>537</v>
      </c>
      <c r="V1383" s="436" t="n">
        <f aca="false">AY1388</f>
        <v>0</v>
      </c>
    </row>
    <row r="1384" customFormat="false" ht="13.5" hidden="false" customHeight="false" outlineLevel="0" collapsed="false">
      <c r="A1384" s="444" t="e">
        <f aca="false">B1360&amp;C1360&amp;D1360&amp;E1360&amp;F1360&amp;G1360&amp;H1360&amp;I1360&amp;J1360&amp;K1360&amp;L1360&amp;M1360&amp;O1360</f>
        <v>#N/A</v>
      </c>
      <c r="B1384" s="424"/>
      <c r="C1384" s="424"/>
      <c r="D1384" s="424"/>
      <c r="E1384" s="424"/>
      <c r="F1384" s="424"/>
      <c r="G1384" s="424"/>
      <c r="H1384" s="424"/>
      <c r="I1384" s="424"/>
      <c r="J1384" s="424"/>
      <c r="K1384" s="424"/>
      <c r="L1384" s="424"/>
      <c r="M1384" s="424"/>
      <c r="N1384" s="424"/>
      <c r="O1384" s="424"/>
      <c r="P1384" s="424"/>
      <c r="Q1384" s="435" t="n">
        <v>42</v>
      </c>
      <c r="R1384" s="434" t="s">
        <v>538</v>
      </c>
      <c r="S1384" s="424"/>
      <c r="T1384" s="434" t="s">
        <v>539</v>
      </c>
      <c r="U1384" s="434" t="s">
        <v>540</v>
      </c>
      <c r="V1384" s="436" t="n">
        <f aca="false">AY1389</f>
        <v>0</v>
      </c>
    </row>
    <row r="1385" customFormat="false" ht="13.5" hidden="false" customHeight="false" outlineLevel="0" collapsed="false">
      <c r="A1385" s="440" t="str">
        <f aca="false">I1360&amp;J1360&amp;K1360&amp;L1360&amp;M1360&amp;O1360</f>
        <v> Dua belas Rupiah </v>
      </c>
      <c r="B1385" s="424"/>
      <c r="C1385" s="424"/>
      <c r="D1385" s="424"/>
      <c r="E1385" s="424"/>
      <c r="F1385" s="424"/>
      <c r="G1385" s="424"/>
      <c r="H1385" s="424"/>
      <c r="I1385" s="424"/>
      <c r="J1385" s="424"/>
      <c r="K1385" s="424"/>
      <c r="L1385" s="424"/>
      <c r="M1385" s="424"/>
      <c r="N1385" s="424"/>
      <c r="O1385" s="424"/>
      <c r="P1385" s="424"/>
      <c r="Q1385" s="435" t="n">
        <v>43</v>
      </c>
      <c r="R1385" s="434" t="s">
        <v>541</v>
      </c>
      <c r="S1385" s="424"/>
      <c r="T1385" s="434" t="s">
        <v>542</v>
      </c>
      <c r="U1385" s="434" t="s">
        <v>543</v>
      </c>
      <c r="V1385" s="436" t="n">
        <f aca="false">AY1390</f>
        <v>0</v>
      </c>
    </row>
    <row r="1386" customFormat="false" ht="13.5" hidden="false" customHeight="false" outlineLevel="0" collapsed="false">
      <c r="A1386" s="440"/>
      <c r="B1386" s="424"/>
      <c r="C1386" s="424"/>
      <c r="D1386" s="424"/>
      <c r="E1386" s="424"/>
      <c r="F1386" s="424"/>
      <c r="G1386" s="424"/>
      <c r="H1386" s="424"/>
      <c r="I1386" s="424"/>
      <c r="J1386" s="424"/>
      <c r="K1386" s="424"/>
      <c r="L1386" s="424"/>
      <c r="M1386" s="424"/>
      <c r="N1386" s="424"/>
      <c r="O1386" s="424"/>
      <c r="P1386" s="424"/>
      <c r="Q1386" s="435" t="n">
        <v>44</v>
      </c>
      <c r="R1386" s="434" t="s">
        <v>544</v>
      </c>
      <c r="S1386" s="424"/>
      <c r="T1386" s="434" t="s">
        <v>545</v>
      </c>
      <c r="U1386" s="434" t="s">
        <v>546</v>
      </c>
      <c r="V1386" s="436" t="n">
        <f aca="false">AY1391</f>
        <v>0</v>
      </c>
    </row>
    <row r="1387" customFormat="false" ht="13.5" hidden="false" customHeight="false" outlineLevel="0" collapsed="false">
      <c r="A1387" s="440"/>
      <c r="B1387" s="424"/>
      <c r="C1387" s="424"/>
      <c r="D1387" s="424"/>
      <c r="E1387" s="424"/>
      <c r="F1387" s="424"/>
      <c r="G1387" s="424"/>
      <c r="H1387" s="424"/>
      <c r="I1387" s="424"/>
      <c r="J1387" s="424"/>
      <c r="K1387" s="424"/>
      <c r="L1387" s="424"/>
      <c r="M1387" s="424"/>
      <c r="N1387" s="424"/>
      <c r="O1387" s="424"/>
      <c r="P1387" s="424"/>
      <c r="Q1387" s="435" t="n">
        <v>45</v>
      </c>
      <c r="R1387" s="434" t="s">
        <v>547</v>
      </c>
      <c r="S1387" s="424"/>
      <c r="T1387" s="434" t="s">
        <v>548</v>
      </c>
      <c r="U1387" s="434" t="s">
        <v>549</v>
      </c>
      <c r="V1387" s="436" t="n">
        <f aca="false">AY1392</f>
        <v>0</v>
      </c>
    </row>
    <row r="1388" customFormat="false" ht="13.5" hidden="false" customHeight="false" outlineLevel="0" collapsed="false">
      <c r="A1388" s="440"/>
      <c r="B1388" s="424"/>
      <c r="C1388" s="424"/>
      <c r="D1388" s="424"/>
      <c r="E1388" s="424"/>
      <c r="F1388" s="424"/>
      <c r="G1388" s="424"/>
      <c r="H1388" s="424"/>
      <c r="I1388" s="424"/>
      <c r="J1388" s="424"/>
      <c r="K1388" s="424"/>
      <c r="L1388" s="424"/>
      <c r="M1388" s="424"/>
      <c r="N1388" s="424"/>
      <c r="O1388" s="424"/>
      <c r="P1388" s="424"/>
      <c r="Q1388" s="435" t="n">
        <v>46</v>
      </c>
      <c r="R1388" s="434" t="s">
        <v>550</v>
      </c>
      <c r="S1388" s="424"/>
      <c r="T1388" s="434" t="s">
        <v>551</v>
      </c>
      <c r="U1388" s="434" t="s">
        <v>552</v>
      </c>
      <c r="V1388" s="436" t="n">
        <f aca="false">AY1393</f>
        <v>0</v>
      </c>
    </row>
    <row r="1389" customFormat="false" ht="13.5" hidden="false" customHeight="false" outlineLevel="0" collapsed="false">
      <c r="A1389" s="440"/>
      <c r="B1389" s="424"/>
      <c r="C1389" s="424"/>
      <c r="D1389" s="424"/>
      <c r="E1389" s="424"/>
      <c r="F1389" s="424"/>
      <c r="G1389" s="424"/>
      <c r="H1389" s="424"/>
      <c r="I1389" s="424"/>
      <c r="J1389" s="424"/>
      <c r="K1389" s="424"/>
      <c r="L1389" s="424"/>
      <c r="M1389" s="424"/>
      <c r="N1389" s="424"/>
      <c r="O1389" s="424"/>
      <c r="P1389" s="424"/>
      <c r="Q1389" s="435" t="n">
        <v>47</v>
      </c>
      <c r="R1389" s="434" t="s">
        <v>553</v>
      </c>
      <c r="S1389" s="424"/>
      <c r="T1389" s="434" t="s">
        <v>554</v>
      </c>
      <c r="U1389" s="434" t="s">
        <v>555</v>
      </c>
      <c r="V1389" s="436" t="n">
        <f aca="false">AY1394</f>
        <v>0</v>
      </c>
    </row>
    <row r="1390" customFormat="false" ht="13.5" hidden="false" customHeight="false" outlineLevel="0" collapsed="false">
      <c r="A1390" s="424"/>
      <c r="B1390" s="424"/>
      <c r="C1390" s="424"/>
      <c r="D1390" s="424"/>
      <c r="E1390" s="424"/>
      <c r="F1390" s="424"/>
      <c r="G1390" s="424"/>
      <c r="H1390" s="424"/>
      <c r="I1390" s="424"/>
      <c r="J1390" s="424"/>
      <c r="K1390" s="424"/>
      <c r="L1390" s="424"/>
      <c r="M1390" s="424"/>
      <c r="N1390" s="424"/>
      <c r="O1390" s="424"/>
      <c r="P1390" s="424"/>
      <c r="Q1390" s="435" t="n">
        <v>48</v>
      </c>
      <c r="R1390" s="434" t="s">
        <v>556</v>
      </c>
      <c r="S1390" s="424"/>
      <c r="T1390" s="434" t="s">
        <v>557</v>
      </c>
      <c r="U1390" s="434" t="s">
        <v>558</v>
      </c>
      <c r="V1390" s="436" t="n">
        <f aca="false">AY1395</f>
        <v>0</v>
      </c>
    </row>
    <row r="1391" customFormat="false" ht="13.5" hidden="false" customHeight="false" outlineLevel="0" collapsed="false">
      <c r="A1391" s="424"/>
      <c r="B1391" s="424"/>
      <c r="C1391" s="424"/>
      <c r="D1391" s="424"/>
      <c r="E1391" s="424"/>
      <c r="F1391" s="424"/>
      <c r="G1391" s="424"/>
      <c r="H1391" s="424"/>
      <c r="I1391" s="424"/>
      <c r="J1391" s="424"/>
      <c r="K1391" s="424"/>
      <c r="L1391" s="424"/>
      <c r="M1391" s="424"/>
      <c r="N1391" s="424"/>
      <c r="O1391" s="424"/>
      <c r="P1391" s="424"/>
      <c r="Q1391" s="435" t="n">
        <v>49</v>
      </c>
      <c r="R1391" s="434" t="s">
        <v>559</v>
      </c>
      <c r="S1391" s="424"/>
      <c r="T1391" s="434" t="s">
        <v>560</v>
      </c>
      <c r="U1391" s="434" t="s">
        <v>561</v>
      </c>
      <c r="V1391" s="436" t="n">
        <f aca="false">AY1396</f>
        <v>0</v>
      </c>
    </row>
    <row r="1392" customFormat="false" ht="13.5" hidden="false" customHeight="false" outlineLevel="0" collapsed="false">
      <c r="A1392" s="424"/>
      <c r="B1392" s="424"/>
      <c r="C1392" s="424"/>
      <c r="D1392" s="424"/>
      <c r="E1392" s="424"/>
      <c r="F1392" s="424"/>
      <c r="G1392" s="424"/>
      <c r="H1392" s="424"/>
      <c r="I1392" s="424"/>
      <c r="J1392" s="424"/>
      <c r="K1392" s="424"/>
      <c r="L1392" s="424"/>
      <c r="M1392" s="424"/>
      <c r="N1392" s="424"/>
      <c r="O1392" s="424"/>
      <c r="P1392" s="424"/>
      <c r="Q1392" s="435" t="n">
        <v>50</v>
      </c>
      <c r="R1392" s="434" t="s">
        <v>562</v>
      </c>
      <c r="S1392" s="424"/>
      <c r="T1392" s="434" t="s">
        <v>563</v>
      </c>
      <c r="U1392" s="434" t="s">
        <v>564</v>
      </c>
      <c r="V1392" s="436" t="n">
        <f aca="false">AY1397</f>
        <v>0</v>
      </c>
    </row>
    <row r="1393" customFormat="false" ht="13.5" hidden="false" customHeight="false" outlineLevel="0" collapsed="false">
      <c r="A1393" s="424"/>
      <c r="B1393" s="424"/>
      <c r="C1393" s="424"/>
      <c r="D1393" s="424"/>
      <c r="E1393" s="424"/>
      <c r="F1393" s="424"/>
      <c r="G1393" s="424"/>
      <c r="H1393" s="424"/>
      <c r="I1393" s="424"/>
      <c r="J1393" s="424"/>
      <c r="K1393" s="424"/>
      <c r="L1393" s="424"/>
      <c r="M1393" s="424"/>
      <c r="N1393" s="424"/>
      <c r="O1393" s="424"/>
      <c r="P1393" s="424"/>
      <c r="Q1393" s="435" t="n">
        <v>51</v>
      </c>
      <c r="R1393" s="434" t="s">
        <v>565</v>
      </c>
      <c r="S1393" s="424"/>
      <c r="T1393" s="434" t="s">
        <v>566</v>
      </c>
      <c r="U1393" s="434" t="s">
        <v>567</v>
      </c>
      <c r="V1393" s="436" t="n">
        <f aca="false">AY1398</f>
        <v>0</v>
      </c>
    </row>
    <row r="1394" customFormat="false" ht="13.5" hidden="false" customHeight="false" outlineLevel="0" collapsed="false">
      <c r="A1394" s="424"/>
      <c r="B1394" s="424"/>
      <c r="C1394" s="424"/>
      <c r="D1394" s="424"/>
      <c r="E1394" s="424"/>
      <c r="F1394" s="424"/>
      <c r="G1394" s="424"/>
      <c r="H1394" s="424"/>
      <c r="I1394" s="424"/>
      <c r="J1394" s="424"/>
      <c r="K1394" s="424"/>
      <c r="L1394" s="424"/>
      <c r="M1394" s="424"/>
      <c r="N1394" s="424"/>
      <c r="O1394" s="424"/>
      <c r="P1394" s="424"/>
      <c r="Q1394" s="435" t="n">
        <v>52</v>
      </c>
      <c r="R1394" s="434" t="s">
        <v>568</v>
      </c>
      <c r="S1394" s="424"/>
      <c r="T1394" s="434" t="s">
        <v>569</v>
      </c>
      <c r="U1394" s="434" t="s">
        <v>570</v>
      </c>
      <c r="V1394" s="436" t="n">
        <f aca="false">AY1399</f>
        <v>0</v>
      </c>
    </row>
    <row r="1395" customFormat="false" ht="13.5" hidden="false" customHeight="false" outlineLevel="0" collapsed="false">
      <c r="A1395" s="424"/>
      <c r="B1395" s="424"/>
      <c r="C1395" s="424"/>
      <c r="D1395" s="424"/>
      <c r="E1395" s="424"/>
      <c r="F1395" s="424"/>
      <c r="G1395" s="424"/>
      <c r="H1395" s="424"/>
      <c r="I1395" s="424"/>
      <c r="J1395" s="424"/>
      <c r="K1395" s="424"/>
      <c r="L1395" s="424"/>
      <c r="M1395" s="424"/>
      <c r="N1395" s="424"/>
      <c r="O1395" s="424"/>
      <c r="P1395" s="424"/>
      <c r="Q1395" s="435" t="n">
        <v>53</v>
      </c>
      <c r="R1395" s="434" t="s">
        <v>571</v>
      </c>
      <c r="S1395" s="424"/>
      <c r="T1395" s="434" t="s">
        <v>572</v>
      </c>
      <c r="U1395" s="434" t="s">
        <v>573</v>
      </c>
      <c r="V1395" s="436" t="n">
        <f aca="false">AY1400</f>
        <v>0</v>
      </c>
    </row>
    <row r="1396" customFormat="false" ht="13.5" hidden="false" customHeight="false" outlineLevel="0" collapsed="false">
      <c r="A1396" s="424"/>
      <c r="B1396" s="424"/>
      <c r="C1396" s="424"/>
      <c r="D1396" s="424"/>
      <c r="E1396" s="424"/>
      <c r="F1396" s="424"/>
      <c r="G1396" s="424"/>
      <c r="H1396" s="424"/>
      <c r="I1396" s="424"/>
      <c r="J1396" s="424"/>
      <c r="K1396" s="424"/>
      <c r="L1396" s="424"/>
      <c r="M1396" s="424"/>
      <c r="N1396" s="424"/>
      <c r="O1396" s="424"/>
      <c r="P1396" s="424"/>
      <c r="Q1396" s="435" t="n">
        <v>54</v>
      </c>
      <c r="R1396" s="434" t="s">
        <v>574</v>
      </c>
      <c r="S1396" s="424"/>
      <c r="T1396" s="434" t="s">
        <v>575</v>
      </c>
      <c r="U1396" s="434" t="s">
        <v>576</v>
      </c>
      <c r="V1396" s="436" t="n">
        <f aca="false">AY1401</f>
        <v>0</v>
      </c>
    </row>
    <row r="1397" customFormat="false" ht="13.5" hidden="false" customHeight="false" outlineLevel="0" collapsed="false">
      <c r="A1397" s="424"/>
      <c r="B1397" s="424"/>
      <c r="C1397" s="424"/>
      <c r="D1397" s="424"/>
      <c r="E1397" s="424"/>
      <c r="F1397" s="424"/>
      <c r="G1397" s="424"/>
      <c r="H1397" s="424"/>
      <c r="I1397" s="424"/>
      <c r="J1397" s="424"/>
      <c r="K1397" s="424"/>
      <c r="L1397" s="424"/>
      <c r="M1397" s="424"/>
      <c r="N1397" s="424"/>
      <c r="O1397" s="424"/>
      <c r="P1397" s="424"/>
      <c r="Q1397" s="435" t="n">
        <v>55</v>
      </c>
      <c r="R1397" s="434" t="s">
        <v>577</v>
      </c>
      <c r="S1397" s="424"/>
      <c r="T1397" s="434" t="s">
        <v>578</v>
      </c>
      <c r="U1397" s="434" t="s">
        <v>579</v>
      </c>
      <c r="V1397" s="436" t="n">
        <f aca="false">AY1402</f>
        <v>0</v>
      </c>
    </row>
    <row r="1398" customFormat="false" ht="13.5" hidden="false" customHeight="false" outlineLevel="0" collapsed="false">
      <c r="A1398" s="424"/>
      <c r="B1398" s="424"/>
      <c r="C1398" s="424"/>
      <c r="D1398" s="424"/>
      <c r="E1398" s="424"/>
      <c r="F1398" s="424"/>
      <c r="G1398" s="424"/>
      <c r="H1398" s="424"/>
      <c r="I1398" s="424"/>
      <c r="J1398" s="424"/>
      <c r="K1398" s="424"/>
      <c r="L1398" s="424"/>
      <c r="M1398" s="424"/>
      <c r="N1398" s="424"/>
      <c r="O1398" s="424"/>
      <c r="P1398" s="424"/>
      <c r="Q1398" s="435" t="n">
        <v>56</v>
      </c>
      <c r="R1398" s="434" t="s">
        <v>580</v>
      </c>
      <c r="S1398" s="424"/>
      <c r="T1398" s="434" t="s">
        <v>581</v>
      </c>
      <c r="U1398" s="434" t="s">
        <v>582</v>
      </c>
      <c r="V1398" s="436" t="n">
        <f aca="false">AY1403</f>
        <v>0</v>
      </c>
    </row>
    <row r="1399" customFormat="false" ht="13.5" hidden="false" customHeight="false" outlineLevel="0" collapsed="false">
      <c r="A1399" s="424"/>
      <c r="B1399" s="424"/>
      <c r="C1399" s="424"/>
      <c r="D1399" s="424"/>
      <c r="E1399" s="424"/>
      <c r="F1399" s="424"/>
      <c r="G1399" s="424"/>
      <c r="H1399" s="424"/>
      <c r="I1399" s="424"/>
      <c r="J1399" s="424"/>
      <c r="K1399" s="424"/>
      <c r="L1399" s="424"/>
      <c r="M1399" s="424"/>
      <c r="N1399" s="424"/>
      <c r="O1399" s="424"/>
      <c r="P1399" s="424"/>
      <c r="Q1399" s="435" t="n">
        <v>57</v>
      </c>
      <c r="R1399" s="434" t="s">
        <v>583</v>
      </c>
      <c r="S1399" s="424"/>
      <c r="T1399" s="434" t="s">
        <v>584</v>
      </c>
      <c r="U1399" s="434" t="s">
        <v>585</v>
      </c>
      <c r="V1399" s="436" t="n">
        <f aca="false">AY1404</f>
        <v>0</v>
      </c>
    </row>
    <row r="1400" customFormat="false" ht="13.5" hidden="false" customHeight="false" outlineLevel="0" collapsed="false">
      <c r="A1400" s="424"/>
      <c r="B1400" s="424"/>
      <c r="C1400" s="424"/>
      <c r="D1400" s="424"/>
      <c r="E1400" s="424"/>
      <c r="F1400" s="424"/>
      <c r="G1400" s="424"/>
      <c r="H1400" s="424"/>
      <c r="I1400" s="424"/>
      <c r="J1400" s="424"/>
      <c r="K1400" s="424"/>
      <c r="L1400" s="424"/>
      <c r="M1400" s="424"/>
      <c r="N1400" s="424"/>
      <c r="O1400" s="424"/>
      <c r="P1400" s="424"/>
      <c r="Q1400" s="435" t="n">
        <v>58</v>
      </c>
      <c r="R1400" s="434" t="s">
        <v>586</v>
      </c>
      <c r="S1400" s="424"/>
      <c r="T1400" s="434" t="s">
        <v>587</v>
      </c>
      <c r="U1400" s="434" t="s">
        <v>588</v>
      </c>
      <c r="V1400" s="436" t="n">
        <f aca="false">AY1405</f>
        <v>0</v>
      </c>
    </row>
    <row r="1401" customFormat="false" ht="13.5" hidden="false" customHeight="false" outlineLevel="0" collapsed="false">
      <c r="A1401" s="424"/>
      <c r="B1401" s="424"/>
      <c r="C1401" s="424"/>
      <c r="D1401" s="424"/>
      <c r="E1401" s="424"/>
      <c r="F1401" s="424"/>
      <c r="G1401" s="424"/>
      <c r="H1401" s="424"/>
      <c r="I1401" s="424"/>
      <c r="J1401" s="424"/>
      <c r="K1401" s="424"/>
      <c r="L1401" s="424"/>
      <c r="M1401" s="424"/>
      <c r="N1401" s="424"/>
      <c r="O1401" s="424"/>
      <c r="P1401" s="424"/>
      <c r="Q1401" s="435" t="n">
        <v>59</v>
      </c>
      <c r="R1401" s="434" t="s">
        <v>589</v>
      </c>
      <c r="S1401" s="424"/>
      <c r="T1401" s="434" t="s">
        <v>590</v>
      </c>
      <c r="U1401" s="434" t="s">
        <v>591</v>
      </c>
      <c r="V1401" s="436" t="n">
        <f aca="false">AY1406</f>
        <v>0</v>
      </c>
    </row>
    <row r="1402" customFormat="false" ht="13.5" hidden="false" customHeight="false" outlineLevel="0" collapsed="false">
      <c r="A1402" s="424"/>
      <c r="B1402" s="424"/>
      <c r="C1402" s="424"/>
      <c r="D1402" s="424"/>
      <c r="E1402" s="424"/>
      <c r="F1402" s="424"/>
      <c r="G1402" s="424"/>
      <c r="H1402" s="424"/>
      <c r="I1402" s="424"/>
      <c r="J1402" s="424"/>
      <c r="K1402" s="424"/>
      <c r="L1402" s="424"/>
      <c r="M1402" s="424"/>
      <c r="N1402" s="424"/>
      <c r="O1402" s="424"/>
      <c r="P1402" s="424"/>
      <c r="Q1402" s="435" t="n">
        <v>60</v>
      </c>
      <c r="R1402" s="434" t="s">
        <v>592</v>
      </c>
      <c r="S1402" s="424"/>
      <c r="T1402" s="434" t="s">
        <v>593</v>
      </c>
      <c r="U1402" s="434" t="s">
        <v>594</v>
      </c>
      <c r="V1402" s="436" t="n">
        <f aca="false">AY1407</f>
        <v>0</v>
      </c>
    </row>
    <row r="1403" customFormat="false" ht="13.5" hidden="false" customHeight="false" outlineLevel="0" collapsed="false">
      <c r="A1403" s="424"/>
      <c r="B1403" s="424"/>
      <c r="C1403" s="424"/>
      <c r="D1403" s="424"/>
      <c r="E1403" s="424"/>
      <c r="F1403" s="424"/>
      <c r="G1403" s="424"/>
      <c r="H1403" s="424"/>
      <c r="I1403" s="424"/>
      <c r="J1403" s="424"/>
      <c r="K1403" s="424"/>
      <c r="L1403" s="424"/>
      <c r="M1403" s="424"/>
      <c r="N1403" s="424"/>
      <c r="O1403" s="424"/>
      <c r="P1403" s="424"/>
      <c r="Q1403" s="435" t="n">
        <v>61</v>
      </c>
      <c r="R1403" s="434" t="s">
        <v>595</v>
      </c>
      <c r="S1403" s="424"/>
      <c r="T1403" s="434" t="s">
        <v>596</v>
      </c>
      <c r="U1403" s="434" t="s">
        <v>597</v>
      </c>
      <c r="V1403" s="436" t="n">
        <f aca="false">AY1408</f>
        <v>0</v>
      </c>
    </row>
    <row r="1404" customFormat="false" ht="13.5" hidden="false" customHeight="false" outlineLevel="0" collapsed="false">
      <c r="A1404" s="424"/>
      <c r="B1404" s="424"/>
      <c r="C1404" s="424"/>
      <c r="D1404" s="424"/>
      <c r="E1404" s="424"/>
      <c r="F1404" s="424"/>
      <c r="G1404" s="424"/>
      <c r="H1404" s="424"/>
      <c r="I1404" s="424"/>
      <c r="J1404" s="424"/>
      <c r="K1404" s="424"/>
      <c r="L1404" s="424"/>
      <c r="M1404" s="424"/>
      <c r="N1404" s="424"/>
      <c r="O1404" s="424"/>
      <c r="P1404" s="424"/>
      <c r="Q1404" s="435" t="n">
        <v>62</v>
      </c>
      <c r="R1404" s="434" t="s">
        <v>598</v>
      </c>
      <c r="S1404" s="424"/>
      <c r="T1404" s="434" t="s">
        <v>599</v>
      </c>
      <c r="U1404" s="434" t="s">
        <v>600</v>
      </c>
      <c r="V1404" s="436" t="n">
        <f aca="false">AY1409</f>
        <v>0</v>
      </c>
    </row>
    <row r="1405" customFormat="false" ht="13.5" hidden="false" customHeight="false" outlineLevel="0" collapsed="false">
      <c r="A1405" s="424"/>
      <c r="B1405" s="424"/>
      <c r="C1405" s="424"/>
      <c r="D1405" s="424"/>
      <c r="E1405" s="424"/>
      <c r="F1405" s="424"/>
      <c r="G1405" s="424"/>
      <c r="H1405" s="424"/>
      <c r="I1405" s="424"/>
      <c r="J1405" s="424"/>
      <c r="K1405" s="424"/>
      <c r="L1405" s="424"/>
      <c r="M1405" s="424"/>
      <c r="N1405" s="424"/>
      <c r="O1405" s="424"/>
      <c r="P1405" s="424"/>
      <c r="Q1405" s="435" t="n">
        <v>63</v>
      </c>
      <c r="R1405" s="434" t="s">
        <v>601</v>
      </c>
      <c r="S1405" s="424"/>
      <c r="T1405" s="434" t="s">
        <v>602</v>
      </c>
      <c r="U1405" s="434" t="s">
        <v>603</v>
      </c>
      <c r="V1405" s="436" t="n">
        <f aca="false">AY1410</f>
        <v>0</v>
      </c>
    </row>
    <row r="1406" customFormat="false" ht="13.5" hidden="false" customHeight="false" outlineLevel="0" collapsed="false">
      <c r="A1406" s="424"/>
      <c r="B1406" s="424"/>
      <c r="C1406" s="424"/>
      <c r="D1406" s="424"/>
      <c r="E1406" s="424"/>
      <c r="F1406" s="424"/>
      <c r="G1406" s="424"/>
      <c r="H1406" s="424"/>
      <c r="I1406" s="424"/>
      <c r="J1406" s="424"/>
      <c r="K1406" s="424"/>
      <c r="L1406" s="424"/>
      <c r="M1406" s="424"/>
      <c r="N1406" s="424"/>
      <c r="O1406" s="424"/>
      <c r="P1406" s="424"/>
      <c r="Q1406" s="435" t="n">
        <v>64</v>
      </c>
      <c r="R1406" s="434" t="s">
        <v>604</v>
      </c>
      <c r="S1406" s="424"/>
      <c r="T1406" s="434" t="s">
        <v>605</v>
      </c>
      <c r="U1406" s="434" t="s">
        <v>606</v>
      </c>
      <c r="V1406" s="436" t="n">
        <f aca="false">AY1411</f>
        <v>0</v>
      </c>
    </row>
    <row r="1407" customFormat="false" ht="13.5" hidden="false" customHeight="false" outlineLevel="0" collapsed="false">
      <c r="A1407" s="424"/>
      <c r="B1407" s="424"/>
      <c r="C1407" s="424"/>
      <c r="D1407" s="424"/>
      <c r="E1407" s="424"/>
      <c r="F1407" s="424"/>
      <c r="G1407" s="424"/>
      <c r="H1407" s="424"/>
      <c r="I1407" s="424"/>
      <c r="J1407" s="424"/>
      <c r="K1407" s="424"/>
      <c r="L1407" s="424"/>
      <c r="M1407" s="424"/>
      <c r="N1407" s="424"/>
      <c r="O1407" s="424"/>
      <c r="P1407" s="424"/>
      <c r="Q1407" s="435" t="n">
        <v>65</v>
      </c>
      <c r="R1407" s="434" t="s">
        <v>607</v>
      </c>
      <c r="S1407" s="424"/>
      <c r="T1407" s="434" t="s">
        <v>608</v>
      </c>
      <c r="U1407" s="434" t="s">
        <v>609</v>
      </c>
      <c r="V1407" s="436" t="n">
        <f aca="false">AY1412</f>
        <v>0</v>
      </c>
    </row>
    <row r="1408" customFormat="false" ht="13.5" hidden="false" customHeight="false" outlineLevel="0" collapsed="false">
      <c r="A1408" s="424"/>
      <c r="B1408" s="424"/>
      <c r="C1408" s="424"/>
      <c r="D1408" s="424"/>
      <c r="E1408" s="424"/>
      <c r="F1408" s="424"/>
      <c r="G1408" s="424"/>
      <c r="H1408" s="424"/>
      <c r="I1408" s="424"/>
      <c r="J1408" s="424"/>
      <c r="K1408" s="424"/>
      <c r="L1408" s="424"/>
      <c r="M1408" s="424"/>
      <c r="N1408" s="424"/>
      <c r="O1408" s="424"/>
      <c r="P1408" s="424"/>
      <c r="Q1408" s="435" t="n">
        <v>66</v>
      </c>
      <c r="R1408" s="434" t="s">
        <v>610</v>
      </c>
      <c r="S1408" s="424"/>
      <c r="T1408" s="434" t="s">
        <v>611</v>
      </c>
      <c r="U1408" s="434" t="s">
        <v>612</v>
      </c>
      <c r="V1408" s="436" t="n">
        <f aca="false">AY1413</f>
        <v>0</v>
      </c>
    </row>
    <row r="1409" customFormat="false" ht="13.5" hidden="false" customHeight="false" outlineLevel="0" collapsed="false">
      <c r="A1409" s="424"/>
      <c r="B1409" s="424"/>
      <c r="C1409" s="424"/>
      <c r="D1409" s="424"/>
      <c r="E1409" s="424"/>
      <c r="F1409" s="424"/>
      <c r="G1409" s="424"/>
      <c r="H1409" s="424"/>
      <c r="I1409" s="424"/>
      <c r="J1409" s="424"/>
      <c r="K1409" s="424"/>
      <c r="L1409" s="424"/>
      <c r="M1409" s="424"/>
      <c r="N1409" s="424"/>
      <c r="O1409" s="424"/>
      <c r="P1409" s="424"/>
      <c r="Q1409" s="435" t="n">
        <v>67</v>
      </c>
      <c r="R1409" s="434" t="s">
        <v>613</v>
      </c>
      <c r="S1409" s="424"/>
      <c r="T1409" s="434" t="s">
        <v>614</v>
      </c>
      <c r="U1409" s="434" t="s">
        <v>615</v>
      </c>
      <c r="V1409" s="436" t="n">
        <f aca="false">AY1414</f>
        <v>0</v>
      </c>
    </row>
    <row r="1410" customFormat="false" ht="13.5" hidden="false" customHeight="false" outlineLevel="0" collapsed="false">
      <c r="A1410" s="424"/>
      <c r="B1410" s="424"/>
      <c r="C1410" s="424"/>
      <c r="D1410" s="424"/>
      <c r="E1410" s="424"/>
      <c r="F1410" s="424"/>
      <c r="G1410" s="424"/>
      <c r="H1410" s="424"/>
      <c r="I1410" s="424"/>
      <c r="J1410" s="424"/>
      <c r="K1410" s="424"/>
      <c r="L1410" s="424"/>
      <c r="M1410" s="424"/>
      <c r="N1410" s="424"/>
      <c r="O1410" s="424"/>
      <c r="P1410" s="424"/>
      <c r="Q1410" s="435" t="n">
        <v>68</v>
      </c>
      <c r="R1410" s="434" t="s">
        <v>616</v>
      </c>
      <c r="S1410" s="424"/>
      <c r="T1410" s="434" t="s">
        <v>617</v>
      </c>
      <c r="U1410" s="434" t="s">
        <v>618</v>
      </c>
      <c r="V1410" s="436" t="n">
        <f aca="false">AY1415</f>
        <v>0</v>
      </c>
    </row>
    <row r="1411" customFormat="false" ht="13.5" hidden="false" customHeight="false" outlineLevel="0" collapsed="false">
      <c r="A1411" s="424"/>
      <c r="B1411" s="424"/>
      <c r="C1411" s="424"/>
      <c r="D1411" s="424"/>
      <c r="E1411" s="424"/>
      <c r="F1411" s="424"/>
      <c r="G1411" s="424"/>
      <c r="H1411" s="424"/>
      <c r="I1411" s="424"/>
      <c r="J1411" s="424"/>
      <c r="K1411" s="424"/>
      <c r="L1411" s="424"/>
      <c r="M1411" s="424"/>
      <c r="N1411" s="424"/>
      <c r="O1411" s="424"/>
      <c r="P1411" s="424"/>
      <c r="Q1411" s="435" t="n">
        <v>69</v>
      </c>
      <c r="R1411" s="434" t="s">
        <v>619</v>
      </c>
      <c r="S1411" s="424"/>
      <c r="T1411" s="434" t="s">
        <v>620</v>
      </c>
      <c r="U1411" s="434" t="s">
        <v>621</v>
      </c>
      <c r="V1411" s="436" t="n">
        <f aca="false">AY1416</f>
        <v>0</v>
      </c>
    </row>
    <row r="1412" customFormat="false" ht="13.5" hidden="false" customHeight="false" outlineLevel="0" collapsed="false">
      <c r="A1412" s="424"/>
      <c r="B1412" s="424"/>
      <c r="C1412" s="424"/>
      <c r="D1412" s="424"/>
      <c r="E1412" s="424"/>
      <c r="F1412" s="424"/>
      <c r="G1412" s="424"/>
      <c r="H1412" s="424"/>
      <c r="I1412" s="424"/>
      <c r="J1412" s="424"/>
      <c r="K1412" s="424"/>
      <c r="L1412" s="424"/>
      <c r="M1412" s="424"/>
      <c r="N1412" s="424"/>
      <c r="O1412" s="424"/>
      <c r="P1412" s="424"/>
      <c r="Q1412" s="435" t="n">
        <v>70</v>
      </c>
      <c r="R1412" s="434" t="s">
        <v>622</v>
      </c>
      <c r="S1412" s="424"/>
      <c r="T1412" s="434" t="s">
        <v>623</v>
      </c>
      <c r="U1412" s="434" t="s">
        <v>624</v>
      </c>
      <c r="V1412" s="436" t="n">
        <f aca="false">AY1417</f>
        <v>0</v>
      </c>
    </row>
    <row r="1413" customFormat="false" ht="13.5" hidden="false" customHeight="false" outlineLevel="0" collapsed="false">
      <c r="A1413" s="424"/>
      <c r="B1413" s="424"/>
      <c r="C1413" s="424"/>
      <c r="D1413" s="424"/>
      <c r="E1413" s="424"/>
      <c r="F1413" s="424"/>
      <c r="G1413" s="424"/>
      <c r="H1413" s="424"/>
      <c r="I1413" s="424"/>
      <c r="J1413" s="424"/>
      <c r="K1413" s="424"/>
      <c r="L1413" s="424"/>
      <c r="M1413" s="424"/>
      <c r="N1413" s="424"/>
      <c r="O1413" s="424"/>
      <c r="P1413" s="424"/>
      <c r="Q1413" s="435" t="n">
        <v>71</v>
      </c>
      <c r="R1413" s="434" t="s">
        <v>625</v>
      </c>
      <c r="S1413" s="424"/>
      <c r="T1413" s="434" t="s">
        <v>626</v>
      </c>
      <c r="U1413" s="434" t="s">
        <v>627</v>
      </c>
      <c r="V1413" s="436" t="n">
        <f aca="false">AY1418</f>
        <v>0</v>
      </c>
    </row>
    <row r="1414" customFormat="false" ht="13.5" hidden="false" customHeight="false" outlineLevel="0" collapsed="false">
      <c r="A1414" s="424"/>
      <c r="B1414" s="424"/>
      <c r="C1414" s="424"/>
      <c r="D1414" s="424"/>
      <c r="E1414" s="424"/>
      <c r="F1414" s="424"/>
      <c r="G1414" s="424"/>
      <c r="H1414" s="424"/>
      <c r="I1414" s="424"/>
      <c r="J1414" s="424"/>
      <c r="K1414" s="424"/>
      <c r="L1414" s="424"/>
      <c r="M1414" s="424"/>
      <c r="N1414" s="424"/>
      <c r="O1414" s="424"/>
      <c r="P1414" s="424"/>
      <c r="Q1414" s="435" t="n">
        <v>72</v>
      </c>
      <c r="R1414" s="434" t="s">
        <v>628</v>
      </c>
      <c r="S1414" s="424"/>
      <c r="T1414" s="434" t="s">
        <v>629</v>
      </c>
      <c r="U1414" s="434" t="s">
        <v>630</v>
      </c>
      <c r="V1414" s="436" t="n">
        <f aca="false">AY1419</f>
        <v>0</v>
      </c>
    </row>
    <row r="1415" customFormat="false" ht="13.5" hidden="false" customHeight="false" outlineLevel="0" collapsed="false">
      <c r="A1415" s="424"/>
      <c r="B1415" s="424"/>
      <c r="C1415" s="424"/>
      <c r="D1415" s="424"/>
      <c r="E1415" s="424"/>
      <c r="F1415" s="424"/>
      <c r="G1415" s="424"/>
      <c r="H1415" s="424"/>
      <c r="I1415" s="424"/>
      <c r="J1415" s="424"/>
      <c r="K1415" s="424"/>
      <c r="L1415" s="424"/>
      <c r="M1415" s="424"/>
      <c r="N1415" s="424"/>
      <c r="O1415" s="424"/>
      <c r="P1415" s="424"/>
      <c r="Q1415" s="435" t="n">
        <v>73</v>
      </c>
      <c r="R1415" s="434" t="s">
        <v>631</v>
      </c>
      <c r="S1415" s="424"/>
      <c r="T1415" s="434" t="s">
        <v>632</v>
      </c>
      <c r="U1415" s="434" t="s">
        <v>633</v>
      </c>
      <c r="V1415" s="436" t="n">
        <f aca="false">AY1420</f>
        <v>0</v>
      </c>
    </row>
    <row r="1416" customFormat="false" ht="13.5" hidden="false" customHeight="false" outlineLevel="0" collapsed="false">
      <c r="A1416" s="424"/>
      <c r="B1416" s="424"/>
      <c r="C1416" s="424"/>
      <c r="D1416" s="424"/>
      <c r="E1416" s="424"/>
      <c r="F1416" s="424"/>
      <c r="G1416" s="424"/>
      <c r="H1416" s="424"/>
      <c r="I1416" s="424"/>
      <c r="J1416" s="424"/>
      <c r="K1416" s="424"/>
      <c r="L1416" s="424"/>
      <c r="M1416" s="424"/>
      <c r="N1416" s="424"/>
      <c r="O1416" s="424"/>
      <c r="P1416" s="424"/>
      <c r="Q1416" s="435" t="n">
        <v>74</v>
      </c>
      <c r="R1416" s="434" t="s">
        <v>634</v>
      </c>
      <c r="S1416" s="424"/>
      <c r="T1416" s="434" t="s">
        <v>635</v>
      </c>
      <c r="U1416" s="434" t="s">
        <v>636</v>
      </c>
      <c r="V1416" s="436" t="n">
        <f aca="false">AY1421</f>
        <v>0</v>
      </c>
    </row>
    <row r="1417" customFormat="false" ht="13.5" hidden="false" customHeight="false" outlineLevel="0" collapsed="false">
      <c r="A1417" s="424"/>
      <c r="B1417" s="424"/>
      <c r="C1417" s="424"/>
      <c r="D1417" s="424"/>
      <c r="E1417" s="424"/>
      <c r="F1417" s="424"/>
      <c r="G1417" s="424"/>
      <c r="H1417" s="424"/>
      <c r="I1417" s="424"/>
      <c r="J1417" s="424"/>
      <c r="K1417" s="424"/>
      <c r="L1417" s="424"/>
      <c r="M1417" s="424"/>
      <c r="N1417" s="424"/>
      <c r="O1417" s="424"/>
      <c r="P1417" s="424"/>
      <c r="Q1417" s="435" t="n">
        <v>75</v>
      </c>
      <c r="R1417" s="434" t="s">
        <v>637</v>
      </c>
      <c r="S1417" s="424"/>
      <c r="T1417" s="434" t="s">
        <v>638</v>
      </c>
      <c r="U1417" s="434" t="s">
        <v>639</v>
      </c>
      <c r="V1417" s="436" t="n">
        <f aca="false">AY1422</f>
        <v>0</v>
      </c>
    </row>
    <row r="1418" customFormat="false" ht="13.5" hidden="false" customHeight="false" outlineLevel="0" collapsed="false">
      <c r="A1418" s="424"/>
      <c r="B1418" s="424"/>
      <c r="C1418" s="424"/>
      <c r="D1418" s="424"/>
      <c r="E1418" s="424"/>
      <c r="F1418" s="424"/>
      <c r="G1418" s="424"/>
      <c r="H1418" s="424"/>
      <c r="I1418" s="424"/>
      <c r="J1418" s="424"/>
      <c r="K1418" s="424"/>
      <c r="L1418" s="424"/>
      <c r="M1418" s="424"/>
      <c r="N1418" s="424"/>
      <c r="O1418" s="424"/>
      <c r="P1418" s="424"/>
      <c r="Q1418" s="435" t="n">
        <v>76</v>
      </c>
      <c r="R1418" s="434" t="s">
        <v>640</v>
      </c>
      <c r="S1418" s="424"/>
      <c r="T1418" s="434" t="s">
        <v>641</v>
      </c>
      <c r="U1418" s="434" t="s">
        <v>642</v>
      </c>
      <c r="V1418" s="436" t="n">
        <f aca="false">AY1423</f>
        <v>0</v>
      </c>
    </row>
    <row r="1419" customFormat="false" ht="13.5" hidden="false" customHeight="false" outlineLevel="0" collapsed="false">
      <c r="A1419" s="424"/>
      <c r="B1419" s="424"/>
      <c r="C1419" s="424"/>
      <c r="D1419" s="424"/>
      <c r="E1419" s="424"/>
      <c r="F1419" s="424"/>
      <c r="G1419" s="424"/>
      <c r="H1419" s="424"/>
      <c r="I1419" s="424"/>
      <c r="J1419" s="424"/>
      <c r="K1419" s="424"/>
      <c r="L1419" s="424"/>
      <c r="M1419" s="424"/>
      <c r="N1419" s="424"/>
      <c r="O1419" s="424"/>
      <c r="P1419" s="424"/>
      <c r="Q1419" s="435" t="n">
        <v>77</v>
      </c>
      <c r="R1419" s="434" t="s">
        <v>643</v>
      </c>
      <c r="S1419" s="424"/>
      <c r="T1419" s="434" t="s">
        <v>644</v>
      </c>
      <c r="U1419" s="434" t="s">
        <v>645</v>
      </c>
      <c r="V1419" s="436" t="n">
        <f aca="false">AY1424</f>
        <v>0</v>
      </c>
    </row>
    <row r="1420" customFormat="false" ht="13.5" hidden="false" customHeight="false" outlineLevel="0" collapsed="false">
      <c r="A1420" s="424"/>
      <c r="B1420" s="424"/>
      <c r="C1420" s="424"/>
      <c r="D1420" s="424"/>
      <c r="E1420" s="424"/>
      <c r="F1420" s="424"/>
      <c r="G1420" s="424"/>
      <c r="H1420" s="424"/>
      <c r="I1420" s="424"/>
      <c r="J1420" s="424"/>
      <c r="K1420" s="424"/>
      <c r="L1420" s="424"/>
      <c r="M1420" s="424"/>
      <c r="N1420" s="424"/>
      <c r="O1420" s="424"/>
      <c r="P1420" s="424"/>
      <c r="Q1420" s="435" t="n">
        <v>78</v>
      </c>
      <c r="R1420" s="434" t="s">
        <v>646</v>
      </c>
      <c r="S1420" s="424"/>
      <c r="T1420" s="434" t="s">
        <v>647</v>
      </c>
      <c r="U1420" s="434" t="s">
        <v>648</v>
      </c>
      <c r="V1420" s="436" t="n">
        <f aca="false">AY1425</f>
        <v>0</v>
      </c>
    </row>
    <row r="1421" customFormat="false" ht="13.5" hidden="false" customHeight="false" outlineLevel="0" collapsed="false">
      <c r="A1421" s="424"/>
      <c r="B1421" s="424"/>
      <c r="C1421" s="424"/>
      <c r="D1421" s="424"/>
      <c r="E1421" s="424"/>
      <c r="F1421" s="424"/>
      <c r="G1421" s="424"/>
      <c r="H1421" s="424"/>
      <c r="I1421" s="424"/>
      <c r="J1421" s="424"/>
      <c r="K1421" s="424"/>
      <c r="L1421" s="424"/>
      <c r="M1421" s="424"/>
      <c r="N1421" s="424"/>
      <c r="O1421" s="424"/>
      <c r="P1421" s="424"/>
      <c r="Q1421" s="435" t="n">
        <v>79</v>
      </c>
      <c r="R1421" s="434" t="s">
        <v>649</v>
      </c>
      <c r="S1421" s="424"/>
      <c r="T1421" s="434" t="s">
        <v>650</v>
      </c>
      <c r="U1421" s="434" t="s">
        <v>651</v>
      </c>
      <c r="V1421" s="436" t="n">
        <f aca="false">AY1426</f>
        <v>0</v>
      </c>
    </row>
    <row r="1422" customFormat="false" ht="13.5" hidden="false" customHeight="false" outlineLevel="0" collapsed="false">
      <c r="A1422" s="424"/>
      <c r="B1422" s="424"/>
      <c r="C1422" s="424"/>
      <c r="D1422" s="424"/>
      <c r="E1422" s="424"/>
      <c r="F1422" s="424"/>
      <c r="G1422" s="424"/>
      <c r="H1422" s="424"/>
      <c r="I1422" s="424"/>
      <c r="J1422" s="424"/>
      <c r="K1422" s="424"/>
      <c r="L1422" s="424"/>
      <c r="M1422" s="424"/>
      <c r="N1422" s="424"/>
      <c r="O1422" s="424"/>
      <c r="P1422" s="424"/>
      <c r="Q1422" s="435" t="n">
        <v>80</v>
      </c>
      <c r="R1422" s="434" t="s">
        <v>652</v>
      </c>
      <c r="S1422" s="424"/>
      <c r="T1422" s="434" t="s">
        <v>653</v>
      </c>
      <c r="U1422" s="434" t="s">
        <v>654</v>
      </c>
      <c r="V1422" s="436" t="n">
        <f aca="false">AY1427</f>
        <v>0</v>
      </c>
    </row>
    <row r="1423" customFormat="false" ht="13.5" hidden="false" customHeight="false" outlineLevel="0" collapsed="false">
      <c r="A1423" s="424"/>
      <c r="B1423" s="424"/>
      <c r="C1423" s="424"/>
      <c r="D1423" s="424"/>
      <c r="E1423" s="424"/>
      <c r="F1423" s="424"/>
      <c r="G1423" s="424"/>
      <c r="H1423" s="424"/>
      <c r="I1423" s="424"/>
      <c r="J1423" s="424"/>
      <c r="K1423" s="424"/>
      <c r="L1423" s="424"/>
      <c r="M1423" s="424"/>
      <c r="N1423" s="424"/>
      <c r="O1423" s="424"/>
      <c r="P1423" s="424"/>
      <c r="Q1423" s="435" t="n">
        <v>81</v>
      </c>
      <c r="R1423" s="434" t="s">
        <v>655</v>
      </c>
      <c r="S1423" s="424"/>
      <c r="T1423" s="434" t="s">
        <v>656</v>
      </c>
      <c r="U1423" s="434" t="s">
        <v>657</v>
      </c>
      <c r="V1423" s="436" t="n">
        <f aca="false">AY1428</f>
        <v>0</v>
      </c>
    </row>
    <row r="1424" customFormat="false" ht="13.5" hidden="false" customHeight="false" outlineLevel="0" collapsed="false">
      <c r="A1424" s="424"/>
      <c r="B1424" s="424"/>
      <c r="C1424" s="424"/>
      <c r="D1424" s="424"/>
      <c r="E1424" s="424"/>
      <c r="F1424" s="424"/>
      <c r="G1424" s="424"/>
      <c r="H1424" s="424"/>
      <c r="I1424" s="424"/>
      <c r="J1424" s="424"/>
      <c r="K1424" s="424"/>
      <c r="L1424" s="424"/>
      <c r="M1424" s="424"/>
      <c r="N1424" s="424"/>
      <c r="O1424" s="424"/>
      <c r="P1424" s="424"/>
      <c r="Q1424" s="435" t="n">
        <v>82</v>
      </c>
      <c r="R1424" s="434" t="s">
        <v>658</v>
      </c>
      <c r="S1424" s="424"/>
      <c r="T1424" s="434" t="s">
        <v>659</v>
      </c>
      <c r="U1424" s="434" t="s">
        <v>660</v>
      </c>
      <c r="V1424" s="436" t="n">
        <f aca="false">AY1429</f>
        <v>0</v>
      </c>
    </row>
    <row r="1425" customFormat="false" ht="13.5" hidden="false" customHeight="false" outlineLevel="0" collapsed="false">
      <c r="A1425" s="424"/>
      <c r="B1425" s="424"/>
      <c r="C1425" s="424"/>
      <c r="D1425" s="424"/>
      <c r="E1425" s="424"/>
      <c r="F1425" s="424"/>
      <c r="G1425" s="424"/>
      <c r="H1425" s="424"/>
      <c r="I1425" s="424"/>
      <c r="J1425" s="424"/>
      <c r="K1425" s="424"/>
      <c r="L1425" s="424"/>
      <c r="M1425" s="424"/>
      <c r="N1425" s="424"/>
      <c r="O1425" s="424"/>
      <c r="P1425" s="424"/>
      <c r="Q1425" s="435" t="n">
        <v>83</v>
      </c>
      <c r="R1425" s="434" t="s">
        <v>661</v>
      </c>
      <c r="S1425" s="424"/>
      <c r="T1425" s="434" t="s">
        <v>662</v>
      </c>
      <c r="U1425" s="434" t="s">
        <v>663</v>
      </c>
      <c r="V1425" s="436" t="n">
        <f aca="false">AY1430</f>
        <v>0</v>
      </c>
    </row>
    <row r="1426" customFormat="false" ht="13.5" hidden="false" customHeight="false" outlineLevel="0" collapsed="false">
      <c r="A1426" s="424"/>
      <c r="B1426" s="424"/>
      <c r="C1426" s="424"/>
      <c r="D1426" s="424"/>
      <c r="E1426" s="424"/>
      <c r="F1426" s="424"/>
      <c r="G1426" s="424"/>
      <c r="H1426" s="424"/>
      <c r="I1426" s="424"/>
      <c r="J1426" s="424"/>
      <c r="K1426" s="424"/>
      <c r="L1426" s="424"/>
      <c r="M1426" s="424"/>
      <c r="N1426" s="424"/>
      <c r="O1426" s="424"/>
      <c r="P1426" s="424"/>
      <c r="Q1426" s="435" t="n">
        <v>84</v>
      </c>
      <c r="R1426" s="434" t="s">
        <v>664</v>
      </c>
      <c r="S1426" s="424"/>
      <c r="T1426" s="434" t="s">
        <v>665</v>
      </c>
      <c r="U1426" s="434" t="s">
        <v>666</v>
      </c>
      <c r="V1426" s="436" t="n">
        <f aca="false">AY1431</f>
        <v>0</v>
      </c>
    </row>
    <row r="1427" customFormat="false" ht="13.5" hidden="false" customHeight="false" outlineLevel="0" collapsed="false">
      <c r="A1427" s="424"/>
      <c r="B1427" s="424"/>
      <c r="C1427" s="424"/>
      <c r="D1427" s="424"/>
      <c r="E1427" s="424"/>
      <c r="F1427" s="424"/>
      <c r="G1427" s="424"/>
      <c r="H1427" s="424"/>
      <c r="I1427" s="424"/>
      <c r="J1427" s="424"/>
      <c r="K1427" s="424"/>
      <c r="L1427" s="424"/>
      <c r="M1427" s="424"/>
      <c r="N1427" s="424"/>
      <c r="O1427" s="424"/>
      <c r="P1427" s="424"/>
      <c r="Q1427" s="435" t="n">
        <v>85</v>
      </c>
      <c r="R1427" s="434" t="s">
        <v>667</v>
      </c>
      <c r="S1427" s="424"/>
      <c r="T1427" s="434" t="s">
        <v>668</v>
      </c>
      <c r="U1427" s="434" t="s">
        <v>669</v>
      </c>
      <c r="V1427" s="436" t="n">
        <f aca="false">AY1432</f>
        <v>0</v>
      </c>
    </row>
    <row r="1428" customFormat="false" ht="13.5" hidden="false" customHeight="false" outlineLevel="0" collapsed="false">
      <c r="A1428" s="424"/>
      <c r="B1428" s="424"/>
      <c r="C1428" s="424"/>
      <c r="D1428" s="424"/>
      <c r="E1428" s="424"/>
      <c r="F1428" s="424"/>
      <c r="G1428" s="424"/>
      <c r="H1428" s="424"/>
      <c r="I1428" s="424"/>
      <c r="J1428" s="424"/>
      <c r="K1428" s="424"/>
      <c r="L1428" s="424"/>
      <c r="M1428" s="424"/>
      <c r="N1428" s="424"/>
      <c r="O1428" s="424"/>
      <c r="P1428" s="424"/>
      <c r="Q1428" s="435" t="n">
        <v>86</v>
      </c>
      <c r="R1428" s="434" t="s">
        <v>670</v>
      </c>
      <c r="S1428" s="424"/>
      <c r="T1428" s="434" t="s">
        <v>671</v>
      </c>
      <c r="U1428" s="434" t="s">
        <v>672</v>
      </c>
      <c r="V1428" s="436" t="n">
        <f aca="false">AY1433</f>
        <v>0</v>
      </c>
    </row>
    <row r="1429" customFormat="false" ht="13.5" hidden="false" customHeight="false" outlineLevel="0" collapsed="false">
      <c r="A1429" s="424"/>
      <c r="B1429" s="424"/>
      <c r="C1429" s="424"/>
      <c r="D1429" s="424"/>
      <c r="E1429" s="424"/>
      <c r="F1429" s="424"/>
      <c r="G1429" s="424"/>
      <c r="H1429" s="424"/>
      <c r="I1429" s="424"/>
      <c r="J1429" s="424"/>
      <c r="K1429" s="424"/>
      <c r="L1429" s="424"/>
      <c r="M1429" s="424"/>
      <c r="N1429" s="424"/>
      <c r="O1429" s="424"/>
      <c r="P1429" s="424"/>
      <c r="Q1429" s="435" t="n">
        <v>87</v>
      </c>
      <c r="R1429" s="434" t="s">
        <v>673</v>
      </c>
      <c r="S1429" s="424"/>
      <c r="T1429" s="434" t="s">
        <v>674</v>
      </c>
      <c r="U1429" s="434" t="s">
        <v>675</v>
      </c>
      <c r="V1429" s="436" t="n">
        <f aca="false">AY1434</f>
        <v>0</v>
      </c>
    </row>
    <row r="1430" customFormat="false" ht="13.5" hidden="false" customHeight="false" outlineLevel="0" collapsed="false">
      <c r="A1430" s="424"/>
      <c r="B1430" s="424"/>
      <c r="C1430" s="424"/>
      <c r="D1430" s="424"/>
      <c r="E1430" s="424"/>
      <c r="F1430" s="424"/>
      <c r="G1430" s="424"/>
      <c r="H1430" s="424"/>
      <c r="I1430" s="424"/>
      <c r="J1430" s="424"/>
      <c r="K1430" s="424"/>
      <c r="L1430" s="424"/>
      <c r="M1430" s="424"/>
      <c r="N1430" s="424"/>
      <c r="O1430" s="424"/>
      <c r="P1430" s="424"/>
      <c r="Q1430" s="435" t="n">
        <v>88</v>
      </c>
      <c r="R1430" s="434" t="s">
        <v>676</v>
      </c>
      <c r="S1430" s="424"/>
      <c r="T1430" s="434" t="s">
        <v>677</v>
      </c>
      <c r="U1430" s="434" t="s">
        <v>678</v>
      </c>
      <c r="V1430" s="436" t="n">
        <f aca="false">AY1435</f>
        <v>0</v>
      </c>
    </row>
    <row r="1431" customFormat="false" ht="13.5" hidden="false" customHeight="false" outlineLevel="0" collapsed="false">
      <c r="A1431" s="424"/>
      <c r="B1431" s="424"/>
      <c r="C1431" s="424"/>
      <c r="D1431" s="424"/>
      <c r="E1431" s="424"/>
      <c r="F1431" s="424"/>
      <c r="G1431" s="424"/>
      <c r="H1431" s="424"/>
      <c r="I1431" s="424"/>
      <c r="J1431" s="424"/>
      <c r="K1431" s="424"/>
      <c r="L1431" s="424"/>
      <c r="M1431" s="424"/>
      <c r="N1431" s="424"/>
      <c r="O1431" s="424"/>
      <c r="P1431" s="424"/>
      <c r="Q1431" s="435" t="n">
        <v>89</v>
      </c>
      <c r="R1431" s="434" t="s">
        <v>679</v>
      </c>
      <c r="S1431" s="424"/>
      <c r="T1431" s="434" t="s">
        <v>680</v>
      </c>
      <c r="U1431" s="434" t="s">
        <v>681</v>
      </c>
      <c r="V1431" s="436" t="n">
        <f aca="false">AY1436</f>
        <v>0</v>
      </c>
    </row>
    <row r="1432" customFormat="false" ht="13.5" hidden="false" customHeight="false" outlineLevel="0" collapsed="false">
      <c r="A1432" s="424"/>
      <c r="B1432" s="424"/>
      <c r="C1432" s="424"/>
      <c r="D1432" s="424"/>
      <c r="E1432" s="424"/>
      <c r="F1432" s="424"/>
      <c r="G1432" s="424"/>
      <c r="H1432" s="424"/>
      <c r="I1432" s="424"/>
      <c r="J1432" s="424"/>
      <c r="K1432" s="424"/>
      <c r="L1432" s="424"/>
      <c r="M1432" s="424"/>
      <c r="N1432" s="424"/>
      <c r="O1432" s="424"/>
      <c r="P1432" s="424"/>
      <c r="Q1432" s="435" t="n">
        <v>90</v>
      </c>
      <c r="R1432" s="434" t="s">
        <v>682</v>
      </c>
      <c r="S1432" s="424"/>
      <c r="T1432" s="434" t="s">
        <v>683</v>
      </c>
      <c r="U1432" s="434" t="s">
        <v>684</v>
      </c>
      <c r="V1432" s="436" t="n">
        <f aca="false">AY1437</f>
        <v>0</v>
      </c>
    </row>
    <row r="1433" customFormat="false" ht="13.5" hidden="false" customHeight="false" outlineLevel="0" collapsed="false">
      <c r="A1433" s="424"/>
      <c r="B1433" s="424"/>
      <c r="C1433" s="424"/>
      <c r="D1433" s="424"/>
      <c r="E1433" s="424"/>
      <c r="F1433" s="424"/>
      <c r="G1433" s="424"/>
      <c r="H1433" s="424"/>
      <c r="I1433" s="424"/>
      <c r="J1433" s="424"/>
      <c r="K1433" s="424"/>
      <c r="L1433" s="424"/>
      <c r="M1433" s="424"/>
      <c r="N1433" s="424"/>
      <c r="O1433" s="424"/>
      <c r="P1433" s="424"/>
      <c r="Q1433" s="435" t="n">
        <v>91</v>
      </c>
      <c r="R1433" s="434" t="s">
        <v>685</v>
      </c>
      <c r="S1433" s="424"/>
      <c r="T1433" s="434" t="s">
        <v>686</v>
      </c>
      <c r="U1433" s="434" t="s">
        <v>687</v>
      </c>
      <c r="V1433" s="436" t="n">
        <f aca="false">AY1438</f>
        <v>0</v>
      </c>
    </row>
    <row r="1434" customFormat="false" ht="13.5" hidden="false" customHeight="false" outlineLevel="0" collapsed="false">
      <c r="A1434" s="424"/>
      <c r="B1434" s="424"/>
      <c r="C1434" s="424"/>
      <c r="D1434" s="424"/>
      <c r="E1434" s="424"/>
      <c r="F1434" s="424"/>
      <c r="G1434" s="424"/>
      <c r="H1434" s="424"/>
      <c r="I1434" s="424"/>
      <c r="J1434" s="424"/>
      <c r="K1434" s="424"/>
      <c r="L1434" s="424"/>
      <c r="M1434" s="424"/>
      <c r="N1434" s="424"/>
      <c r="O1434" s="424"/>
      <c r="P1434" s="424"/>
      <c r="Q1434" s="435" t="n">
        <v>92</v>
      </c>
      <c r="R1434" s="434" t="s">
        <v>688</v>
      </c>
      <c r="S1434" s="424"/>
      <c r="T1434" s="434" t="s">
        <v>689</v>
      </c>
      <c r="U1434" s="434" t="s">
        <v>690</v>
      </c>
      <c r="V1434" s="436" t="n">
        <f aca="false">AY1439</f>
        <v>0</v>
      </c>
    </row>
    <row r="1435" customFormat="false" ht="13.5" hidden="false" customHeight="false" outlineLevel="0" collapsed="false">
      <c r="A1435" s="424"/>
      <c r="B1435" s="424"/>
      <c r="C1435" s="424"/>
      <c r="D1435" s="424"/>
      <c r="E1435" s="424"/>
      <c r="F1435" s="424"/>
      <c r="G1435" s="424"/>
      <c r="H1435" s="424"/>
      <c r="I1435" s="424"/>
      <c r="J1435" s="424"/>
      <c r="K1435" s="424"/>
      <c r="L1435" s="424"/>
      <c r="M1435" s="424"/>
      <c r="N1435" s="424"/>
      <c r="O1435" s="424"/>
      <c r="P1435" s="424"/>
      <c r="Q1435" s="435" t="n">
        <v>93</v>
      </c>
      <c r="R1435" s="434" t="s">
        <v>691</v>
      </c>
      <c r="S1435" s="424"/>
      <c r="T1435" s="434" t="s">
        <v>692</v>
      </c>
      <c r="U1435" s="434" t="s">
        <v>693</v>
      </c>
      <c r="V1435" s="436" t="n">
        <f aca="false">AY1440</f>
        <v>0</v>
      </c>
    </row>
    <row r="1436" customFormat="false" ht="13.5" hidden="false" customHeight="false" outlineLevel="0" collapsed="false">
      <c r="A1436" s="424"/>
      <c r="B1436" s="424"/>
      <c r="C1436" s="424"/>
      <c r="D1436" s="424"/>
      <c r="E1436" s="424"/>
      <c r="F1436" s="424"/>
      <c r="G1436" s="424"/>
      <c r="H1436" s="424"/>
      <c r="I1436" s="424"/>
      <c r="J1436" s="424"/>
      <c r="K1436" s="424"/>
      <c r="L1436" s="424"/>
      <c r="M1436" s="424"/>
      <c r="N1436" s="424"/>
      <c r="O1436" s="424"/>
      <c r="P1436" s="424"/>
      <c r="Q1436" s="435" t="n">
        <v>94</v>
      </c>
      <c r="R1436" s="434" t="s">
        <v>694</v>
      </c>
      <c r="S1436" s="424"/>
      <c r="T1436" s="434" t="s">
        <v>695</v>
      </c>
      <c r="U1436" s="434" t="s">
        <v>696</v>
      </c>
      <c r="V1436" s="436" t="n">
        <f aca="false">AY1441</f>
        <v>0</v>
      </c>
    </row>
    <row r="1437" customFormat="false" ht="13.5" hidden="false" customHeight="false" outlineLevel="0" collapsed="false">
      <c r="A1437" s="424"/>
      <c r="B1437" s="424"/>
      <c r="C1437" s="424"/>
      <c r="D1437" s="424"/>
      <c r="E1437" s="424"/>
      <c r="F1437" s="424"/>
      <c r="G1437" s="424"/>
      <c r="H1437" s="424"/>
      <c r="I1437" s="424"/>
      <c r="J1437" s="424"/>
      <c r="K1437" s="424"/>
      <c r="L1437" s="424"/>
      <c r="M1437" s="424"/>
      <c r="N1437" s="424"/>
      <c r="O1437" s="424"/>
      <c r="P1437" s="424"/>
      <c r="Q1437" s="435" t="n">
        <v>95</v>
      </c>
      <c r="R1437" s="434" t="s">
        <v>697</v>
      </c>
      <c r="S1437" s="424"/>
      <c r="T1437" s="434" t="s">
        <v>698</v>
      </c>
      <c r="U1437" s="434" t="s">
        <v>699</v>
      </c>
      <c r="V1437" s="436" t="n">
        <f aca="false">AY1442</f>
        <v>0</v>
      </c>
    </row>
    <row r="1438" customFormat="false" ht="13.5" hidden="false" customHeight="false" outlineLevel="0" collapsed="false">
      <c r="A1438" s="424"/>
      <c r="B1438" s="424"/>
      <c r="C1438" s="424"/>
      <c r="D1438" s="424"/>
      <c r="E1438" s="424"/>
      <c r="F1438" s="424"/>
      <c r="G1438" s="424"/>
      <c r="H1438" s="424"/>
      <c r="I1438" s="424"/>
      <c r="J1438" s="424"/>
      <c r="K1438" s="424"/>
      <c r="L1438" s="424"/>
      <c r="M1438" s="424"/>
      <c r="N1438" s="424"/>
      <c r="O1438" s="424"/>
      <c r="P1438" s="424"/>
      <c r="Q1438" s="435" t="n">
        <v>96</v>
      </c>
      <c r="R1438" s="434" t="s">
        <v>700</v>
      </c>
      <c r="S1438" s="424"/>
      <c r="T1438" s="434" t="s">
        <v>701</v>
      </c>
      <c r="U1438" s="434" t="s">
        <v>702</v>
      </c>
      <c r="V1438" s="436" t="n">
        <f aca="false">AY1443</f>
        <v>0</v>
      </c>
    </row>
    <row r="1439" customFormat="false" ht="13.5" hidden="false" customHeight="false" outlineLevel="0" collapsed="false">
      <c r="A1439" s="424"/>
      <c r="B1439" s="424"/>
      <c r="C1439" s="424"/>
      <c r="D1439" s="424"/>
      <c r="E1439" s="424"/>
      <c r="F1439" s="424"/>
      <c r="G1439" s="424"/>
      <c r="H1439" s="424"/>
      <c r="I1439" s="424"/>
      <c r="J1439" s="424"/>
      <c r="K1439" s="424"/>
      <c r="L1439" s="424"/>
      <c r="M1439" s="424"/>
      <c r="N1439" s="424"/>
      <c r="O1439" s="424"/>
      <c r="P1439" s="424"/>
      <c r="Q1439" s="435" t="n">
        <v>97</v>
      </c>
      <c r="R1439" s="434" t="s">
        <v>703</v>
      </c>
      <c r="S1439" s="424"/>
      <c r="T1439" s="434" t="s">
        <v>704</v>
      </c>
      <c r="U1439" s="434" t="s">
        <v>705</v>
      </c>
      <c r="V1439" s="436" t="n">
        <f aca="false">AY1444</f>
        <v>0</v>
      </c>
    </row>
    <row r="1440" customFormat="false" ht="13.5" hidden="false" customHeight="false" outlineLevel="0" collapsed="false">
      <c r="A1440" s="424"/>
      <c r="B1440" s="424"/>
      <c r="C1440" s="424"/>
      <c r="D1440" s="424"/>
      <c r="E1440" s="424"/>
      <c r="F1440" s="424"/>
      <c r="G1440" s="424"/>
      <c r="H1440" s="424"/>
      <c r="I1440" s="424"/>
      <c r="J1440" s="424"/>
      <c r="K1440" s="424"/>
      <c r="L1440" s="424"/>
      <c r="M1440" s="424"/>
      <c r="N1440" s="424"/>
      <c r="O1440" s="424"/>
      <c r="P1440" s="424"/>
      <c r="Q1440" s="435" t="n">
        <v>98</v>
      </c>
      <c r="R1440" s="434" t="s">
        <v>706</v>
      </c>
      <c r="S1440" s="424"/>
      <c r="T1440" s="434" t="s">
        <v>707</v>
      </c>
      <c r="U1440" s="434" t="s">
        <v>708</v>
      </c>
      <c r="V1440" s="436" t="n">
        <f aca="false">AY1445</f>
        <v>0</v>
      </c>
    </row>
    <row r="1441" customFormat="false" ht="13.5" hidden="false" customHeight="false" outlineLevel="0" collapsed="false">
      <c r="A1441" s="424"/>
      <c r="B1441" s="424"/>
      <c r="C1441" s="424"/>
      <c r="D1441" s="424"/>
      <c r="E1441" s="424"/>
      <c r="F1441" s="424"/>
      <c r="G1441" s="424"/>
      <c r="H1441" s="424"/>
      <c r="I1441" s="424"/>
      <c r="J1441" s="424"/>
      <c r="K1441" s="424"/>
      <c r="L1441" s="424"/>
      <c r="M1441" s="424"/>
      <c r="N1441" s="424"/>
      <c r="O1441" s="424"/>
      <c r="P1441" s="424"/>
      <c r="Q1441" s="435" t="n">
        <v>99</v>
      </c>
      <c r="R1441" s="434" t="s">
        <v>709</v>
      </c>
      <c r="S1441" s="424"/>
      <c r="T1441" s="434" t="s">
        <v>710</v>
      </c>
      <c r="U1441" s="434" t="s">
        <v>711</v>
      </c>
      <c r="V1441" s="436" t="n">
        <f aca="false">AY1446</f>
        <v>0</v>
      </c>
    </row>
    <row r="1442" customFormat="false" ht="13.5" hidden="false" customHeight="false" outlineLevel="0" collapsed="false">
      <c r="A1442" s="424"/>
      <c r="B1442" s="424"/>
      <c r="C1442" s="424"/>
      <c r="D1442" s="424"/>
      <c r="E1442" s="424"/>
      <c r="F1442" s="424"/>
      <c r="G1442" s="424"/>
      <c r="H1442" s="424"/>
      <c r="I1442" s="424"/>
      <c r="J1442" s="424"/>
      <c r="K1442" s="424"/>
      <c r="L1442" s="424"/>
      <c r="M1442" s="424"/>
      <c r="N1442" s="424"/>
      <c r="O1442" s="424"/>
      <c r="P1442" s="424"/>
      <c r="Q1442" s="424"/>
      <c r="R1442" s="424"/>
      <c r="S1442" s="424"/>
      <c r="T1442" s="424"/>
      <c r="U1442" s="424"/>
      <c r="V1442" s="436" t="n">
        <f aca="false">AY1447</f>
        <v>0</v>
      </c>
    </row>
    <row r="1443" customFormat="false" ht="13.5" hidden="false" customHeight="false" outlineLevel="0" collapsed="false">
      <c r="A1443" s="424"/>
      <c r="B1443" s="424"/>
      <c r="C1443" s="424"/>
      <c r="D1443" s="424"/>
      <c r="E1443" s="424"/>
      <c r="F1443" s="424"/>
      <c r="G1443" s="424"/>
      <c r="H1443" s="424"/>
      <c r="I1443" s="424"/>
      <c r="J1443" s="424"/>
      <c r="K1443" s="424"/>
      <c r="L1443" s="424"/>
      <c r="M1443" s="424"/>
      <c r="N1443" s="424"/>
      <c r="O1443" s="424"/>
      <c r="P1443" s="424"/>
      <c r="Q1443" s="424"/>
      <c r="R1443" s="424"/>
      <c r="S1443" s="424"/>
      <c r="T1443" s="424"/>
      <c r="U1443" s="424"/>
      <c r="V1443" s="436" t="n">
        <f aca="false">AY1448</f>
        <v>0</v>
      </c>
    </row>
    <row r="1444" customFormat="false" ht="13.5" hidden="false" customHeight="false" outlineLevel="0" collapsed="false">
      <c r="A1444" s="424"/>
      <c r="B1444" s="424"/>
      <c r="C1444" s="424"/>
      <c r="D1444" s="424"/>
      <c r="E1444" s="424"/>
      <c r="F1444" s="424"/>
      <c r="G1444" s="424"/>
      <c r="H1444" s="424"/>
      <c r="I1444" s="424"/>
      <c r="J1444" s="424"/>
      <c r="K1444" s="424"/>
      <c r="L1444" s="424"/>
      <c r="M1444" s="424"/>
      <c r="N1444" s="424"/>
      <c r="O1444" s="424"/>
      <c r="P1444" s="424"/>
      <c r="Q1444" s="424"/>
      <c r="R1444" s="424"/>
      <c r="S1444" s="424"/>
      <c r="T1444" s="424"/>
      <c r="U1444" s="424"/>
      <c r="V1444" s="436" t="n">
        <f aca="false">AY1449</f>
        <v>0</v>
      </c>
    </row>
    <row r="1445" customFormat="false" ht="13.5" hidden="false" customHeight="false" outlineLevel="0" collapsed="false">
      <c r="A1445" s="424"/>
      <c r="B1445" s="424"/>
      <c r="C1445" s="424"/>
      <c r="D1445" s="424"/>
      <c r="E1445" s="424"/>
      <c r="F1445" s="424"/>
      <c r="G1445" s="424"/>
      <c r="H1445" s="424"/>
      <c r="I1445" s="424"/>
      <c r="J1445" s="424"/>
      <c r="K1445" s="424"/>
      <c r="L1445" s="424"/>
      <c r="M1445" s="424"/>
      <c r="N1445" s="424"/>
      <c r="O1445" s="424"/>
      <c r="P1445" s="424"/>
      <c r="Q1445" s="424"/>
      <c r="R1445" s="424"/>
      <c r="S1445" s="424"/>
      <c r="T1445" s="424"/>
      <c r="U1445" s="424"/>
      <c r="V1445" s="436" t="n">
        <f aca="false">AY1450</f>
        <v>0</v>
      </c>
    </row>
    <row r="1446" customFormat="false" ht="13.5" hidden="false" customHeight="false" outlineLevel="0" collapsed="false">
      <c r="A1446" s="424"/>
      <c r="B1446" s="424"/>
      <c r="C1446" s="424"/>
      <c r="D1446" s="424"/>
      <c r="E1446" s="424"/>
      <c r="F1446" s="424"/>
      <c r="G1446" s="424"/>
      <c r="H1446" s="424"/>
      <c r="I1446" s="424"/>
      <c r="J1446" s="424"/>
      <c r="K1446" s="424"/>
      <c r="L1446" s="424"/>
      <c r="M1446" s="424"/>
      <c r="N1446" s="424"/>
      <c r="O1446" s="424"/>
      <c r="P1446" s="424"/>
      <c r="Q1446" s="424"/>
      <c r="R1446" s="424"/>
      <c r="S1446" s="424"/>
      <c r="T1446" s="424"/>
      <c r="U1446" s="424"/>
      <c r="V1446" s="436" t="n">
        <f aca="false">AY1451</f>
        <v>0</v>
      </c>
    </row>
    <row r="1447" customFormat="false" ht="13.5" hidden="false" customHeight="false" outlineLevel="0" collapsed="false">
      <c r="A1447" s="424"/>
      <c r="B1447" s="424"/>
      <c r="C1447" s="424"/>
      <c r="D1447" s="424"/>
      <c r="E1447" s="424"/>
      <c r="F1447" s="424"/>
      <c r="G1447" s="424"/>
      <c r="H1447" s="424"/>
      <c r="I1447" s="424"/>
      <c r="J1447" s="424"/>
      <c r="K1447" s="424"/>
      <c r="L1447" s="424"/>
      <c r="M1447" s="424"/>
      <c r="N1447" s="424"/>
      <c r="O1447" s="424"/>
      <c r="P1447" s="424"/>
      <c r="Q1447" s="424"/>
      <c r="R1447" s="424"/>
      <c r="S1447" s="424"/>
      <c r="T1447" s="424"/>
      <c r="U1447" s="424"/>
      <c r="V1447" s="436" t="n">
        <f aca="false">AY1452</f>
        <v>0</v>
      </c>
    </row>
    <row r="1448" customFormat="false" ht="13.5" hidden="false" customHeight="false" outlineLevel="0" collapsed="false">
      <c r="A1448" s="424"/>
      <c r="B1448" s="424"/>
      <c r="C1448" s="424"/>
      <c r="D1448" s="424"/>
      <c r="E1448" s="424"/>
      <c r="F1448" s="424"/>
      <c r="G1448" s="424"/>
      <c r="H1448" s="424"/>
      <c r="I1448" s="424"/>
      <c r="J1448" s="424"/>
      <c r="K1448" s="424"/>
      <c r="L1448" s="424"/>
      <c r="M1448" s="424"/>
      <c r="N1448" s="424"/>
      <c r="O1448" s="424"/>
      <c r="P1448" s="424"/>
      <c r="Q1448" s="424"/>
      <c r="R1448" s="424"/>
      <c r="S1448" s="424"/>
      <c r="T1448" s="424"/>
      <c r="U1448" s="424"/>
      <c r="V1448" s="436" t="n">
        <f aca="false">AY1453</f>
        <v>0</v>
      </c>
    </row>
    <row r="1449" customFormat="false" ht="13.5" hidden="false" customHeight="false" outlineLevel="0" collapsed="false">
      <c r="A1449" s="424"/>
      <c r="B1449" s="424"/>
      <c r="C1449" s="424"/>
      <c r="D1449" s="424"/>
      <c r="E1449" s="424"/>
      <c r="F1449" s="424"/>
      <c r="G1449" s="424"/>
      <c r="H1449" s="424"/>
      <c r="I1449" s="424"/>
      <c r="J1449" s="424"/>
      <c r="K1449" s="424"/>
      <c r="L1449" s="424"/>
      <c r="M1449" s="424"/>
      <c r="N1449" s="424"/>
      <c r="O1449" s="424"/>
      <c r="P1449" s="424"/>
      <c r="Q1449" s="424"/>
      <c r="R1449" s="424"/>
      <c r="S1449" s="424"/>
      <c r="T1449" s="424"/>
      <c r="U1449" s="424"/>
      <c r="V1449" s="436" t="n">
        <f aca="false">AY1454</f>
        <v>0</v>
      </c>
    </row>
    <row r="1450" customFormat="false" ht="13.5" hidden="false" customHeight="false" outlineLevel="0" collapsed="false">
      <c r="A1450" s="424"/>
      <c r="B1450" s="424"/>
      <c r="C1450" s="424"/>
      <c r="D1450" s="424"/>
      <c r="E1450" s="424"/>
      <c r="F1450" s="424"/>
      <c r="G1450" s="424"/>
      <c r="H1450" s="424"/>
      <c r="I1450" s="424"/>
      <c r="J1450" s="424"/>
      <c r="K1450" s="424"/>
      <c r="L1450" s="424"/>
      <c r="M1450" s="424"/>
      <c r="N1450" s="424"/>
      <c r="O1450" s="424"/>
      <c r="P1450" s="424"/>
      <c r="Q1450" s="424"/>
      <c r="R1450" s="424"/>
      <c r="S1450" s="424"/>
      <c r="T1450" s="424"/>
      <c r="U1450" s="424"/>
      <c r="V1450" s="436" t="n">
        <f aca="false">AY1455</f>
        <v>0</v>
      </c>
    </row>
    <row r="1451" customFormat="false" ht="13.5" hidden="false" customHeight="false" outlineLevel="0" collapsed="false">
      <c r="A1451" s="424"/>
      <c r="B1451" s="424"/>
      <c r="C1451" s="424"/>
      <c r="D1451" s="424"/>
      <c r="E1451" s="424"/>
      <c r="F1451" s="424"/>
      <c r="G1451" s="424"/>
      <c r="H1451" s="424"/>
      <c r="I1451" s="424"/>
      <c r="J1451" s="424"/>
      <c r="K1451" s="424"/>
      <c r="L1451" s="424"/>
      <c r="M1451" s="424"/>
      <c r="N1451" s="424"/>
      <c r="O1451" s="424"/>
      <c r="P1451" s="424"/>
      <c r="Q1451" s="424"/>
      <c r="R1451" s="424"/>
      <c r="S1451" s="424"/>
      <c r="T1451" s="424"/>
      <c r="U1451" s="424"/>
      <c r="V1451" s="436" t="n">
        <f aca="false">AY1456</f>
        <v>0</v>
      </c>
    </row>
    <row r="1452" customFormat="false" ht="13.5" hidden="false" customHeight="false" outlineLevel="0" collapsed="false">
      <c r="A1452" s="424"/>
      <c r="B1452" s="424"/>
      <c r="C1452" s="424"/>
      <c r="D1452" s="424"/>
      <c r="E1452" s="424"/>
      <c r="F1452" s="424"/>
      <c r="G1452" s="424"/>
      <c r="H1452" s="424"/>
      <c r="I1452" s="424"/>
      <c r="J1452" s="424"/>
      <c r="K1452" s="424"/>
      <c r="L1452" s="424"/>
      <c r="M1452" s="424"/>
      <c r="N1452" s="424"/>
      <c r="O1452" s="424"/>
      <c r="P1452" s="424"/>
      <c r="Q1452" s="424"/>
      <c r="R1452" s="424"/>
      <c r="S1452" s="424"/>
      <c r="T1452" s="424"/>
      <c r="U1452" s="424"/>
      <c r="V1452" s="436" t="n">
        <f aca="false">AY1457</f>
        <v>0</v>
      </c>
    </row>
    <row r="1453" customFormat="false" ht="13.5" hidden="false" customHeight="false" outlineLevel="0" collapsed="false">
      <c r="A1453" s="424"/>
      <c r="B1453" s="424"/>
      <c r="C1453" s="424"/>
      <c r="D1453" s="424"/>
      <c r="E1453" s="424"/>
      <c r="F1453" s="424"/>
      <c r="G1453" s="424"/>
      <c r="H1453" s="424"/>
      <c r="I1453" s="424"/>
      <c r="J1453" s="424"/>
      <c r="K1453" s="424"/>
      <c r="L1453" s="424"/>
      <c r="M1453" s="424"/>
      <c r="N1453" s="424"/>
      <c r="O1453" s="424"/>
      <c r="P1453" s="424"/>
      <c r="Q1453" s="424"/>
      <c r="R1453" s="424"/>
      <c r="S1453" s="424"/>
      <c r="T1453" s="424"/>
      <c r="U1453" s="424"/>
      <c r="V1453" s="436" t="n">
        <f aca="false">AY1458</f>
        <v>0</v>
      </c>
    </row>
    <row r="1454" customFormat="false" ht="13.5" hidden="false" customHeight="false" outlineLevel="0" collapsed="false">
      <c r="A1454" s="424"/>
      <c r="B1454" s="424"/>
      <c r="C1454" s="424"/>
      <c r="D1454" s="424"/>
      <c r="E1454" s="424"/>
      <c r="F1454" s="424"/>
      <c r="G1454" s="424"/>
      <c r="H1454" s="424"/>
      <c r="I1454" s="424"/>
      <c r="J1454" s="424"/>
      <c r="K1454" s="424"/>
      <c r="L1454" s="424"/>
      <c r="M1454" s="424"/>
      <c r="N1454" s="424"/>
      <c r="O1454" s="424"/>
      <c r="P1454" s="424"/>
      <c r="Q1454" s="424"/>
      <c r="R1454" s="424"/>
      <c r="S1454" s="424"/>
      <c r="T1454" s="424"/>
      <c r="U1454" s="424"/>
      <c r="V1454" s="436" t="n">
        <f aca="false">AY1459</f>
        <v>0</v>
      </c>
    </row>
    <row r="1455" customFormat="false" ht="13.5" hidden="false" customHeight="false" outlineLevel="0" collapsed="false">
      <c r="A1455" s="424"/>
      <c r="B1455" s="424"/>
      <c r="C1455" s="424"/>
      <c r="D1455" s="424"/>
      <c r="E1455" s="424"/>
      <c r="F1455" s="424"/>
      <c r="G1455" s="424"/>
      <c r="H1455" s="424"/>
      <c r="I1455" s="424"/>
      <c r="J1455" s="424"/>
      <c r="K1455" s="424"/>
      <c r="L1455" s="424"/>
      <c r="M1455" s="424"/>
      <c r="N1455" s="424"/>
      <c r="O1455" s="424"/>
      <c r="P1455" s="424"/>
      <c r="Q1455" s="424"/>
      <c r="R1455" s="424"/>
      <c r="S1455" s="424"/>
      <c r="T1455" s="424"/>
      <c r="U1455" s="424"/>
      <c r="V1455" s="436" t="n">
        <f aca="false">AY1460</f>
        <v>0</v>
      </c>
    </row>
    <row r="1456" customFormat="false" ht="13.5" hidden="false" customHeight="false" outlineLevel="0" collapsed="false">
      <c r="A1456" s="424"/>
      <c r="B1456" s="424"/>
      <c r="C1456" s="424"/>
      <c r="D1456" s="424"/>
      <c r="E1456" s="424"/>
      <c r="F1456" s="424"/>
      <c r="G1456" s="424"/>
      <c r="H1456" s="424"/>
      <c r="I1456" s="424"/>
      <c r="J1456" s="424"/>
      <c r="K1456" s="424"/>
      <c r="L1456" s="424"/>
      <c r="M1456" s="424"/>
      <c r="N1456" s="424"/>
      <c r="O1456" s="424"/>
      <c r="P1456" s="424"/>
      <c r="Q1456" s="424"/>
      <c r="R1456" s="424"/>
      <c r="S1456" s="424"/>
      <c r="T1456" s="424"/>
      <c r="U1456" s="424"/>
      <c r="V1456" s="436" t="n">
        <f aca="false">AY1461</f>
        <v>0</v>
      </c>
    </row>
    <row r="1457" customFormat="false" ht="13.5" hidden="false" customHeight="false" outlineLevel="0" collapsed="false">
      <c r="A1457" s="424"/>
      <c r="B1457" s="424"/>
      <c r="C1457" s="424"/>
      <c r="D1457" s="424"/>
      <c r="E1457" s="424"/>
      <c r="F1457" s="424"/>
      <c r="G1457" s="424"/>
      <c r="H1457" s="424"/>
      <c r="I1457" s="424"/>
      <c r="J1457" s="424"/>
      <c r="K1457" s="424"/>
      <c r="L1457" s="424"/>
      <c r="M1457" s="424"/>
      <c r="N1457" s="424"/>
      <c r="O1457" s="424"/>
      <c r="P1457" s="424"/>
      <c r="Q1457" s="424"/>
      <c r="R1457" s="424"/>
      <c r="S1457" s="424"/>
      <c r="T1457" s="424"/>
      <c r="U1457" s="424"/>
      <c r="V1457" s="436" t="n">
        <f aca="false">AY1462</f>
        <v>0</v>
      </c>
    </row>
    <row r="1458" customFormat="false" ht="13.5" hidden="false" customHeight="false" outlineLevel="0" collapsed="false">
      <c r="A1458" s="424"/>
      <c r="B1458" s="424"/>
      <c r="C1458" s="424"/>
      <c r="D1458" s="424"/>
      <c r="E1458" s="424"/>
      <c r="F1458" s="424"/>
      <c r="G1458" s="424"/>
      <c r="H1458" s="424"/>
      <c r="I1458" s="424"/>
      <c r="J1458" s="424"/>
      <c r="K1458" s="424"/>
      <c r="L1458" s="424"/>
      <c r="M1458" s="424"/>
      <c r="N1458" s="424"/>
      <c r="O1458" s="424"/>
      <c r="P1458" s="424"/>
      <c r="Q1458" s="424"/>
      <c r="R1458" s="424"/>
      <c r="S1458" s="424"/>
      <c r="T1458" s="424"/>
      <c r="U1458" s="424"/>
      <c r="V1458" s="436" t="n">
        <f aca="false">AY1463</f>
        <v>0</v>
      </c>
    </row>
    <row r="1459" customFormat="false" ht="13.5" hidden="false" customHeight="false" outlineLevel="0" collapsed="false">
      <c r="A1459" s="424"/>
      <c r="B1459" s="424"/>
      <c r="C1459" s="424"/>
      <c r="D1459" s="424"/>
      <c r="E1459" s="424"/>
      <c r="F1459" s="424"/>
      <c r="G1459" s="424"/>
      <c r="H1459" s="424"/>
      <c r="I1459" s="424"/>
      <c r="J1459" s="424"/>
      <c r="K1459" s="424"/>
      <c r="L1459" s="424"/>
      <c r="M1459" s="424"/>
      <c r="N1459" s="424"/>
      <c r="O1459" s="424"/>
      <c r="P1459" s="424"/>
      <c r="Q1459" s="424"/>
      <c r="R1459" s="424"/>
      <c r="S1459" s="424"/>
      <c r="T1459" s="424"/>
      <c r="U1459" s="424"/>
      <c r="V1459" s="436" t="n">
        <f aca="false">AY1464</f>
        <v>0</v>
      </c>
    </row>
    <row r="1462" customFormat="false" ht="13.5" hidden="false" customHeight="false" outlineLevel="0" collapsed="false">
      <c r="A1462" s="424"/>
      <c r="B1462" s="424"/>
      <c r="C1462" s="424"/>
      <c r="D1462" s="424"/>
      <c r="E1462" s="424"/>
      <c r="F1462" s="424"/>
      <c r="G1462" s="424"/>
      <c r="H1462" s="424"/>
      <c r="I1462" s="424"/>
      <c r="J1462" s="424"/>
      <c r="K1462" s="424"/>
      <c r="L1462" s="424"/>
      <c r="M1462" s="424"/>
      <c r="N1462" s="424"/>
      <c r="O1462" s="424"/>
      <c r="P1462" s="424"/>
      <c r="Q1462" s="424"/>
      <c r="R1462" s="434" t="s">
        <v>400</v>
      </c>
      <c r="S1462" s="424"/>
      <c r="T1462" s="424"/>
      <c r="U1462" s="424"/>
      <c r="V1462" s="435" t="n">
        <f aca="false">SUM(V1464:V1496)</f>
        <v>0</v>
      </c>
    </row>
    <row r="1463" customFormat="false" ht="13.5" hidden="false" customHeight="false" outlineLevel="0" collapsed="false">
      <c r="A1463" s="424"/>
      <c r="B1463" s="424"/>
      <c r="C1463" s="424"/>
      <c r="D1463" s="424"/>
      <c r="E1463" s="424"/>
      <c r="F1463" s="424"/>
      <c r="G1463" s="424"/>
      <c r="H1463" s="424"/>
      <c r="I1463" s="424"/>
      <c r="J1463" s="424"/>
      <c r="K1463" s="424"/>
      <c r="L1463" s="424"/>
      <c r="M1463" s="424"/>
      <c r="N1463" s="424"/>
      <c r="O1463" s="424"/>
      <c r="P1463" s="424"/>
      <c r="Q1463" s="435" t="n">
        <v>0</v>
      </c>
      <c r="R1463" s="424"/>
      <c r="S1463" s="435" t="n">
        <v>0</v>
      </c>
      <c r="T1463" s="424"/>
      <c r="U1463" s="424"/>
      <c r="V1463" s="436" t="n">
        <f aca="false">AY1463</f>
        <v>0</v>
      </c>
    </row>
    <row r="1464" customFormat="false" ht="13.5" hidden="false" customHeight="false" outlineLevel="0" collapsed="false">
      <c r="A1464" s="424"/>
      <c r="B1464" s="424"/>
      <c r="C1464" s="424"/>
      <c r="D1464" s="424"/>
      <c r="E1464" s="424"/>
      <c r="F1464" s="424"/>
      <c r="G1464" s="424"/>
      <c r="H1464" s="424"/>
      <c r="I1464" s="424"/>
      <c r="J1464" s="424"/>
      <c r="K1464" s="424"/>
      <c r="L1464" s="424"/>
      <c r="M1464" s="424"/>
      <c r="N1464" s="424"/>
      <c r="O1464" s="424"/>
      <c r="P1464" s="424"/>
      <c r="Q1464" s="435" t="n">
        <v>1</v>
      </c>
      <c r="R1464" s="434" t="s">
        <v>401</v>
      </c>
      <c r="S1464" s="434" t="s">
        <v>402</v>
      </c>
      <c r="T1464" s="434" t="s">
        <v>403</v>
      </c>
      <c r="U1464" s="434" t="s">
        <v>404</v>
      </c>
      <c r="V1464" s="436" t="n">
        <f aca="false">AY1464</f>
        <v>0</v>
      </c>
    </row>
    <row r="1465" customFormat="false" ht="13.5" hidden="false" customHeight="false" outlineLevel="0" collapsed="false">
      <c r="A1465" s="424"/>
      <c r="B1465" s="424"/>
      <c r="C1465" s="424"/>
      <c r="D1465" s="424"/>
      <c r="E1465" s="424"/>
      <c r="F1465" s="424"/>
      <c r="G1465" s="424"/>
      <c r="H1465" s="424"/>
      <c r="I1465" s="424"/>
      <c r="J1465" s="424"/>
      <c r="K1465" s="424"/>
      <c r="L1465" s="424"/>
      <c r="M1465" s="424"/>
      <c r="N1465" s="424"/>
      <c r="O1465" s="424"/>
      <c r="P1465" s="424"/>
      <c r="Q1465" s="435" t="n">
        <v>2</v>
      </c>
      <c r="R1465" s="434" t="s">
        <v>405</v>
      </c>
      <c r="S1465" s="434" t="s">
        <v>406</v>
      </c>
      <c r="T1465" s="434" t="s">
        <v>407</v>
      </c>
      <c r="U1465" s="434" t="s">
        <v>408</v>
      </c>
      <c r="V1465" s="436" t="n">
        <f aca="false">AY1465</f>
        <v>0</v>
      </c>
    </row>
    <row r="1466" customFormat="false" ht="13.5" hidden="false" customHeight="false" outlineLevel="0" collapsed="false">
      <c r="A1466" s="424"/>
      <c r="B1466" s="424"/>
      <c r="C1466" s="424"/>
      <c r="D1466" s="424"/>
      <c r="E1466" s="424"/>
      <c r="F1466" s="424"/>
      <c r="G1466" s="424"/>
      <c r="H1466" s="424"/>
      <c r="I1466" s="424"/>
      <c r="J1466" s="424"/>
      <c r="K1466" s="424"/>
      <c r="L1466" s="424"/>
      <c r="M1466" s="424"/>
      <c r="N1466" s="424"/>
      <c r="O1466" s="424"/>
      <c r="P1466" s="424"/>
      <c r="Q1466" s="435" t="n">
        <v>3</v>
      </c>
      <c r="R1466" s="434" t="s">
        <v>409</v>
      </c>
      <c r="S1466" s="434" t="s">
        <v>410</v>
      </c>
      <c r="T1466" s="434" t="s">
        <v>411</v>
      </c>
      <c r="U1466" s="434" t="s">
        <v>412</v>
      </c>
      <c r="V1466" s="436" t="n">
        <f aca="false">AY1466</f>
        <v>0</v>
      </c>
    </row>
    <row r="1467" customFormat="false" ht="13.5" hidden="false" customHeight="false" outlineLevel="0" collapsed="false">
      <c r="A1467" s="424"/>
      <c r="B1467" s="424"/>
      <c r="C1467" s="424"/>
      <c r="D1467" s="424"/>
      <c r="E1467" s="424"/>
      <c r="F1467" s="424"/>
      <c r="G1467" s="424"/>
      <c r="H1467" s="424"/>
      <c r="I1467" s="424"/>
      <c r="J1467" s="424"/>
      <c r="K1467" s="424"/>
      <c r="L1467" s="424"/>
      <c r="M1467" s="424"/>
      <c r="N1467" s="424"/>
      <c r="O1467" s="424"/>
      <c r="P1467" s="424"/>
      <c r="Q1467" s="435" t="n">
        <v>4</v>
      </c>
      <c r="R1467" s="434" t="s">
        <v>413</v>
      </c>
      <c r="S1467" s="434" t="s">
        <v>414</v>
      </c>
      <c r="T1467" s="434" t="s">
        <v>415</v>
      </c>
      <c r="U1467" s="434" t="s">
        <v>416</v>
      </c>
      <c r="V1467" s="436" t="n">
        <f aca="false">AY1467</f>
        <v>0</v>
      </c>
    </row>
    <row r="1468" customFormat="false" ht="13.5" hidden="false" customHeight="false" outlineLevel="0" collapsed="false">
      <c r="A1468" s="424"/>
      <c r="B1468" s="424"/>
      <c r="C1468" s="424"/>
      <c r="D1468" s="424"/>
      <c r="E1468" s="424"/>
      <c r="F1468" s="424"/>
      <c r="G1468" s="424"/>
      <c r="H1468" s="424"/>
      <c r="I1468" s="424"/>
      <c r="J1468" s="424"/>
      <c r="K1468" s="424"/>
      <c r="L1468" s="424"/>
      <c r="M1468" s="424"/>
      <c r="N1468" s="424"/>
      <c r="O1468" s="424"/>
      <c r="P1468" s="438" t="s">
        <v>417</v>
      </c>
      <c r="Q1468" s="435" t="n">
        <v>5</v>
      </c>
      <c r="R1468" s="434" t="s">
        <v>418</v>
      </c>
      <c r="S1468" s="434" t="s">
        <v>419</v>
      </c>
      <c r="T1468" s="434" t="s">
        <v>420</v>
      </c>
      <c r="U1468" s="434" t="s">
        <v>421</v>
      </c>
      <c r="V1468" s="436" t="n">
        <f aca="false">AY1468</f>
        <v>0</v>
      </c>
    </row>
    <row r="1469" customFormat="false" ht="13.5" hidden="false" customHeight="false" outlineLevel="0" collapsed="false">
      <c r="A1469" s="424"/>
      <c r="B1469" s="424"/>
      <c r="C1469" s="424"/>
      <c r="D1469" s="424"/>
      <c r="E1469" s="424"/>
      <c r="F1469" s="424"/>
      <c r="G1469" s="424"/>
      <c r="H1469" s="424"/>
      <c r="I1469" s="424"/>
      <c r="J1469" s="424"/>
      <c r="K1469" s="424"/>
      <c r="L1469" s="424"/>
      <c r="M1469" s="424"/>
      <c r="N1469" s="424"/>
      <c r="O1469" s="424"/>
      <c r="P1469" s="438" t="s">
        <v>417</v>
      </c>
      <c r="Q1469" s="435" t="n">
        <v>6</v>
      </c>
      <c r="R1469" s="434" t="s">
        <v>422</v>
      </c>
      <c r="S1469" s="434" t="s">
        <v>423</v>
      </c>
      <c r="T1469" s="434" t="s">
        <v>424</v>
      </c>
      <c r="U1469" s="434" t="s">
        <v>425</v>
      </c>
      <c r="V1469" s="436" t="n">
        <f aca="false">AY1469</f>
        <v>0</v>
      </c>
    </row>
    <row r="1470" customFormat="false" ht="13.5" hidden="false" customHeight="false" outlineLevel="0" collapsed="false">
      <c r="A1470" s="424"/>
      <c r="B1470" s="424"/>
      <c r="C1470" s="424"/>
      <c r="D1470" s="424"/>
      <c r="E1470" s="424"/>
      <c r="F1470" s="424"/>
      <c r="G1470" s="424"/>
      <c r="H1470" s="424"/>
      <c r="I1470" s="424"/>
      <c r="J1470" s="424"/>
      <c r="K1470" s="424"/>
      <c r="L1470" s="424"/>
      <c r="M1470" s="424"/>
      <c r="N1470" s="424"/>
      <c r="O1470" s="424"/>
      <c r="P1470" s="438" t="s">
        <v>417</v>
      </c>
      <c r="Q1470" s="435" t="n">
        <v>7</v>
      </c>
      <c r="R1470" s="434" t="s">
        <v>426</v>
      </c>
      <c r="S1470" s="434" t="s">
        <v>427</v>
      </c>
      <c r="T1470" s="434" t="s">
        <v>428</v>
      </c>
      <c r="U1470" s="434" t="s">
        <v>429</v>
      </c>
      <c r="V1470" s="436" t="n">
        <f aca="false">AY1470</f>
        <v>0</v>
      </c>
    </row>
    <row r="1471" customFormat="false" ht="13.5" hidden="false" customHeight="false" outlineLevel="0" collapsed="false">
      <c r="A1471" s="424"/>
      <c r="B1471" s="424"/>
      <c r="C1471" s="424"/>
      <c r="D1471" s="424"/>
      <c r="E1471" s="424"/>
      <c r="F1471" s="424"/>
      <c r="G1471" s="424"/>
      <c r="H1471" s="424"/>
      <c r="I1471" s="424"/>
      <c r="J1471" s="424"/>
      <c r="K1471" s="424"/>
      <c r="L1471" s="424"/>
      <c r="M1471" s="424"/>
      <c r="N1471" s="424"/>
      <c r="O1471" s="424"/>
      <c r="P1471" s="438" t="s">
        <v>417</v>
      </c>
      <c r="Q1471" s="435" t="n">
        <v>8</v>
      </c>
      <c r="R1471" s="434" t="s">
        <v>430</v>
      </c>
      <c r="S1471" s="434" t="s">
        <v>431</v>
      </c>
      <c r="T1471" s="434" t="s">
        <v>432</v>
      </c>
      <c r="U1471" s="434" t="s">
        <v>433</v>
      </c>
      <c r="V1471" s="436" t="n">
        <f aca="false">AY1471</f>
        <v>0</v>
      </c>
    </row>
    <row r="1472" customFormat="false" ht="13.5" hidden="false" customHeight="false" outlineLevel="0" collapsed="false">
      <c r="A1472" s="424"/>
      <c r="B1472" s="424"/>
      <c r="C1472" s="424"/>
      <c r="D1472" s="424"/>
      <c r="E1472" s="424"/>
      <c r="F1472" s="424"/>
      <c r="G1472" s="424"/>
      <c r="H1472" s="424"/>
      <c r="I1472" s="424"/>
      <c r="J1472" s="424"/>
      <c r="K1472" s="424"/>
      <c r="L1472" s="424"/>
      <c r="M1472" s="424"/>
      <c r="N1472" s="424"/>
      <c r="O1472" s="424"/>
      <c r="P1472" s="438" t="s">
        <v>417</v>
      </c>
      <c r="Q1472" s="435" t="n">
        <v>9</v>
      </c>
      <c r="R1472" s="434" t="s">
        <v>434</v>
      </c>
      <c r="S1472" s="434" t="s">
        <v>435</v>
      </c>
      <c r="T1472" s="434" t="s">
        <v>436</v>
      </c>
      <c r="U1472" s="434" t="s">
        <v>437</v>
      </c>
      <c r="V1472" s="436" t="n">
        <f aca="false">AY1472</f>
        <v>0</v>
      </c>
    </row>
    <row r="1473" customFormat="false" ht="13.5" hidden="false" customHeight="false" outlineLevel="0" collapsed="false">
      <c r="A1473" s="424"/>
      <c r="B1473" s="424"/>
      <c r="C1473" s="424"/>
      <c r="D1473" s="424"/>
      <c r="E1473" s="424"/>
      <c r="F1473" s="424"/>
      <c r="G1473" s="424"/>
      <c r="H1473" s="424"/>
      <c r="I1473" s="424"/>
      <c r="J1473" s="424"/>
      <c r="K1473" s="424"/>
      <c r="L1473" s="424"/>
      <c r="M1473" s="424"/>
      <c r="N1473" s="424"/>
      <c r="O1473" s="424"/>
      <c r="P1473" s="438" t="s">
        <v>417</v>
      </c>
      <c r="Q1473" s="435" t="n">
        <v>10</v>
      </c>
      <c r="R1473" s="434" t="s">
        <v>438</v>
      </c>
      <c r="S1473" s="424"/>
      <c r="T1473" s="434" t="s">
        <v>439</v>
      </c>
      <c r="U1473" s="434" t="s">
        <v>440</v>
      </c>
      <c r="V1473" s="436" t="n">
        <f aca="false">AY1473</f>
        <v>0</v>
      </c>
    </row>
    <row r="1474" customFormat="false" ht="13.5" hidden="false" customHeight="false" outlineLevel="0" collapsed="false">
      <c r="A1474" s="424"/>
      <c r="B1474" s="424"/>
      <c r="C1474" s="424"/>
      <c r="D1474" s="424"/>
      <c r="E1474" s="424"/>
      <c r="F1474" s="435" t="n">
        <f aca="false">TRUNC(+A1476/1000000)</f>
        <v>0</v>
      </c>
      <c r="G1474" s="424"/>
      <c r="H1474" s="424"/>
      <c r="I1474" s="424"/>
      <c r="J1474" s="424"/>
      <c r="K1474" s="424"/>
      <c r="L1474" s="424"/>
      <c r="M1474" s="424"/>
      <c r="N1474" s="424"/>
      <c r="O1474" s="424"/>
      <c r="P1474" s="438" t="s">
        <v>417</v>
      </c>
      <c r="Q1474" s="435" t="n">
        <v>11</v>
      </c>
      <c r="R1474" s="434" t="s">
        <v>441</v>
      </c>
      <c r="S1474" s="424"/>
      <c r="T1474" s="434" t="s">
        <v>442</v>
      </c>
      <c r="U1474" s="434" t="s">
        <v>443</v>
      </c>
      <c r="V1474" s="436" t="n">
        <f aca="false">AY1474</f>
        <v>0</v>
      </c>
    </row>
    <row r="1475" customFormat="false" ht="13.5" hidden="false" customHeight="false" outlineLevel="0" collapsed="false">
      <c r="A1475" s="424"/>
      <c r="B1475" s="424"/>
      <c r="C1475" s="424"/>
      <c r="D1475" s="424"/>
      <c r="E1475" s="424"/>
      <c r="F1475" s="435" t="e">
        <f aca="false">(+B1479*100000+C1479*1000+E1479*100)</f>
        <v>#VALUE!</v>
      </c>
      <c r="G1475" s="424"/>
      <c r="H1475" s="424"/>
      <c r="I1475" s="424"/>
      <c r="J1475" s="424"/>
      <c r="K1475" s="424"/>
      <c r="L1475" s="434" t="s">
        <v>444</v>
      </c>
      <c r="M1475" s="424"/>
      <c r="N1475" s="424"/>
      <c r="O1475" s="424"/>
      <c r="P1475" s="438" t="s">
        <v>417</v>
      </c>
      <c r="Q1475" s="435" t="n">
        <v>12</v>
      </c>
      <c r="R1475" s="434" t="s">
        <v>445</v>
      </c>
      <c r="S1475" s="424"/>
      <c r="T1475" s="434" t="s">
        <v>446</v>
      </c>
      <c r="U1475" s="434" t="s">
        <v>447</v>
      </c>
      <c r="V1475" s="436" t="n">
        <f aca="false">AY1475</f>
        <v>0</v>
      </c>
    </row>
    <row r="1476" customFormat="false" ht="13.5" hidden="false" customHeight="false" outlineLevel="0" collapsed="false">
      <c r="A1476" s="436" t="n">
        <f aca="false">TRUNC(+A1477)</f>
        <v>12</v>
      </c>
      <c r="B1476" s="424"/>
      <c r="C1476" s="424"/>
      <c r="D1476" s="424"/>
      <c r="E1476" s="440" t="n">
        <f aca="false">TRUNC(+A1476/100000000)</f>
        <v>0</v>
      </c>
      <c r="F1476" s="424"/>
      <c r="G1476" s="424"/>
      <c r="H1476" s="424"/>
      <c r="I1476" s="424"/>
      <c r="J1476" s="424"/>
      <c r="K1476" s="424"/>
      <c r="L1476" s="424"/>
      <c r="M1476" s="424"/>
      <c r="N1476" s="424"/>
      <c r="O1476" s="424"/>
      <c r="P1476" s="438" t="s">
        <v>417</v>
      </c>
      <c r="Q1476" s="435" t="n">
        <v>13</v>
      </c>
      <c r="R1476" s="434" t="s">
        <v>448</v>
      </c>
      <c r="S1476" s="424"/>
      <c r="T1476" s="434" t="s">
        <v>449</v>
      </c>
      <c r="U1476" s="434" t="s">
        <v>450</v>
      </c>
      <c r="V1476" s="436" t="n">
        <f aca="false">AY1476</f>
        <v>0</v>
      </c>
    </row>
    <row r="1477" customFormat="false" ht="13.5" hidden="false" customHeight="false" outlineLevel="0" collapsed="false">
      <c r="A1477" s="441" t="n">
        <v>12</v>
      </c>
      <c r="B1477" s="434" t="s">
        <v>451</v>
      </c>
      <c r="C1477" s="434" t="s">
        <v>452</v>
      </c>
      <c r="D1477" s="424"/>
      <c r="E1477" s="434" t="s">
        <v>452</v>
      </c>
      <c r="F1477" s="424"/>
      <c r="G1477" s="424"/>
      <c r="H1477" s="424"/>
      <c r="I1477" s="440" t="n">
        <f aca="false">TRUNC((+A1476-(+F1474*1000000))/1000)</f>
        <v>0</v>
      </c>
      <c r="J1477" s="424"/>
      <c r="K1477" s="440" t="n">
        <f aca="false">(TRUNC((+A1476-(+F1474*1000000))/1))-I1477*1000</f>
        <v>12</v>
      </c>
      <c r="L1477" s="424"/>
      <c r="M1477" s="424"/>
      <c r="N1477" s="424"/>
      <c r="O1477" s="424"/>
      <c r="P1477" s="438" t="s">
        <v>417</v>
      </c>
      <c r="Q1477" s="435" t="n">
        <v>14</v>
      </c>
      <c r="R1477" s="434" t="s">
        <v>453</v>
      </c>
      <c r="S1477" s="424"/>
      <c r="T1477" s="434" t="s">
        <v>454</v>
      </c>
      <c r="U1477" s="434" t="s">
        <v>455</v>
      </c>
      <c r="V1477" s="436" t="n">
        <f aca="false">AY1477</f>
        <v>0</v>
      </c>
    </row>
    <row r="1478" customFormat="false" ht="13.5" hidden="false" customHeight="false" outlineLevel="0" collapsed="false">
      <c r="A1478" s="424"/>
      <c r="B1478" s="442" t="s">
        <v>712</v>
      </c>
      <c r="C1478" s="442" t="s">
        <v>712</v>
      </c>
      <c r="D1478" s="424"/>
      <c r="E1478" s="442" t="s">
        <v>712</v>
      </c>
      <c r="F1478" s="424"/>
      <c r="G1478" s="424"/>
      <c r="H1478" s="424"/>
      <c r="I1478" s="424"/>
      <c r="J1478" s="424"/>
      <c r="K1478" s="424"/>
      <c r="L1478" s="424"/>
      <c r="M1478" s="424"/>
      <c r="N1478" s="440" t="n">
        <f aca="false">ROUND(((+A1477-A1476)*100),1)</f>
        <v>0</v>
      </c>
      <c r="O1478" s="424"/>
      <c r="P1478" s="438" t="s">
        <v>417</v>
      </c>
      <c r="Q1478" s="435" t="n">
        <v>15</v>
      </c>
      <c r="R1478" s="434" t="s">
        <v>457</v>
      </c>
      <c r="S1478" s="424"/>
      <c r="T1478" s="434" t="s">
        <v>458</v>
      </c>
      <c r="U1478" s="434" t="s">
        <v>459</v>
      </c>
      <c r="V1478" s="436" t="n">
        <f aca="false">AY1478</f>
        <v>0</v>
      </c>
    </row>
    <row r="1479" customFormat="false" ht="13.5" hidden="false" customHeight="false" outlineLevel="0" collapsed="false">
      <c r="A1479" s="424"/>
      <c r="B1479" s="440" t="n">
        <f aca="false">TRUNC(+A1477/100000000000)</f>
        <v>0</v>
      </c>
      <c r="C1479" s="440" t="n">
        <f aca="false">(TRUNC(+A1476/1000000000))-B1479*100</f>
        <v>0</v>
      </c>
      <c r="D1479" s="424"/>
      <c r="E1479" s="435" t="str">
        <f aca="false">IF(E1476&gt;0,TRUNC(+E1476-B1479*1000-C1479*10),"")</f>
        <v/>
      </c>
      <c r="F1479" s="435" t="e">
        <f aca="false">F1474-F1475</f>
        <v>#VALUE!</v>
      </c>
      <c r="G1479" s="435" t="e">
        <f aca="false">G1481</f>
        <v>#VALUE!</v>
      </c>
      <c r="H1479" s="440" t="n">
        <f aca="false">TRUNC((+A1476-(+F1474*1000000))/100000)</f>
        <v>0</v>
      </c>
      <c r="I1479" s="440" t="n">
        <f aca="false">I1477-H1479*100</f>
        <v>0</v>
      </c>
      <c r="J1479" s="424"/>
      <c r="K1479" s="440" t="n">
        <f aca="false">TRUNC(+K1477/100)</f>
        <v>0</v>
      </c>
      <c r="L1479" s="440" t="n">
        <f aca="false">K1477-K1479*100</f>
        <v>12</v>
      </c>
      <c r="M1479" s="440" t="str">
        <f aca="false">IF(N1479&gt;0," &amp; Sen ","")</f>
        <v/>
      </c>
      <c r="N1479" s="435" t="n">
        <f aca="false">N1478</f>
        <v>0</v>
      </c>
      <c r="O1479" s="424"/>
      <c r="P1479" s="438" t="s">
        <v>417</v>
      </c>
      <c r="Q1479" s="435" t="n">
        <v>16</v>
      </c>
      <c r="R1479" s="434" t="s">
        <v>460</v>
      </c>
      <c r="S1479" s="424"/>
      <c r="T1479" s="434" t="s">
        <v>461</v>
      </c>
      <c r="U1479" s="434" t="s">
        <v>462</v>
      </c>
      <c r="V1479" s="436" t="n">
        <f aca="false">AY1479</f>
        <v>0</v>
      </c>
    </row>
    <row r="1480" customFormat="false" ht="13.5" hidden="false" customHeight="false" outlineLevel="0" collapsed="false">
      <c r="A1480" s="424"/>
      <c r="B1480" s="424"/>
      <c r="C1480" s="424"/>
      <c r="D1480" s="424"/>
      <c r="E1480" s="424"/>
      <c r="F1480" s="424"/>
      <c r="G1480" s="424"/>
      <c r="H1480" s="424"/>
      <c r="I1480" s="424"/>
      <c r="J1480" s="424"/>
      <c r="K1480" s="424"/>
      <c r="L1480" s="424"/>
      <c r="M1480" s="424"/>
      <c r="N1480" s="424"/>
      <c r="O1480" s="424"/>
      <c r="P1480" s="438" t="s">
        <v>417</v>
      </c>
      <c r="Q1480" s="435" t="n">
        <v>17</v>
      </c>
      <c r="R1480" s="434" t="s">
        <v>463</v>
      </c>
      <c r="S1480" s="424"/>
      <c r="T1480" s="434" t="s">
        <v>464</v>
      </c>
      <c r="U1480" s="434" t="s">
        <v>465</v>
      </c>
      <c r="V1480" s="436" t="n">
        <f aca="false">AY1480</f>
        <v>0</v>
      </c>
    </row>
    <row r="1481" customFormat="false" ht="13.5" hidden="false" customHeight="false" outlineLevel="0" collapsed="false">
      <c r="A1481" s="440" t="n">
        <f aca="false">B1479*100000000000</f>
        <v>0</v>
      </c>
      <c r="B1481" s="440" t="str">
        <f aca="false">IF(B1479&gt;0,VLOOKUP(B1479,$Q$7:$T$15,3),"")</f>
        <v/>
      </c>
      <c r="C1481" s="440" t="str">
        <f aca="false">IF(C1479&gt;0,VLOOKUP(C1479,Q1464:R1562,2),"")</f>
        <v/>
      </c>
      <c r="D1481" s="440" t="str">
        <f aca="false">IF(B1476+C1479&gt;0," Milyar","")</f>
        <v/>
      </c>
      <c r="E1481" s="440" t="e">
        <f aca="false">IF(E1479&gt;0,VLOOKUP(E1479,$Q$7:$T$15,3),"")</f>
        <v>#N/A</v>
      </c>
      <c r="F1481" s="440" t="e">
        <f aca="false">IF(F1479&gt;0,VLOOKUP(F1479,Q1464:R1562,2),"")</f>
        <v>#VALUE!</v>
      </c>
      <c r="G1481" s="435" t="e">
        <f aca="false">IF(F1479+E1479&gt;0," Juta","")</f>
        <v>#VALUE!</v>
      </c>
      <c r="H1481" s="440" t="str">
        <f aca="false">IF(H1479&gt;0,VLOOKUP(H1479,$Q$7:$T$15,3),"")</f>
        <v/>
      </c>
      <c r="I1481" s="440" t="str">
        <f aca="false">IF(I1479=1," Se",IF(I1479=0,"",VLOOKUP(I1479,Q1464:R1562,2)))</f>
        <v/>
      </c>
      <c r="J1481" s="435" t="str">
        <f aca="false">IF(I1479+H1479&gt;0," ribu","")</f>
        <v/>
      </c>
      <c r="K1481" s="440" t="str">
        <f aca="false">IF(K1479&gt;0,VLOOKUP(K1479,Q1464:S1472,3),"")</f>
        <v/>
      </c>
      <c r="L1481" s="440" t="str">
        <f aca="false">IF(L1479&gt;0,VLOOKUP(L1479,Q1464:R1562,2),"")</f>
        <v> Dua belas</v>
      </c>
      <c r="M1481" s="440" t="str">
        <f aca="false">IF(N1479&gt;0,VLOOKUP(N1478,Q1463:U1562,5)," Rupiah ")</f>
        <v> Rupiah </v>
      </c>
      <c r="N1481" s="424"/>
      <c r="O1481" s="435" t="str">
        <f aca="false">IF(N1479&gt;0," ====","")</f>
        <v/>
      </c>
      <c r="P1481" s="435" t="str">
        <f aca="false">IF(N1479&gt;0,"-","====")</f>
        <v>====</v>
      </c>
      <c r="Q1481" s="435" t="n">
        <v>18</v>
      </c>
      <c r="R1481" s="434" t="s">
        <v>466</v>
      </c>
      <c r="S1481" s="424"/>
      <c r="T1481" s="434" t="s">
        <v>467</v>
      </c>
      <c r="U1481" s="434" t="s">
        <v>468</v>
      </c>
      <c r="V1481" s="436" t="n">
        <f aca="false">AY1481</f>
        <v>0</v>
      </c>
    </row>
    <row r="1482" customFormat="false" ht="13.5" hidden="false" customHeight="false" outlineLevel="0" collapsed="false">
      <c r="A1482" s="440"/>
      <c r="B1482" s="435" t="str">
        <f aca="false">B1481</f>
        <v/>
      </c>
      <c r="C1482" s="424"/>
      <c r="D1482" s="424"/>
      <c r="E1482" s="424"/>
      <c r="F1482" s="424"/>
      <c r="G1482" s="424"/>
      <c r="H1482" s="424"/>
      <c r="I1482" s="424"/>
      <c r="J1482" s="424"/>
      <c r="K1482" s="424"/>
      <c r="L1482" s="424"/>
      <c r="M1482" s="424"/>
      <c r="N1482" s="424"/>
      <c r="O1482" s="424"/>
      <c r="P1482" s="438" t="s">
        <v>417</v>
      </c>
      <c r="Q1482" s="435" t="n">
        <v>19</v>
      </c>
      <c r="R1482" s="434" t="s">
        <v>469</v>
      </c>
      <c r="S1482" s="424"/>
      <c r="T1482" s="434" t="s">
        <v>470</v>
      </c>
      <c r="U1482" s="434" t="s">
        <v>471</v>
      </c>
      <c r="V1482" s="436" t="n">
        <f aca="false">AY1487</f>
        <v>0</v>
      </c>
    </row>
    <row r="1483" customFormat="false" ht="13.5" hidden="false" customHeight="false" outlineLevel="0" collapsed="false">
      <c r="A1483" s="440"/>
      <c r="B1483" s="435" t="str">
        <f aca="false">C1481</f>
        <v/>
      </c>
      <c r="C1483" s="424"/>
      <c r="D1483" s="424"/>
      <c r="E1483" s="424"/>
      <c r="F1483" s="424"/>
      <c r="G1483" s="424"/>
      <c r="H1483" s="424"/>
      <c r="I1483" s="424"/>
      <c r="J1483" s="424"/>
      <c r="K1483" s="424"/>
      <c r="L1483" s="424"/>
      <c r="M1483" s="424"/>
      <c r="N1483" s="424"/>
      <c r="O1483" s="424"/>
      <c r="P1483" s="438" t="s">
        <v>417</v>
      </c>
      <c r="Q1483" s="435" t="n">
        <v>20</v>
      </c>
      <c r="R1483" s="434" t="s">
        <v>472</v>
      </c>
      <c r="S1483" s="424"/>
      <c r="T1483" s="434" t="s">
        <v>473</v>
      </c>
      <c r="U1483" s="434" t="s">
        <v>474</v>
      </c>
      <c r="V1483" s="436" t="n">
        <f aca="false">AY1488</f>
        <v>0</v>
      </c>
    </row>
    <row r="1484" customFormat="false" ht="13.5" hidden="false" customHeight="false" outlineLevel="0" collapsed="false">
      <c r="A1484" s="440"/>
      <c r="B1484" s="435" t="str">
        <f aca="false">D1481</f>
        <v/>
      </c>
      <c r="C1484" s="424"/>
      <c r="D1484" s="424"/>
      <c r="E1484" s="424"/>
      <c r="F1484" s="424"/>
      <c r="G1484" s="424"/>
      <c r="H1484" s="424"/>
      <c r="I1484" s="424"/>
      <c r="J1484" s="424"/>
      <c r="K1484" s="424"/>
      <c r="L1484" s="424"/>
      <c r="M1484" s="424"/>
      <c r="N1484" s="424"/>
      <c r="O1484" s="424"/>
      <c r="P1484" s="438" t="s">
        <v>417</v>
      </c>
      <c r="Q1484" s="435" t="n">
        <v>21</v>
      </c>
      <c r="R1484" s="434" t="s">
        <v>475</v>
      </c>
      <c r="S1484" s="424"/>
      <c r="T1484" s="434" t="s">
        <v>476</v>
      </c>
      <c r="U1484" s="434" t="s">
        <v>477</v>
      </c>
      <c r="V1484" s="436" t="n">
        <f aca="false">AY1489</f>
        <v>0</v>
      </c>
    </row>
    <row r="1485" customFormat="false" ht="13.5" hidden="false" customHeight="false" outlineLevel="0" collapsed="false">
      <c r="A1485" s="440"/>
      <c r="B1485" s="435" t="e">
        <f aca="false">E1481</f>
        <v>#N/A</v>
      </c>
      <c r="C1485" s="424"/>
      <c r="D1485" s="424"/>
      <c r="E1485" s="424"/>
      <c r="F1485" s="424"/>
      <c r="G1485" s="424"/>
      <c r="H1485" s="424"/>
      <c r="I1485" s="424"/>
      <c r="J1485" s="424"/>
      <c r="K1485" s="424"/>
      <c r="L1485" s="424"/>
      <c r="M1485" s="424"/>
      <c r="N1485" s="424"/>
      <c r="O1485" s="424"/>
      <c r="P1485" s="424"/>
      <c r="Q1485" s="435" t="n">
        <v>22</v>
      </c>
      <c r="R1485" s="434" t="s">
        <v>478</v>
      </c>
      <c r="S1485" s="424"/>
      <c r="T1485" s="434" t="s">
        <v>479</v>
      </c>
      <c r="U1485" s="434" t="s">
        <v>480</v>
      </c>
      <c r="V1485" s="436" t="n">
        <f aca="false">AY1490</f>
        <v>0</v>
      </c>
    </row>
    <row r="1486" customFormat="false" ht="13.5" hidden="false" customHeight="false" outlineLevel="0" collapsed="false">
      <c r="A1486" s="440"/>
      <c r="B1486" s="435" t="e">
        <f aca="false">F1481</f>
        <v>#VALUE!</v>
      </c>
      <c r="C1486" s="424"/>
      <c r="D1486" s="424"/>
      <c r="E1486" s="424"/>
      <c r="F1486" s="424"/>
      <c r="G1486" s="424"/>
      <c r="H1486" s="424"/>
      <c r="I1486" s="424"/>
      <c r="J1486" s="424"/>
      <c r="K1486" s="424"/>
      <c r="L1486" s="424"/>
      <c r="M1486" s="424"/>
      <c r="N1486" s="424"/>
      <c r="O1486" s="424"/>
      <c r="P1486" s="438" t="s">
        <v>417</v>
      </c>
      <c r="Q1486" s="435" t="n">
        <v>23</v>
      </c>
      <c r="R1486" s="434" t="s">
        <v>481</v>
      </c>
      <c r="S1486" s="424"/>
      <c r="T1486" s="434" t="s">
        <v>482</v>
      </c>
      <c r="U1486" s="434" t="s">
        <v>483</v>
      </c>
      <c r="V1486" s="436" t="n">
        <f aca="false">AY1491</f>
        <v>0</v>
      </c>
    </row>
    <row r="1487" customFormat="false" ht="13.5" hidden="false" customHeight="false" outlineLevel="0" collapsed="false">
      <c r="A1487" s="424"/>
      <c r="B1487" s="424"/>
      <c r="C1487" s="424"/>
      <c r="D1487" s="424"/>
      <c r="E1487" s="424"/>
      <c r="F1487" s="424"/>
      <c r="G1487" s="424"/>
      <c r="H1487" s="424"/>
      <c r="I1487" s="424"/>
      <c r="J1487" s="424"/>
      <c r="K1487" s="424"/>
      <c r="L1487" s="424"/>
      <c r="M1487" s="424"/>
      <c r="N1487" s="424"/>
      <c r="O1487" s="424"/>
      <c r="P1487" s="438" t="s">
        <v>417</v>
      </c>
      <c r="Q1487" s="435" t="n">
        <v>24</v>
      </c>
      <c r="R1487" s="434" t="s">
        <v>484</v>
      </c>
      <c r="S1487" s="424"/>
      <c r="T1487" s="434" t="s">
        <v>485</v>
      </c>
      <c r="U1487" s="434" t="s">
        <v>486</v>
      </c>
      <c r="V1487" s="436" t="n">
        <f aca="false">AY1492</f>
        <v>0</v>
      </c>
    </row>
    <row r="1488" customFormat="false" ht="13.5" hidden="false" customHeight="false" outlineLevel="0" collapsed="false">
      <c r="A1488" s="424"/>
      <c r="B1488" s="424"/>
      <c r="C1488" s="424"/>
      <c r="D1488" s="424"/>
      <c r="E1488" s="424"/>
      <c r="F1488" s="424"/>
      <c r="G1488" s="424"/>
      <c r="H1488" s="424"/>
      <c r="I1488" s="424"/>
      <c r="J1488" s="424"/>
      <c r="K1488" s="424"/>
      <c r="L1488" s="424"/>
      <c r="M1488" s="424"/>
      <c r="N1488" s="424"/>
      <c r="O1488" s="424"/>
      <c r="P1488" s="438" t="s">
        <v>417</v>
      </c>
      <c r="Q1488" s="435" t="n">
        <v>25</v>
      </c>
      <c r="R1488" s="434" t="s">
        <v>487</v>
      </c>
      <c r="S1488" s="424"/>
      <c r="T1488" s="434" t="s">
        <v>488</v>
      </c>
      <c r="U1488" s="434" t="s">
        <v>489</v>
      </c>
      <c r="V1488" s="436" t="n">
        <f aca="false">AY1493</f>
        <v>0</v>
      </c>
    </row>
    <row r="1489" customFormat="false" ht="13.5" hidden="false" customHeight="false" outlineLevel="0" collapsed="false">
      <c r="A1489" s="424"/>
      <c r="B1489" s="424"/>
      <c r="C1489" s="424"/>
      <c r="D1489" s="424"/>
      <c r="E1489" s="424"/>
      <c r="F1489" s="424"/>
      <c r="G1489" s="424"/>
      <c r="H1489" s="424"/>
      <c r="I1489" s="424"/>
      <c r="J1489" s="424"/>
      <c r="K1489" s="424"/>
      <c r="L1489" s="424"/>
      <c r="M1489" s="424"/>
      <c r="N1489" s="424"/>
      <c r="O1489" s="424"/>
      <c r="P1489" s="438" t="s">
        <v>417</v>
      </c>
      <c r="Q1489" s="435" t="n">
        <v>26</v>
      </c>
      <c r="R1489" s="434" t="s">
        <v>490</v>
      </c>
      <c r="S1489" s="424"/>
      <c r="T1489" s="434" t="s">
        <v>491</v>
      </c>
      <c r="U1489" s="434" t="s">
        <v>492</v>
      </c>
      <c r="V1489" s="436" t="n">
        <f aca="false">AY1494</f>
        <v>0</v>
      </c>
    </row>
    <row r="1490" customFormat="false" ht="13.5" hidden="false" customHeight="false" outlineLevel="0" collapsed="false">
      <c r="A1490" s="424"/>
      <c r="B1490" s="424"/>
      <c r="C1490" s="424"/>
      <c r="D1490" s="424"/>
      <c r="E1490" s="424"/>
      <c r="F1490" s="424"/>
      <c r="G1490" s="424"/>
      <c r="H1490" s="424"/>
      <c r="I1490" s="424"/>
      <c r="J1490" s="424"/>
      <c r="K1490" s="424"/>
      <c r="L1490" s="424"/>
      <c r="M1490" s="424"/>
      <c r="N1490" s="424"/>
      <c r="O1490" s="424"/>
      <c r="P1490" s="424"/>
      <c r="Q1490" s="435" t="n">
        <v>27</v>
      </c>
      <c r="R1490" s="434" t="s">
        <v>493</v>
      </c>
      <c r="S1490" s="424"/>
      <c r="T1490" s="434" t="s">
        <v>494</v>
      </c>
      <c r="U1490" s="434" t="s">
        <v>495</v>
      </c>
      <c r="V1490" s="436" t="n">
        <f aca="false">AY1495</f>
        <v>0</v>
      </c>
    </row>
    <row r="1491" customFormat="false" ht="13.5" hidden="false" customHeight="false" outlineLevel="0" collapsed="false">
      <c r="A1491" s="424"/>
      <c r="B1491" s="424"/>
      <c r="C1491" s="424"/>
      <c r="D1491" s="424"/>
      <c r="E1491" s="424"/>
      <c r="F1491" s="424"/>
      <c r="G1491" s="424"/>
      <c r="H1491" s="424"/>
      <c r="I1491" s="424"/>
      <c r="J1491" s="424"/>
      <c r="K1491" s="424"/>
      <c r="L1491" s="424"/>
      <c r="M1491" s="424"/>
      <c r="N1491" s="424"/>
      <c r="O1491" s="424"/>
      <c r="P1491" s="424"/>
      <c r="Q1491" s="435" t="n">
        <v>28</v>
      </c>
      <c r="R1491" s="434" t="s">
        <v>496</v>
      </c>
      <c r="S1491" s="424"/>
      <c r="T1491" s="434" t="s">
        <v>497</v>
      </c>
      <c r="U1491" s="434" t="s">
        <v>498</v>
      </c>
      <c r="V1491" s="436" t="n">
        <f aca="false">AY1496</f>
        <v>0</v>
      </c>
    </row>
    <row r="1492" customFormat="false" ht="13.5" hidden="false" customHeight="false" outlineLevel="0" collapsed="false">
      <c r="A1492" s="424"/>
      <c r="B1492" s="424"/>
      <c r="C1492" s="424"/>
      <c r="D1492" s="424"/>
      <c r="E1492" s="424"/>
      <c r="F1492" s="424"/>
      <c r="G1492" s="424"/>
      <c r="H1492" s="424"/>
      <c r="I1492" s="424"/>
      <c r="J1492" s="424"/>
      <c r="K1492" s="424"/>
      <c r="L1492" s="424"/>
      <c r="M1492" s="424"/>
      <c r="N1492" s="424"/>
      <c r="O1492" s="424"/>
      <c r="P1492" s="424"/>
      <c r="Q1492" s="435" t="n">
        <v>29</v>
      </c>
      <c r="R1492" s="434" t="s">
        <v>499</v>
      </c>
      <c r="S1492" s="424"/>
      <c r="T1492" s="434" t="s">
        <v>500</v>
      </c>
      <c r="U1492" s="434" t="s">
        <v>501</v>
      </c>
      <c r="V1492" s="436" t="n">
        <f aca="false">AY1497</f>
        <v>0</v>
      </c>
    </row>
    <row r="1493" customFormat="false" ht="13.5" hidden="false" customHeight="false" outlineLevel="0" collapsed="false">
      <c r="A1493" s="424"/>
      <c r="B1493" s="424"/>
      <c r="C1493" s="424"/>
      <c r="D1493" s="424"/>
      <c r="E1493" s="424"/>
      <c r="F1493" s="424"/>
      <c r="G1493" s="424"/>
      <c r="H1493" s="424"/>
      <c r="I1493" s="424"/>
      <c r="J1493" s="424"/>
      <c r="K1493" s="424"/>
      <c r="L1493" s="424"/>
      <c r="M1493" s="424"/>
      <c r="N1493" s="424"/>
      <c r="O1493" s="424"/>
      <c r="P1493" s="424"/>
      <c r="Q1493" s="435" t="n">
        <v>30</v>
      </c>
      <c r="R1493" s="434" t="s">
        <v>502</v>
      </c>
      <c r="S1493" s="424"/>
      <c r="T1493" s="434" t="s">
        <v>503</v>
      </c>
      <c r="U1493" s="434" t="s">
        <v>504</v>
      </c>
      <c r="V1493" s="436" t="n">
        <f aca="false">AY1498</f>
        <v>0</v>
      </c>
    </row>
    <row r="1494" customFormat="false" ht="13.5" hidden="false" customHeight="false" outlineLevel="0" collapsed="false">
      <c r="A1494" s="424"/>
      <c r="B1494" s="424"/>
      <c r="C1494" s="424"/>
      <c r="D1494" s="424"/>
      <c r="E1494" s="424"/>
      <c r="F1494" s="424"/>
      <c r="G1494" s="424"/>
      <c r="H1494" s="424"/>
      <c r="I1494" s="424"/>
      <c r="J1494" s="424"/>
      <c r="K1494" s="424"/>
      <c r="L1494" s="424"/>
      <c r="M1494" s="424"/>
      <c r="N1494" s="424"/>
      <c r="O1494" s="424"/>
      <c r="P1494" s="424"/>
      <c r="Q1494" s="435" t="n">
        <v>31</v>
      </c>
      <c r="R1494" s="434" t="s">
        <v>505</v>
      </c>
      <c r="S1494" s="424"/>
      <c r="T1494" s="434" t="s">
        <v>506</v>
      </c>
      <c r="U1494" s="434" t="s">
        <v>507</v>
      </c>
      <c r="V1494" s="436" t="n">
        <f aca="false">AY1499</f>
        <v>0</v>
      </c>
    </row>
    <row r="1495" customFormat="false" ht="13.5" hidden="false" customHeight="false" outlineLevel="0" collapsed="false">
      <c r="A1495" s="424"/>
      <c r="B1495" s="424"/>
      <c r="C1495" s="424"/>
      <c r="D1495" s="424"/>
      <c r="E1495" s="424"/>
      <c r="F1495" s="424"/>
      <c r="G1495" s="424"/>
      <c r="H1495" s="424"/>
      <c r="I1495" s="424"/>
      <c r="J1495" s="424"/>
      <c r="K1495" s="424"/>
      <c r="L1495" s="424"/>
      <c r="M1495" s="424"/>
      <c r="N1495" s="424"/>
      <c r="O1495" s="424"/>
      <c r="P1495" s="424"/>
      <c r="Q1495" s="435" t="n">
        <v>32</v>
      </c>
      <c r="R1495" s="434" t="s">
        <v>508</v>
      </c>
      <c r="S1495" s="424"/>
      <c r="T1495" s="434" t="s">
        <v>509</v>
      </c>
      <c r="U1495" s="434" t="s">
        <v>510</v>
      </c>
      <c r="V1495" s="436" t="n">
        <f aca="false">AY1500</f>
        <v>0</v>
      </c>
    </row>
    <row r="1496" customFormat="false" ht="13.5" hidden="false" customHeight="false" outlineLevel="0" collapsed="false">
      <c r="A1496" s="440"/>
      <c r="B1496" s="435" t="e">
        <f aca="false">G1481</f>
        <v>#VALUE!</v>
      </c>
      <c r="C1496" s="424"/>
      <c r="D1496" s="424"/>
      <c r="E1496" s="424"/>
      <c r="F1496" s="424"/>
      <c r="G1496" s="424"/>
      <c r="H1496" s="424"/>
      <c r="I1496" s="424"/>
      <c r="J1496" s="424"/>
      <c r="K1496" s="424"/>
      <c r="L1496" s="424"/>
      <c r="M1496" s="424"/>
      <c r="N1496" s="424"/>
      <c r="O1496" s="424"/>
      <c r="P1496" s="424"/>
      <c r="Q1496" s="435" t="n">
        <v>33</v>
      </c>
      <c r="R1496" s="434" t="s">
        <v>511</v>
      </c>
      <c r="S1496" s="424"/>
      <c r="T1496" s="434" t="s">
        <v>512</v>
      </c>
      <c r="U1496" s="434" t="s">
        <v>513</v>
      </c>
      <c r="V1496" s="436" t="n">
        <f aca="false">AY1501</f>
        <v>0</v>
      </c>
    </row>
    <row r="1497" customFormat="false" ht="13.5" hidden="false" customHeight="false" outlineLevel="0" collapsed="false">
      <c r="A1497" s="440"/>
      <c r="B1497" s="435" t="str">
        <f aca="false">H1481</f>
        <v/>
      </c>
      <c r="C1497" s="424"/>
      <c r="D1497" s="424"/>
      <c r="E1497" s="424"/>
      <c r="F1497" s="424"/>
      <c r="G1497" s="424"/>
      <c r="H1497" s="424"/>
      <c r="I1497" s="424"/>
      <c r="J1497" s="424"/>
      <c r="K1497" s="424"/>
      <c r="L1497" s="424"/>
      <c r="M1497" s="424"/>
      <c r="N1497" s="424"/>
      <c r="O1497" s="424"/>
      <c r="P1497" s="424"/>
      <c r="Q1497" s="435" t="n">
        <v>34</v>
      </c>
      <c r="R1497" s="434" t="s">
        <v>514</v>
      </c>
      <c r="S1497" s="424"/>
      <c r="T1497" s="434" t="s">
        <v>515</v>
      </c>
      <c r="U1497" s="434" t="s">
        <v>516</v>
      </c>
      <c r="V1497" s="436" t="n">
        <f aca="false">AY1502</f>
        <v>0</v>
      </c>
    </row>
    <row r="1498" customFormat="false" ht="13.5" hidden="false" customHeight="false" outlineLevel="0" collapsed="false">
      <c r="A1498" s="440"/>
      <c r="B1498" s="435" t="str">
        <f aca="false">I1481</f>
        <v/>
      </c>
      <c r="C1498" s="424"/>
      <c r="D1498" s="424"/>
      <c r="E1498" s="424"/>
      <c r="F1498" s="424"/>
      <c r="G1498" s="424"/>
      <c r="H1498" s="424"/>
      <c r="I1498" s="424"/>
      <c r="J1498" s="424"/>
      <c r="K1498" s="424"/>
      <c r="L1498" s="424"/>
      <c r="M1498" s="424"/>
      <c r="N1498" s="424"/>
      <c r="O1498" s="424"/>
      <c r="P1498" s="424"/>
      <c r="Q1498" s="435" t="n">
        <v>35</v>
      </c>
      <c r="R1498" s="434" t="s">
        <v>517</v>
      </c>
      <c r="S1498" s="424"/>
      <c r="T1498" s="434" t="s">
        <v>518</v>
      </c>
      <c r="U1498" s="434" t="s">
        <v>519</v>
      </c>
      <c r="V1498" s="436" t="n">
        <f aca="false">AY1503</f>
        <v>0</v>
      </c>
    </row>
    <row r="1499" customFormat="false" ht="13.5" hidden="false" customHeight="false" outlineLevel="0" collapsed="false">
      <c r="A1499" s="440"/>
      <c r="B1499" s="435" t="str">
        <f aca="false">J1481</f>
        <v/>
      </c>
      <c r="C1499" s="424"/>
      <c r="D1499" s="424"/>
      <c r="E1499" s="424"/>
      <c r="F1499" s="424"/>
      <c r="G1499" s="424"/>
      <c r="H1499" s="424"/>
      <c r="I1499" s="424"/>
      <c r="J1499" s="424"/>
      <c r="K1499" s="424"/>
      <c r="L1499" s="424"/>
      <c r="M1499" s="424"/>
      <c r="N1499" s="424"/>
      <c r="O1499" s="424"/>
      <c r="P1499" s="424"/>
      <c r="Q1499" s="435" t="n">
        <v>36</v>
      </c>
      <c r="R1499" s="434" t="s">
        <v>520</v>
      </c>
      <c r="S1499" s="424"/>
      <c r="T1499" s="434" t="s">
        <v>521</v>
      </c>
      <c r="U1499" s="434" t="s">
        <v>522</v>
      </c>
      <c r="V1499" s="436" t="n">
        <f aca="false">AY1504</f>
        <v>0</v>
      </c>
    </row>
    <row r="1500" customFormat="false" ht="13.5" hidden="false" customHeight="false" outlineLevel="0" collapsed="false">
      <c r="A1500" s="440"/>
      <c r="B1500" s="440" t="str">
        <f aca="false">K1481</f>
        <v/>
      </c>
      <c r="C1500" s="424"/>
      <c r="D1500" s="424"/>
      <c r="E1500" s="424"/>
      <c r="F1500" s="424"/>
      <c r="G1500" s="424"/>
      <c r="H1500" s="424"/>
      <c r="I1500" s="424"/>
      <c r="J1500" s="424"/>
      <c r="K1500" s="424"/>
      <c r="L1500" s="424"/>
      <c r="M1500" s="424"/>
      <c r="N1500" s="424"/>
      <c r="O1500" s="424"/>
      <c r="P1500" s="424"/>
      <c r="Q1500" s="435" t="n">
        <v>37</v>
      </c>
      <c r="R1500" s="434" t="s">
        <v>523</v>
      </c>
      <c r="S1500" s="424"/>
      <c r="T1500" s="434" t="s">
        <v>524</v>
      </c>
      <c r="U1500" s="434" t="s">
        <v>525</v>
      </c>
      <c r="V1500" s="436" t="n">
        <f aca="false">AY1505</f>
        <v>0</v>
      </c>
    </row>
    <row r="1501" customFormat="false" ht="13.5" hidden="false" customHeight="false" outlineLevel="0" collapsed="false">
      <c r="A1501" s="440"/>
      <c r="B1501" s="435" t="str">
        <f aca="false">L1481</f>
        <v> Dua belas</v>
      </c>
      <c r="C1501" s="424"/>
      <c r="D1501" s="424"/>
      <c r="E1501" s="424"/>
      <c r="F1501" s="424"/>
      <c r="G1501" s="424"/>
      <c r="H1501" s="424"/>
      <c r="I1501" s="424"/>
      <c r="J1501" s="424"/>
      <c r="K1501" s="424"/>
      <c r="L1501" s="424"/>
      <c r="M1501" s="424"/>
      <c r="N1501" s="424"/>
      <c r="O1501" s="424"/>
      <c r="P1501" s="424"/>
      <c r="Q1501" s="435" t="n">
        <v>38</v>
      </c>
      <c r="R1501" s="434" t="s">
        <v>526</v>
      </c>
      <c r="S1501" s="424"/>
      <c r="T1501" s="434" t="s">
        <v>527</v>
      </c>
      <c r="U1501" s="434" t="s">
        <v>528</v>
      </c>
      <c r="V1501" s="436" t="n">
        <f aca="false">AY1506</f>
        <v>0</v>
      </c>
    </row>
    <row r="1502" customFormat="false" ht="13.5" hidden="false" customHeight="false" outlineLevel="0" collapsed="false">
      <c r="A1502" s="440"/>
      <c r="B1502" s="435" t="str">
        <f aca="false">M1481</f>
        <v> Rupiah </v>
      </c>
      <c r="C1502" s="424"/>
      <c r="D1502" s="424"/>
      <c r="E1502" s="424"/>
      <c r="F1502" s="424"/>
      <c r="G1502" s="424"/>
      <c r="H1502" s="424"/>
      <c r="I1502" s="424"/>
      <c r="J1502" s="424"/>
      <c r="K1502" s="424"/>
      <c r="L1502" s="424"/>
      <c r="M1502" s="424"/>
      <c r="N1502" s="424"/>
      <c r="O1502" s="424"/>
      <c r="P1502" s="424"/>
      <c r="Q1502" s="435" t="n">
        <v>39</v>
      </c>
      <c r="R1502" s="434" t="s">
        <v>529</v>
      </c>
      <c r="S1502" s="424"/>
      <c r="T1502" s="434" t="s">
        <v>530</v>
      </c>
      <c r="U1502" s="434" t="s">
        <v>531</v>
      </c>
      <c r="V1502" s="436" t="n">
        <f aca="false">AY1507</f>
        <v>0</v>
      </c>
    </row>
    <row r="1503" customFormat="false" ht="13.5" hidden="false" customHeight="false" outlineLevel="0" collapsed="false">
      <c r="A1503" s="436" t="e">
        <f aca="false">+#REF!</f>
        <v>#REF!</v>
      </c>
      <c r="B1503" s="435" t="str">
        <f aca="false">O1481</f>
        <v/>
      </c>
      <c r="C1503" s="424"/>
      <c r="D1503" s="424"/>
      <c r="E1503" s="424"/>
      <c r="F1503" s="424"/>
      <c r="G1503" s="424"/>
      <c r="H1503" s="424"/>
      <c r="I1503" s="424"/>
      <c r="J1503" s="424"/>
      <c r="K1503" s="424"/>
      <c r="L1503" s="424"/>
      <c r="M1503" s="424"/>
      <c r="N1503" s="424"/>
      <c r="O1503" s="424"/>
      <c r="P1503" s="424"/>
      <c r="Q1503" s="435" t="n">
        <v>40</v>
      </c>
      <c r="R1503" s="434" t="s">
        <v>532</v>
      </c>
      <c r="S1503" s="424"/>
      <c r="T1503" s="434" t="s">
        <v>533</v>
      </c>
      <c r="U1503" s="434" t="s">
        <v>534</v>
      </c>
      <c r="V1503" s="436" t="n">
        <f aca="false">AY1508</f>
        <v>0</v>
      </c>
    </row>
    <row r="1504" customFormat="false" ht="13.5" hidden="false" customHeight="false" outlineLevel="0" collapsed="false">
      <c r="A1504" s="440"/>
      <c r="B1504" s="435" t="str">
        <f aca="false">IF(N1479&gt;0,"-","====")</f>
        <v>====</v>
      </c>
      <c r="C1504" s="424"/>
      <c r="D1504" s="424"/>
      <c r="E1504" s="424"/>
      <c r="F1504" s="424"/>
      <c r="G1504" s="424"/>
      <c r="H1504" s="424"/>
      <c r="I1504" s="424"/>
      <c r="J1504" s="424"/>
      <c r="K1504" s="424"/>
      <c r="L1504" s="424"/>
      <c r="M1504" s="424"/>
      <c r="N1504" s="424"/>
      <c r="O1504" s="424"/>
      <c r="P1504" s="424"/>
      <c r="Q1504" s="435" t="n">
        <v>41</v>
      </c>
      <c r="R1504" s="434" t="s">
        <v>535</v>
      </c>
      <c r="S1504" s="424"/>
      <c r="T1504" s="434" t="s">
        <v>536</v>
      </c>
      <c r="U1504" s="434" t="s">
        <v>537</v>
      </c>
      <c r="V1504" s="436" t="n">
        <f aca="false">AY1509</f>
        <v>0</v>
      </c>
    </row>
    <row r="1505" customFormat="false" ht="13.5" hidden="false" customHeight="false" outlineLevel="0" collapsed="false">
      <c r="A1505" s="444" t="e">
        <f aca="false">B1481&amp;C1481&amp;D1481&amp;E1481&amp;F1481&amp;G1481&amp;H1481&amp;I1481&amp;J1481&amp;K1481&amp;L1481&amp;M1481&amp;O1481</f>
        <v>#N/A</v>
      </c>
      <c r="B1505" s="424"/>
      <c r="C1505" s="424"/>
      <c r="D1505" s="424"/>
      <c r="E1505" s="424"/>
      <c r="F1505" s="424"/>
      <c r="G1505" s="424"/>
      <c r="H1505" s="424"/>
      <c r="I1505" s="424"/>
      <c r="J1505" s="424"/>
      <c r="K1505" s="424"/>
      <c r="L1505" s="424"/>
      <c r="M1505" s="424"/>
      <c r="N1505" s="424"/>
      <c r="O1505" s="424"/>
      <c r="P1505" s="424"/>
      <c r="Q1505" s="435" t="n">
        <v>42</v>
      </c>
      <c r="R1505" s="434" t="s">
        <v>538</v>
      </c>
      <c r="S1505" s="424"/>
      <c r="T1505" s="434" t="s">
        <v>539</v>
      </c>
      <c r="U1505" s="434" t="s">
        <v>540</v>
      </c>
      <c r="V1505" s="436" t="n">
        <f aca="false">AY1510</f>
        <v>0</v>
      </c>
    </row>
    <row r="1506" customFormat="false" ht="13.5" hidden="false" customHeight="false" outlineLevel="0" collapsed="false">
      <c r="A1506" s="440" t="str">
        <f aca="false">I1481&amp;J1481&amp;K1481&amp;L1481&amp;M1481&amp;O1481</f>
        <v> Dua belas Rupiah </v>
      </c>
      <c r="B1506" s="424"/>
      <c r="C1506" s="424"/>
      <c r="D1506" s="424"/>
      <c r="E1506" s="424"/>
      <c r="F1506" s="424"/>
      <c r="G1506" s="424"/>
      <c r="H1506" s="424"/>
      <c r="I1506" s="424"/>
      <c r="J1506" s="424"/>
      <c r="K1506" s="424"/>
      <c r="L1506" s="424"/>
      <c r="M1506" s="424"/>
      <c r="N1506" s="424"/>
      <c r="O1506" s="424"/>
      <c r="P1506" s="424"/>
      <c r="Q1506" s="435" t="n">
        <v>43</v>
      </c>
      <c r="R1506" s="434" t="s">
        <v>541</v>
      </c>
      <c r="S1506" s="424"/>
      <c r="T1506" s="434" t="s">
        <v>542</v>
      </c>
      <c r="U1506" s="434" t="s">
        <v>543</v>
      </c>
      <c r="V1506" s="436" t="n">
        <f aca="false">AY1511</f>
        <v>0</v>
      </c>
    </row>
    <row r="1507" customFormat="false" ht="13.5" hidden="false" customHeight="false" outlineLevel="0" collapsed="false">
      <c r="A1507" s="440"/>
      <c r="B1507" s="424"/>
      <c r="C1507" s="424"/>
      <c r="D1507" s="424"/>
      <c r="E1507" s="424"/>
      <c r="F1507" s="424"/>
      <c r="G1507" s="424"/>
      <c r="H1507" s="424"/>
      <c r="I1507" s="424"/>
      <c r="J1507" s="424"/>
      <c r="K1507" s="424"/>
      <c r="L1507" s="424"/>
      <c r="M1507" s="424"/>
      <c r="N1507" s="424"/>
      <c r="O1507" s="424"/>
      <c r="P1507" s="424"/>
      <c r="Q1507" s="435" t="n">
        <v>44</v>
      </c>
      <c r="R1507" s="434" t="s">
        <v>544</v>
      </c>
      <c r="S1507" s="424"/>
      <c r="T1507" s="434" t="s">
        <v>545</v>
      </c>
      <c r="U1507" s="434" t="s">
        <v>546</v>
      </c>
      <c r="V1507" s="436" t="n">
        <f aca="false">AY1512</f>
        <v>0</v>
      </c>
    </row>
    <row r="1508" customFormat="false" ht="13.5" hidden="false" customHeight="false" outlineLevel="0" collapsed="false">
      <c r="A1508" s="440"/>
      <c r="B1508" s="424"/>
      <c r="C1508" s="424"/>
      <c r="D1508" s="424"/>
      <c r="E1508" s="424"/>
      <c r="F1508" s="424"/>
      <c r="G1508" s="424"/>
      <c r="H1508" s="424"/>
      <c r="I1508" s="424"/>
      <c r="J1508" s="424"/>
      <c r="K1508" s="424"/>
      <c r="L1508" s="424"/>
      <c r="M1508" s="424"/>
      <c r="N1508" s="424"/>
      <c r="O1508" s="424"/>
      <c r="P1508" s="424"/>
      <c r="Q1508" s="435" t="n">
        <v>45</v>
      </c>
      <c r="R1508" s="434" t="s">
        <v>547</v>
      </c>
      <c r="S1508" s="424"/>
      <c r="T1508" s="434" t="s">
        <v>548</v>
      </c>
      <c r="U1508" s="434" t="s">
        <v>549</v>
      </c>
      <c r="V1508" s="436" t="n">
        <f aca="false">AY1513</f>
        <v>0</v>
      </c>
    </row>
    <row r="1509" customFormat="false" ht="13.5" hidden="false" customHeight="false" outlineLevel="0" collapsed="false">
      <c r="A1509" s="440"/>
      <c r="B1509" s="424"/>
      <c r="C1509" s="424"/>
      <c r="D1509" s="424"/>
      <c r="E1509" s="424"/>
      <c r="F1509" s="424"/>
      <c r="G1509" s="424"/>
      <c r="H1509" s="424"/>
      <c r="I1509" s="424"/>
      <c r="J1509" s="424"/>
      <c r="K1509" s="424"/>
      <c r="L1509" s="424"/>
      <c r="M1509" s="424"/>
      <c r="N1509" s="424"/>
      <c r="O1509" s="424"/>
      <c r="P1509" s="424"/>
      <c r="Q1509" s="435" t="n">
        <v>46</v>
      </c>
      <c r="R1509" s="434" t="s">
        <v>550</v>
      </c>
      <c r="S1509" s="424"/>
      <c r="T1509" s="434" t="s">
        <v>551</v>
      </c>
      <c r="U1509" s="434" t="s">
        <v>552</v>
      </c>
      <c r="V1509" s="436" t="n">
        <f aca="false">AY1514</f>
        <v>0</v>
      </c>
    </row>
    <row r="1510" customFormat="false" ht="13.5" hidden="false" customHeight="false" outlineLevel="0" collapsed="false">
      <c r="A1510" s="440"/>
      <c r="B1510" s="424"/>
      <c r="C1510" s="424"/>
      <c r="D1510" s="424"/>
      <c r="E1510" s="424"/>
      <c r="F1510" s="424"/>
      <c r="G1510" s="424"/>
      <c r="H1510" s="424"/>
      <c r="I1510" s="424"/>
      <c r="J1510" s="424"/>
      <c r="K1510" s="424"/>
      <c r="L1510" s="424"/>
      <c r="M1510" s="424"/>
      <c r="N1510" s="424"/>
      <c r="O1510" s="424"/>
      <c r="P1510" s="424"/>
      <c r="Q1510" s="435" t="n">
        <v>47</v>
      </c>
      <c r="R1510" s="434" t="s">
        <v>553</v>
      </c>
      <c r="S1510" s="424"/>
      <c r="T1510" s="434" t="s">
        <v>554</v>
      </c>
      <c r="U1510" s="434" t="s">
        <v>555</v>
      </c>
      <c r="V1510" s="436" t="n">
        <f aca="false">AY1515</f>
        <v>0</v>
      </c>
    </row>
    <row r="1511" customFormat="false" ht="13.5" hidden="false" customHeight="false" outlineLevel="0" collapsed="false">
      <c r="A1511" s="424"/>
      <c r="B1511" s="424"/>
      <c r="C1511" s="424"/>
      <c r="D1511" s="424"/>
      <c r="E1511" s="424"/>
      <c r="F1511" s="424"/>
      <c r="G1511" s="424"/>
      <c r="H1511" s="424"/>
      <c r="I1511" s="424"/>
      <c r="J1511" s="424"/>
      <c r="K1511" s="424"/>
      <c r="L1511" s="424"/>
      <c r="M1511" s="424"/>
      <c r="N1511" s="424"/>
      <c r="O1511" s="424"/>
      <c r="P1511" s="424"/>
      <c r="Q1511" s="435" t="n">
        <v>48</v>
      </c>
      <c r="R1511" s="434" t="s">
        <v>556</v>
      </c>
      <c r="S1511" s="424"/>
      <c r="T1511" s="434" t="s">
        <v>557</v>
      </c>
      <c r="U1511" s="434" t="s">
        <v>558</v>
      </c>
      <c r="V1511" s="436" t="n">
        <f aca="false">AY1516</f>
        <v>0</v>
      </c>
    </row>
    <row r="1512" customFormat="false" ht="13.5" hidden="false" customHeight="false" outlineLevel="0" collapsed="false">
      <c r="A1512" s="424"/>
      <c r="B1512" s="424"/>
      <c r="C1512" s="424"/>
      <c r="D1512" s="424"/>
      <c r="E1512" s="424"/>
      <c r="F1512" s="424"/>
      <c r="G1512" s="424"/>
      <c r="H1512" s="424"/>
      <c r="I1512" s="424"/>
      <c r="J1512" s="424"/>
      <c r="K1512" s="424"/>
      <c r="L1512" s="424"/>
      <c r="M1512" s="424"/>
      <c r="N1512" s="424"/>
      <c r="O1512" s="424"/>
      <c r="P1512" s="424"/>
      <c r="Q1512" s="435" t="n">
        <v>49</v>
      </c>
      <c r="R1512" s="434" t="s">
        <v>559</v>
      </c>
      <c r="S1512" s="424"/>
      <c r="T1512" s="434" t="s">
        <v>560</v>
      </c>
      <c r="U1512" s="434" t="s">
        <v>561</v>
      </c>
      <c r="V1512" s="436" t="n">
        <f aca="false">AY1517</f>
        <v>0</v>
      </c>
    </row>
    <row r="1513" customFormat="false" ht="13.5" hidden="false" customHeight="false" outlineLevel="0" collapsed="false">
      <c r="A1513" s="424"/>
      <c r="B1513" s="424"/>
      <c r="C1513" s="424"/>
      <c r="D1513" s="424"/>
      <c r="E1513" s="424"/>
      <c r="F1513" s="424"/>
      <c r="G1513" s="424"/>
      <c r="H1513" s="424"/>
      <c r="I1513" s="424"/>
      <c r="J1513" s="424"/>
      <c r="K1513" s="424"/>
      <c r="L1513" s="424"/>
      <c r="M1513" s="424"/>
      <c r="N1513" s="424"/>
      <c r="O1513" s="424"/>
      <c r="P1513" s="424"/>
      <c r="Q1513" s="435" t="n">
        <v>50</v>
      </c>
      <c r="R1513" s="434" t="s">
        <v>562</v>
      </c>
      <c r="S1513" s="424"/>
      <c r="T1513" s="434" t="s">
        <v>563</v>
      </c>
      <c r="U1513" s="434" t="s">
        <v>564</v>
      </c>
      <c r="V1513" s="436" t="n">
        <f aca="false">AY1518</f>
        <v>0</v>
      </c>
    </row>
    <row r="1514" customFormat="false" ht="13.5" hidden="false" customHeight="false" outlineLevel="0" collapsed="false">
      <c r="A1514" s="424"/>
      <c r="B1514" s="424"/>
      <c r="C1514" s="424"/>
      <c r="D1514" s="424"/>
      <c r="E1514" s="424"/>
      <c r="F1514" s="424"/>
      <c r="G1514" s="424"/>
      <c r="H1514" s="424"/>
      <c r="I1514" s="424"/>
      <c r="J1514" s="424"/>
      <c r="K1514" s="424"/>
      <c r="L1514" s="424"/>
      <c r="M1514" s="424"/>
      <c r="N1514" s="424"/>
      <c r="O1514" s="424"/>
      <c r="P1514" s="424"/>
      <c r="Q1514" s="435" t="n">
        <v>51</v>
      </c>
      <c r="R1514" s="434" t="s">
        <v>565</v>
      </c>
      <c r="S1514" s="424"/>
      <c r="T1514" s="434" t="s">
        <v>566</v>
      </c>
      <c r="U1514" s="434" t="s">
        <v>567</v>
      </c>
      <c r="V1514" s="436" t="n">
        <f aca="false">AY1519</f>
        <v>0</v>
      </c>
    </row>
    <row r="1515" customFormat="false" ht="13.5" hidden="false" customHeight="false" outlineLevel="0" collapsed="false">
      <c r="A1515" s="424"/>
      <c r="B1515" s="424"/>
      <c r="C1515" s="424"/>
      <c r="D1515" s="424"/>
      <c r="E1515" s="424"/>
      <c r="F1515" s="424"/>
      <c r="G1515" s="424"/>
      <c r="H1515" s="424"/>
      <c r="I1515" s="424"/>
      <c r="J1515" s="424"/>
      <c r="K1515" s="424"/>
      <c r="L1515" s="424"/>
      <c r="M1515" s="424"/>
      <c r="N1515" s="424"/>
      <c r="O1515" s="424"/>
      <c r="P1515" s="424"/>
      <c r="Q1515" s="435" t="n">
        <v>52</v>
      </c>
      <c r="R1515" s="434" t="s">
        <v>568</v>
      </c>
      <c r="S1515" s="424"/>
      <c r="T1515" s="434" t="s">
        <v>569</v>
      </c>
      <c r="U1515" s="434" t="s">
        <v>570</v>
      </c>
      <c r="V1515" s="436" t="n">
        <f aca="false">AY1520</f>
        <v>0</v>
      </c>
    </row>
    <row r="1516" customFormat="false" ht="13.5" hidden="false" customHeight="false" outlineLevel="0" collapsed="false">
      <c r="A1516" s="424"/>
      <c r="B1516" s="424"/>
      <c r="C1516" s="424"/>
      <c r="D1516" s="424"/>
      <c r="E1516" s="424"/>
      <c r="F1516" s="424"/>
      <c r="G1516" s="424"/>
      <c r="H1516" s="424"/>
      <c r="I1516" s="424"/>
      <c r="J1516" s="424"/>
      <c r="K1516" s="424"/>
      <c r="L1516" s="424"/>
      <c r="M1516" s="424"/>
      <c r="N1516" s="424"/>
      <c r="O1516" s="424"/>
      <c r="P1516" s="424"/>
      <c r="Q1516" s="435" t="n">
        <v>53</v>
      </c>
      <c r="R1516" s="434" t="s">
        <v>571</v>
      </c>
      <c r="S1516" s="424"/>
      <c r="T1516" s="434" t="s">
        <v>572</v>
      </c>
      <c r="U1516" s="434" t="s">
        <v>573</v>
      </c>
      <c r="V1516" s="436" t="n">
        <f aca="false">AY1521</f>
        <v>0</v>
      </c>
    </row>
    <row r="1517" customFormat="false" ht="13.5" hidden="false" customHeight="false" outlineLevel="0" collapsed="false">
      <c r="A1517" s="424"/>
      <c r="B1517" s="424"/>
      <c r="C1517" s="424"/>
      <c r="D1517" s="424"/>
      <c r="E1517" s="424"/>
      <c r="F1517" s="424"/>
      <c r="G1517" s="424"/>
      <c r="H1517" s="424"/>
      <c r="I1517" s="424"/>
      <c r="J1517" s="424"/>
      <c r="K1517" s="424"/>
      <c r="L1517" s="424"/>
      <c r="M1517" s="424"/>
      <c r="N1517" s="424"/>
      <c r="O1517" s="424"/>
      <c r="P1517" s="424"/>
      <c r="Q1517" s="435" t="n">
        <v>54</v>
      </c>
      <c r="R1517" s="434" t="s">
        <v>574</v>
      </c>
      <c r="S1517" s="424"/>
      <c r="T1517" s="434" t="s">
        <v>575</v>
      </c>
      <c r="U1517" s="434" t="s">
        <v>576</v>
      </c>
      <c r="V1517" s="436" t="n">
        <f aca="false">AY1522</f>
        <v>0</v>
      </c>
    </row>
    <row r="1518" customFormat="false" ht="13.5" hidden="false" customHeight="false" outlineLevel="0" collapsed="false">
      <c r="A1518" s="424"/>
      <c r="B1518" s="424"/>
      <c r="C1518" s="424"/>
      <c r="D1518" s="424"/>
      <c r="E1518" s="424"/>
      <c r="F1518" s="424"/>
      <c r="G1518" s="424"/>
      <c r="H1518" s="424"/>
      <c r="I1518" s="424"/>
      <c r="J1518" s="424"/>
      <c r="K1518" s="424"/>
      <c r="L1518" s="424"/>
      <c r="M1518" s="424"/>
      <c r="N1518" s="424"/>
      <c r="O1518" s="424"/>
      <c r="P1518" s="424"/>
      <c r="Q1518" s="435" t="n">
        <v>55</v>
      </c>
      <c r="R1518" s="434" t="s">
        <v>577</v>
      </c>
      <c r="S1518" s="424"/>
      <c r="T1518" s="434" t="s">
        <v>578</v>
      </c>
      <c r="U1518" s="434" t="s">
        <v>579</v>
      </c>
      <c r="V1518" s="436" t="n">
        <f aca="false">AY1523</f>
        <v>0</v>
      </c>
    </row>
    <row r="1519" customFormat="false" ht="13.5" hidden="false" customHeight="false" outlineLevel="0" collapsed="false">
      <c r="A1519" s="424"/>
      <c r="B1519" s="424"/>
      <c r="C1519" s="424"/>
      <c r="D1519" s="424"/>
      <c r="E1519" s="424"/>
      <c r="F1519" s="424"/>
      <c r="G1519" s="424"/>
      <c r="H1519" s="424"/>
      <c r="I1519" s="424"/>
      <c r="J1519" s="424"/>
      <c r="K1519" s="424"/>
      <c r="L1519" s="424"/>
      <c r="M1519" s="424"/>
      <c r="N1519" s="424"/>
      <c r="O1519" s="424"/>
      <c r="P1519" s="424"/>
      <c r="Q1519" s="435" t="n">
        <v>56</v>
      </c>
      <c r="R1519" s="434" t="s">
        <v>580</v>
      </c>
      <c r="S1519" s="424"/>
      <c r="T1519" s="434" t="s">
        <v>581</v>
      </c>
      <c r="U1519" s="434" t="s">
        <v>582</v>
      </c>
      <c r="V1519" s="436" t="n">
        <f aca="false">AY1524</f>
        <v>0</v>
      </c>
    </row>
    <row r="1520" customFormat="false" ht="13.5" hidden="false" customHeight="false" outlineLevel="0" collapsed="false">
      <c r="A1520" s="424"/>
      <c r="B1520" s="424"/>
      <c r="C1520" s="424"/>
      <c r="D1520" s="424"/>
      <c r="E1520" s="424"/>
      <c r="F1520" s="424"/>
      <c r="G1520" s="424"/>
      <c r="H1520" s="424"/>
      <c r="I1520" s="424"/>
      <c r="J1520" s="424"/>
      <c r="K1520" s="424"/>
      <c r="L1520" s="424"/>
      <c r="M1520" s="424"/>
      <c r="N1520" s="424"/>
      <c r="O1520" s="424"/>
      <c r="P1520" s="424"/>
      <c r="Q1520" s="435" t="n">
        <v>57</v>
      </c>
      <c r="R1520" s="434" t="s">
        <v>583</v>
      </c>
      <c r="S1520" s="424"/>
      <c r="T1520" s="434" t="s">
        <v>584</v>
      </c>
      <c r="U1520" s="434" t="s">
        <v>585</v>
      </c>
      <c r="V1520" s="436" t="n">
        <f aca="false">AY1525</f>
        <v>0</v>
      </c>
    </row>
    <row r="1521" customFormat="false" ht="13.5" hidden="false" customHeight="false" outlineLevel="0" collapsed="false">
      <c r="A1521" s="424"/>
      <c r="B1521" s="424"/>
      <c r="C1521" s="424"/>
      <c r="D1521" s="424"/>
      <c r="E1521" s="424"/>
      <c r="F1521" s="424"/>
      <c r="G1521" s="424"/>
      <c r="H1521" s="424"/>
      <c r="I1521" s="424"/>
      <c r="J1521" s="424"/>
      <c r="K1521" s="424"/>
      <c r="L1521" s="424"/>
      <c r="M1521" s="424"/>
      <c r="N1521" s="424"/>
      <c r="O1521" s="424"/>
      <c r="P1521" s="424"/>
      <c r="Q1521" s="435" t="n">
        <v>58</v>
      </c>
      <c r="R1521" s="434" t="s">
        <v>586</v>
      </c>
      <c r="S1521" s="424"/>
      <c r="T1521" s="434" t="s">
        <v>587</v>
      </c>
      <c r="U1521" s="434" t="s">
        <v>588</v>
      </c>
      <c r="V1521" s="436" t="n">
        <f aca="false">AY1526</f>
        <v>0</v>
      </c>
    </row>
    <row r="1522" customFormat="false" ht="13.5" hidden="false" customHeight="false" outlineLevel="0" collapsed="false">
      <c r="A1522" s="424"/>
      <c r="B1522" s="424"/>
      <c r="C1522" s="424"/>
      <c r="D1522" s="424"/>
      <c r="E1522" s="424"/>
      <c r="F1522" s="424"/>
      <c r="G1522" s="424"/>
      <c r="H1522" s="424"/>
      <c r="I1522" s="424"/>
      <c r="J1522" s="424"/>
      <c r="K1522" s="424"/>
      <c r="L1522" s="424"/>
      <c r="M1522" s="424"/>
      <c r="N1522" s="424"/>
      <c r="O1522" s="424"/>
      <c r="P1522" s="424"/>
      <c r="Q1522" s="435" t="n">
        <v>59</v>
      </c>
      <c r="R1522" s="434" t="s">
        <v>589</v>
      </c>
      <c r="S1522" s="424"/>
      <c r="T1522" s="434" t="s">
        <v>590</v>
      </c>
      <c r="U1522" s="434" t="s">
        <v>591</v>
      </c>
      <c r="V1522" s="436" t="n">
        <f aca="false">AY1527</f>
        <v>0</v>
      </c>
    </row>
    <row r="1523" customFormat="false" ht="13.5" hidden="false" customHeight="false" outlineLevel="0" collapsed="false">
      <c r="A1523" s="424"/>
      <c r="B1523" s="424"/>
      <c r="C1523" s="424"/>
      <c r="D1523" s="424"/>
      <c r="E1523" s="424"/>
      <c r="F1523" s="424"/>
      <c r="G1523" s="424"/>
      <c r="H1523" s="424"/>
      <c r="I1523" s="424"/>
      <c r="J1523" s="424"/>
      <c r="K1523" s="424"/>
      <c r="L1523" s="424"/>
      <c r="M1523" s="424"/>
      <c r="N1523" s="424"/>
      <c r="O1523" s="424"/>
      <c r="P1523" s="424"/>
      <c r="Q1523" s="435" t="n">
        <v>60</v>
      </c>
      <c r="R1523" s="434" t="s">
        <v>592</v>
      </c>
      <c r="S1523" s="424"/>
      <c r="T1523" s="434" t="s">
        <v>593</v>
      </c>
      <c r="U1523" s="434" t="s">
        <v>594</v>
      </c>
      <c r="V1523" s="436" t="n">
        <f aca="false">AY1528</f>
        <v>0</v>
      </c>
    </row>
    <row r="1524" customFormat="false" ht="13.5" hidden="false" customHeight="false" outlineLevel="0" collapsed="false">
      <c r="A1524" s="424"/>
      <c r="B1524" s="424"/>
      <c r="C1524" s="424"/>
      <c r="D1524" s="424"/>
      <c r="E1524" s="424"/>
      <c r="F1524" s="424"/>
      <c r="G1524" s="424"/>
      <c r="H1524" s="424"/>
      <c r="I1524" s="424"/>
      <c r="J1524" s="424"/>
      <c r="K1524" s="424"/>
      <c r="L1524" s="424"/>
      <c r="M1524" s="424"/>
      <c r="N1524" s="424"/>
      <c r="O1524" s="424"/>
      <c r="P1524" s="424"/>
      <c r="Q1524" s="435" t="n">
        <v>61</v>
      </c>
      <c r="R1524" s="434" t="s">
        <v>595</v>
      </c>
      <c r="S1524" s="424"/>
      <c r="T1524" s="434" t="s">
        <v>596</v>
      </c>
      <c r="U1524" s="434" t="s">
        <v>597</v>
      </c>
      <c r="V1524" s="436" t="n">
        <f aca="false">AY1529</f>
        <v>0</v>
      </c>
    </row>
    <row r="1525" customFormat="false" ht="13.5" hidden="false" customHeight="false" outlineLevel="0" collapsed="false">
      <c r="A1525" s="424"/>
      <c r="B1525" s="424"/>
      <c r="C1525" s="424"/>
      <c r="D1525" s="424"/>
      <c r="E1525" s="424"/>
      <c r="F1525" s="424"/>
      <c r="G1525" s="424"/>
      <c r="H1525" s="424"/>
      <c r="I1525" s="424"/>
      <c r="J1525" s="424"/>
      <c r="K1525" s="424"/>
      <c r="L1525" s="424"/>
      <c r="M1525" s="424"/>
      <c r="N1525" s="424"/>
      <c r="O1525" s="424"/>
      <c r="P1525" s="424"/>
      <c r="Q1525" s="435" t="n">
        <v>62</v>
      </c>
      <c r="R1525" s="434" t="s">
        <v>598</v>
      </c>
      <c r="S1525" s="424"/>
      <c r="T1525" s="434" t="s">
        <v>599</v>
      </c>
      <c r="U1525" s="434" t="s">
        <v>600</v>
      </c>
      <c r="V1525" s="436" t="n">
        <f aca="false">AY1530</f>
        <v>0</v>
      </c>
    </row>
    <row r="1526" customFormat="false" ht="13.5" hidden="false" customHeight="false" outlineLevel="0" collapsed="false">
      <c r="A1526" s="424"/>
      <c r="B1526" s="424"/>
      <c r="C1526" s="424"/>
      <c r="D1526" s="424"/>
      <c r="E1526" s="424"/>
      <c r="F1526" s="424"/>
      <c r="G1526" s="424"/>
      <c r="H1526" s="424"/>
      <c r="I1526" s="424"/>
      <c r="J1526" s="424"/>
      <c r="K1526" s="424"/>
      <c r="L1526" s="424"/>
      <c r="M1526" s="424"/>
      <c r="N1526" s="424"/>
      <c r="O1526" s="424"/>
      <c r="P1526" s="424"/>
      <c r="Q1526" s="435" t="n">
        <v>63</v>
      </c>
      <c r="R1526" s="434" t="s">
        <v>601</v>
      </c>
      <c r="S1526" s="424"/>
      <c r="T1526" s="434" t="s">
        <v>602</v>
      </c>
      <c r="U1526" s="434" t="s">
        <v>603</v>
      </c>
      <c r="V1526" s="436" t="n">
        <f aca="false">AY1531</f>
        <v>0</v>
      </c>
    </row>
    <row r="1527" customFormat="false" ht="13.5" hidden="false" customHeight="false" outlineLevel="0" collapsed="false">
      <c r="A1527" s="424"/>
      <c r="B1527" s="424"/>
      <c r="C1527" s="424"/>
      <c r="D1527" s="424"/>
      <c r="E1527" s="424"/>
      <c r="F1527" s="424"/>
      <c r="G1527" s="424"/>
      <c r="H1527" s="424"/>
      <c r="I1527" s="424"/>
      <c r="J1527" s="424"/>
      <c r="K1527" s="424"/>
      <c r="L1527" s="424"/>
      <c r="M1527" s="424"/>
      <c r="N1527" s="424"/>
      <c r="O1527" s="424"/>
      <c r="P1527" s="424"/>
      <c r="Q1527" s="435" t="n">
        <v>64</v>
      </c>
      <c r="R1527" s="434" t="s">
        <v>604</v>
      </c>
      <c r="S1527" s="424"/>
      <c r="T1527" s="434" t="s">
        <v>605</v>
      </c>
      <c r="U1527" s="434" t="s">
        <v>606</v>
      </c>
      <c r="V1527" s="436" t="n">
        <f aca="false">AY1532</f>
        <v>0</v>
      </c>
    </row>
    <row r="1528" customFormat="false" ht="13.5" hidden="false" customHeight="false" outlineLevel="0" collapsed="false">
      <c r="A1528" s="424"/>
      <c r="B1528" s="424"/>
      <c r="C1528" s="424"/>
      <c r="D1528" s="424"/>
      <c r="E1528" s="424"/>
      <c r="F1528" s="424"/>
      <c r="G1528" s="424"/>
      <c r="H1528" s="424"/>
      <c r="I1528" s="424"/>
      <c r="J1528" s="424"/>
      <c r="K1528" s="424"/>
      <c r="L1528" s="424"/>
      <c r="M1528" s="424"/>
      <c r="N1528" s="424"/>
      <c r="O1528" s="424"/>
      <c r="P1528" s="424"/>
      <c r="Q1528" s="435" t="n">
        <v>65</v>
      </c>
      <c r="R1528" s="434" t="s">
        <v>607</v>
      </c>
      <c r="S1528" s="424"/>
      <c r="T1528" s="434" t="s">
        <v>608</v>
      </c>
      <c r="U1528" s="434" t="s">
        <v>609</v>
      </c>
      <c r="V1528" s="436" t="n">
        <f aca="false">AY1533</f>
        <v>0</v>
      </c>
    </row>
    <row r="1529" customFormat="false" ht="13.5" hidden="false" customHeight="false" outlineLevel="0" collapsed="false">
      <c r="A1529" s="424"/>
      <c r="B1529" s="424"/>
      <c r="C1529" s="424"/>
      <c r="D1529" s="424"/>
      <c r="E1529" s="424"/>
      <c r="F1529" s="424"/>
      <c r="G1529" s="424"/>
      <c r="H1529" s="424"/>
      <c r="I1529" s="424"/>
      <c r="J1529" s="424"/>
      <c r="K1529" s="424"/>
      <c r="L1529" s="424"/>
      <c r="M1529" s="424"/>
      <c r="N1529" s="424"/>
      <c r="O1529" s="424"/>
      <c r="P1529" s="424"/>
      <c r="Q1529" s="435" t="n">
        <v>66</v>
      </c>
      <c r="R1529" s="434" t="s">
        <v>610</v>
      </c>
      <c r="S1529" s="424"/>
      <c r="T1529" s="434" t="s">
        <v>611</v>
      </c>
      <c r="U1529" s="434" t="s">
        <v>612</v>
      </c>
      <c r="V1529" s="436" t="n">
        <f aca="false">AY1534</f>
        <v>0</v>
      </c>
    </row>
    <row r="1530" customFormat="false" ht="13.5" hidden="false" customHeight="false" outlineLevel="0" collapsed="false">
      <c r="A1530" s="424"/>
      <c r="B1530" s="424"/>
      <c r="C1530" s="424"/>
      <c r="D1530" s="424"/>
      <c r="E1530" s="424"/>
      <c r="F1530" s="424"/>
      <c r="G1530" s="424"/>
      <c r="H1530" s="424"/>
      <c r="I1530" s="424"/>
      <c r="J1530" s="424"/>
      <c r="K1530" s="424"/>
      <c r="L1530" s="424"/>
      <c r="M1530" s="424"/>
      <c r="N1530" s="424"/>
      <c r="O1530" s="424"/>
      <c r="P1530" s="424"/>
      <c r="Q1530" s="435" t="n">
        <v>67</v>
      </c>
      <c r="R1530" s="434" t="s">
        <v>613</v>
      </c>
      <c r="S1530" s="424"/>
      <c r="T1530" s="434" t="s">
        <v>614</v>
      </c>
      <c r="U1530" s="434" t="s">
        <v>615</v>
      </c>
      <c r="V1530" s="436" t="n">
        <f aca="false">AY1535</f>
        <v>0</v>
      </c>
    </row>
    <row r="1531" customFormat="false" ht="13.5" hidden="false" customHeight="false" outlineLevel="0" collapsed="false">
      <c r="A1531" s="424"/>
      <c r="B1531" s="424"/>
      <c r="C1531" s="424"/>
      <c r="D1531" s="424"/>
      <c r="E1531" s="424"/>
      <c r="F1531" s="424"/>
      <c r="G1531" s="424"/>
      <c r="H1531" s="424"/>
      <c r="I1531" s="424"/>
      <c r="J1531" s="424"/>
      <c r="K1531" s="424"/>
      <c r="L1531" s="424"/>
      <c r="M1531" s="424"/>
      <c r="N1531" s="424"/>
      <c r="O1531" s="424"/>
      <c r="P1531" s="424"/>
      <c r="Q1531" s="435" t="n">
        <v>68</v>
      </c>
      <c r="R1531" s="434" t="s">
        <v>616</v>
      </c>
      <c r="S1531" s="424"/>
      <c r="T1531" s="434" t="s">
        <v>617</v>
      </c>
      <c r="U1531" s="434" t="s">
        <v>618</v>
      </c>
      <c r="V1531" s="436" t="n">
        <f aca="false">AY1536</f>
        <v>0</v>
      </c>
    </row>
    <row r="1532" customFormat="false" ht="13.5" hidden="false" customHeight="false" outlineLevel="0" collapsed="false">
      <c r="A1532" s="424"/>
      <c r="B1532" s="424"/>
      <c r="C1532" s="424"/>
      <c r="D1532" s="424"/>
      <c r="E1532" s="424"/>
      <c r="F1532" s="424"/>
      <c r="G1532" s="424"/>
      <c r="H1532" s="424"/>
      <c r="I1532" s="424"/>
      <c r="J1532" s="424"/>
      <c r="K1532" s="424"/>
      <c r="L1532" s="424"/>
      <c r="M1532" s="424"/>
      <c r="N1532" s="424"/>
      <c r="O1532" s="424"/>
      <c r="P1532" s="424"/>
      <c r="Q1532" s="435" t="n">
        <v>69</v>
      </c>
      <c r="R1532" s="434" t="s">
        <v>619</v>
      </c>
      <c r="S1532" s="424"/>
      <c r="T1532" s="434" t="s">
        <v>620</v>
      </c>
      <c r="U1532" s="434" t="s">
        <v>621</v>
      </c>
      <c r="V1532" s="436" t="n">
        <f aca="false">AY1537</f>
        <v>0</v>
      </c>
    </row>
    <row r="1533" customFormat="false" ht="13.5" hidden="false" customHeight="false" outlineLevel="0" collapsed="false">
      <c r="A1533" s="424"/>
      <c r="B1533" s="424"/>
      <c r="C1533" s="424"/>
      <c r="D1533" s="424"/>
      <c r="E1533" s="424"/>
      <c r="F1533" s="424"/>
      <c r="G1533" s="424"/>
      <c r="H1533" s="424"/>
      <c r="I1533" s="424"/>
      <c r="J1533" s="424"/>
      <c r="K1533" s="424"/>
      <c r="L1533" s="424"/>
      <c r="M1533" s="424"/>
      <c r="N1533" s="424"/>
      <c r="O1533" s="424"/>
      <c r="P1533" s="424"/>
      <c r="Q1533" s="435" t="n">
        <v>70</v>
      </c>
      <c r="R1533" s="434" t="s">
        <v>622</v>
      </c>
      <c r="S1533" s="424"/>
      <c r="T1533" s="434" t="s">
        <v>623</v>
      </c>
      <c r="U1533" s="434" t="s">
        <v>624</v>
      </c>
      <c r="V1533" s="436" t="n">
        <f aca="false">AY1538</f>
        <v>0</v>
      </c>
    </row>
    <row r="1534" customFormat="false" ht="13.5" hidden="false" customHeight="false" outlineLevel="0" collapsed="false">
      <c r="A1534" s="424"/>
      <c r="B1534" s="424"/>
      <c r="C1534" s="424"/>
      <c r="D1534" s="424"/>
      <c r="E1534" s="424"/>
      <c r="F1534" s="424"/>
      <c r="G1534" s="424"/>
      <c r="H1534" s="424"/>
      <c r="I1534" s="424"/>
      <c r="J1534" s="424"/>
      <c r="K1534" s="424"/>
      <c r="L1534" s="424"/>
      <c r="M1534" s="424"/>
      <c r="N1534" s="424"/>
      <c r="O1534" s="424"/>
      <c r="P1534" s="424"/>
      <c r="Q1534" s="435" t="n">
        <v>71</v>
      </c>
      <c r="R1534" s="434" t="s">
        <v>625</v>
      </c>
      <c r="S1534" s="424"/>
      <c r="T1534" s="434" t="s">
        <v>626</v>
      </c>
      <c r="U1534" s="434" t="s">
        <v>627</v>
      </c>
      <c r="V1534" s="436" t="n">
        <f aca="false">AY1539</f>
        <v>0</v>
      </c>
    </row>
    <row r="1535" customFormat="false" ht="13.5" hidden="false" customHeight="false" outlineLevel="0" collapsed="false">
      <c r="A1535" s="424"/>
      <c r="B1535" s="424"/>
      <c r="C1535" s="424"/>
      <c r="D1535" s="424"/>
      <c r="E1535" s="424"/>
      <c r="F1535" s="424"/>
      <c r="G1535" s="424"/>
      <c r="H1535" s="424"/>
      <c r="I1535" s="424"/>
      <c r="J1535" s="424"/>
      <c r="K1535" s="424"/>
      <c r="L1535" s="424"/>
      <c r="M1535" s="424"/>
      <c r="N1535" s="424"/>
      <c r="O1535" s="424"/>
      <c r="P1535" s="424"/>
      <c r="Q1535" s="435" t="n">
        <v>72</v>
      </c>
      <c r="R1535" s="434" t="s">
        <v>628</v>
      </c>
      <c r="S1535" s="424"/>
      <c r="T1535" s="434" t="s">
        <v>629</v>
      </c>
      <c r="U1535" s="434" t="s">
        <v>630</v>
      </c>
      <c r="V1535" s="436" t="n">
        <f aca="false">AY1540</f>
        <v>0</v>
      </c>
    </row>
    <row r="1536" customFormat="false" ht="13.5" hidden="false" customHeight="false" outlineLevel="0" collapsed="false">
      <c r="A1536" s="424"/>
      <c r="B1536" s="424"/>
      <c r="C1536" s="424"/>
      <c r="D1536" s="424"/>
      <c r="E1536" s="424"/>
      <c r="F1536" s="424"/>
      <c r="G1536" s="424"/>
      <c r="H1536" s="424"/>
      <c r="I1536" s="424"/>
      <c r="J1536" s="424"/>
      <c r="K1536" s="424"/>
      <c r="L1536" s="424"/>
      <c r="M1536" s="424"/>
      <c r="N1536" s="424"/>
      <c r="O1536" s="424"/>
      <c r="P1536" s="424"/>
      <c r="Q1536" s="435" t="n">
        <v>73</v>
      </c>
      <c r="R1536" s="434" t="s">
        <v>631</v>
      </c>
      <c r="S1536" s="424"/>
      <c r="T1536" s="434" t="s">
        <v>632</v>
      </c>
      <c r="U1536" s="434" t="s">
        <v>633</v>
      </c>
      <c r="V1536" s="436" t="n">
        <f aca="false">AY1541</f>
        <v>0</v>
      </c>
    </row>
    <row r="1537" customFormat="false" ht="13.5" hidden="false" customHeight="false" outlineLevel="0" collapsed="false">
      <c r="A1537" s="424"/>
      <c r="B1537" s="424"/>
      <c r="C1537" s="424"/>
      <c r="D1537" s="424"/>
      <c r="E1537" s="424"/>
      <c r="F1537" s="424"/>
      <c r="G1537" s="424"/>
      <c r="H1537" s="424"/>
      <c r="I1537" s="424"/>
      <c r="J1537" s="424"/>
      <c r="K1537" s="424"/>
      <c r="L1537" s="424"/>
      <c r="M1537" s="424"/>
      <c r="N1537" s="424"/>
      <c r="O1537" s="424"/>
      <c r="P1537" s="424"/>
      <c r="Q1537" s="435" t="n">
        <v>74</v>
      </c>
      <c r="R1537" s="434" t="s">
        <v>634</v>
      </c>
      <c r="S1537" s="424"/>
      <c r="T1537" s="434" t="s">
        <v>635</v>
      </c>
      <c r="U1537" s="434" t="s">
        <v>636</v>
      </c>
      <c r="V1537" s="436" t="n">
        <f aca="false">AY1542</f>
        <v>0</v>
      </c>
    </row>
    <row r="1538" customFormat="false" ht="13.5" hidden="false" customHeight="false" outlineLevel="0" collapsed="false">
      <c r="A1538" s="424"/>
      <c r="B1538" s="424"/>
      <c r="C1538" s="424"/>
      <c r="D1538" s="424"/>
      <c r="E1538" s="424"/>
      <c r="F1538" s="424"/>
      <c r="G1538" s="424"/>
      <c r="H1538" s="424"/>
      <c r="I1538" s="424"/>
      <c r="J1538" s="424"/>
      <c r="K1538" s="424"/>
      <c r="L1538" s="424"/>
      <c r="M1538" s="424"/>
      <c r="N1538" s="424"/>
      <c r="O1538" s="424"/>
      <c r="P1538" s="424"/>
      <c r="Q1538" s="435" t="n">
        <v>75</v>
      </c>
      <c r="R1538" s="434" t="s">
        <v>637</v>
      </c>
      <c r="S1538" s="424"/>
      <c r="T1538" s="434" t="s">
        <v>638</v>
      </c>
      <c r="U1538" s="434" t="s">
        <v>639</v>
      </c>
      <c r="V1538" s="436" t="n">
        <f aca="false">AY1543</f>
        <v>0</v>
      </c>
    </row>
    <row r="1539" customFormat="false" ht="13.5" hidden="false" customHeight="false" outlineLevel="0" collapsed="false">
      <c r="A1539" s="424"/>
      <c r="B1539" s="424"/>
      <c r="C1539" s="424"/>
      <c r="D1539" s="424"/>
      <c r="E1539" s="424"/>
      <c r="F1539" s="424"/>
      <c r="G1539" s="424"/>
      <c r="H1539" s="424"/>
      <c r="I1539" s="424"/>
      <c r="J1539" s="424"/>
      <c r="K1539" s="424"/>
      <c r="L1539" s="424"/>
      <c r="M1539" s="424"/>
      <c r="N1539" s="424"/>
      <c r="O1539" s="424"/>
      <c r="P1539" s="424"/>
      <c r="Q1539" s="435" t="n">
        <v>76</v>
      </c>
      <c r="R1539" s="434" t="s">
        <v>640</v>
      </c>
      <c r="S1539" s="424"/>
      <c r="T1539" s="434" t="s">
        <v>641</v>
      </c>
      <c r="U1539" s="434" t="s">
        <v>642</v>
      </c>
      <c r="V1539" s="436" t="n">
        <f aca="false">AY1544</f>
        <v>0</v>
      </c>
    </row>
    <row r="1540" customFormat="false" ht="13.5" hidden="false" customHeight="false" outlineLevel="0" collapsed="false">
      <c r="A1540" s="424"/>
      <c r="B1540" s="424"/>
      <c r="C1540" s="424"/>
      <c r="D1540" s="424"/>
      <c r="E1540" s="424"/>
      <c r="F1540" s="424"/>
      <c r="G1540" s="424"/>
      <c r="H1540" s="424"/>
      <c r="I1540" s="424"/>
      <c r="J1540" s="424"/>
      <c r="K1540" s="424"/>
      <c r="L1540" s="424"/>
      <c r="M1540" s="424"/>
      <c r="N1540" s="424"/>
      <c r="O1540" s="424"/>
      <c r="P1540" s="424"/>
      <c r="Q1540" s="435" t="n">
        <v>77</v>
      </c>
      <c r="R1540" s="434" t="s">
        <v>643</v>
      </c>
      <c r="S1540" s="424"/>
      <c r="T1540" s="434" t="s">
        <v>644</v>
      </c>
      <c r="U1540" s="434" t="s">
        <v>645</v>
      </c>
      <c r="V1540" s="436" t="n">
        <f aca="false">AY1545</f>
        <v>0</v>
      </c>
    </row>
    <row r="1541" customFormat="false" ht="13.5" hidden="false" customHeight="false" outlineLevel="0" collapsed="false">
      <c r="A1541" s="424"/>
      <c r="B1541" s="424"/>
      <c r="C1541" s="424"/>
      <c r="D1541" s="424"/>
      <c r="E1541" s="424"/>
      <c r="F1541" s="424"/>
      <c r="G1541" s="424"/>
      <c r="H1541" s="424"/>
      <c r="I1541" s="424"/>
      <c r="J1541" s="424"/>
      <c r="K1541" s="424"/>
      <c r="L1541" s="424"/>
      <c r="M1541" s="424"/>
      <c r="N1541" s="424"/>
      <c r="O1541" s="424"/>
      <c r="P1541" s="424"/>
      <c r="Q1541" s="435" t="n">
        <v>78</v>
      </c>
      <c r="R1541" s="434" t="s">
        <v>646</v>
      </c>
      <c r="S1541" s="424"/>
      <c r="T1541" s="434" t="s">
        <v>647</v>
      </c>
      <c r="U1541" s="434" t="s">
        <v>648</v>
      </c>
      <c r="V1541" s="436" t="n">
        <f aca="false">AY1546</f>
        <v>0</v>
      </c>
    </row>
    <row r="1542" customFormat="false" ht="13.5" hidden="false" customHeight="false" outlineLevel="0" collapsed="false">
      <c r="A1542" s="424"/>
      <c r="B1542" s="424"/>
      <c r="C1542" s="424"/>
      <c r="D1542" s="424"/>
      <c r="E1542" s="424"/>
      <c r="F1542" s="424"/>
      <c r="G1542" s="424"/>
      <c r="H1542" s="424"/>
      <c r="I1542" s="424"/>
      <c r="J1542" s="424"/>
      <c r="K1542" s="424"/>
      <c r="L1542" s="424"/>
      <c r="M1542" s="424"/>
      <c r="N1542" s="424"/>
      <c r="O1542" s="424"/>
      <c r="P1542" s="424"/>
      <c r="Q1542" s="435" t="n">
        <v>79</v>
      </c>
      <c r="R1542" s="434" t="s">
        <v>649</v>
      </c>
      <c r="S1542" s="424"/>
      <c r="T1542" s="434" t="s">
        <v>650</v>
      </c>
      <c r="U1542" s="434" t="s">
        <v>651</v>
      </c>
      <c r="V1542" s="436" t="n">
        <f aca="false">AY1547</f>
        <v>0</v>
      </c>
    </row>
    <row r="1543" customFormat="false" ht="13.5" hidden="false" customHeight="false" outlineLevel="0" collapsed="false">
      <c r="A1543" s="424"/>
      <c r="B1543" s="424"/>
      <c r="C1543" s="424"/>
      <c r="D1543" s="424"/>
      <c r="E1543" s="424"/>
      <c r="F1543" s="424"/>
      <c r="G1543" s="424"/>
      <c r="H1543" s="424"/>
      <c r="I1543" s="424"/>
      <c r="J1543" s="424"/>
      <c r="K1543" s="424"/>
      <c r="L1543" s="424"/>
      <c r="M1543" s="424"/>
      <c r="N1543" s="424"/>
      <c r="O1543" s="424"/>
      <c r="P1543" s="424"/>
      <c r="Q1543" s="435" t="n">
        <v>80</v>
      </c>
      <c r="R1543" s="434" t="s">
        <v>652</v>
      </c>
      <c r="S1543" s="424"/>
      <c r="T1543" s="434" t="s">
        <v>653</v>
      </c>
      <c r="U1543" s="434" t="s">
        <v>654</v>
      </c>
      <c r="V1543" s="436" t="n">
        <f aca="false">AY1548</f>
        <v>0</v>
      </c>
    </row>
    <row r="1544" customFormat="false" ht="13.5" hidden="false" customHeight="false" outlineLevel="0" collapsed="false">
      <c r="A1544" s="424"/>
      <c r="B1544" s="424"/>
      <c r="C1544" s="424"/>
      <c r="D1544" s="424"/>
      <c r="E1544" s="424"/>
      <c r="F1544" s="424"/>
      <c r="G1544" s="424"/>
      <c r="H1544" s="424"/>
      <c r="I1544" s="424"/>
      <c r="J1544" s="424"/>
      <c r="K1544" s="424"/>
      <c r="L1544" s="424"/>
      <c r="M1544" s="424"/>
      <c r="N1544" s="424"/>
      <c r="O1544" s="424"/>
      <c r="P1544" s="424"/>
      <c r="Q1544" s="435" t="n">
        <v>81</v>
      </c>
      <c r="R1544" s="434" t="s">
        <v>655</v>
      </c>
      <c r="S1544" s="424"/>
      <c r="T1544" s="434" t="s">
        <v>656</v>
      </c>
      <c r="U1544" s="434" t="s">
        <v>657</v>
      </c>
      <c r="V1544" s="436" t="n">
        <f aca="false">AY1549</f>
        <v>0</v>
      </c>
    </row>
    <row r="1545" customFormat="false" ht="13.5" hidden="false" customHeight="false" outlineLevel="0" collapsed="false">
      <c r="A1545" s="424"/>
      <c r="B1545" s="424"/>
      <c r="C1545" s="424"/>
      <c r="D1545" s="424"/>
      <c r="E1545" s="424"/>
      <c r="F1545" s="424"/>
      <c r="G1545" s="424"/>
      <c r="H1545" s="424"/>
      <c r="I1545" s="424"/>
      <c r="J1545" s="424"/>
      <c r="K1545" s="424"/>
      <c r="L1545" s="424"/>
      <c r="M1545" s="424"/>
      <c r="N1545" s="424"/>
      <c r="O1545" s="424"/>
      <c r="P1545" s="424"/>
      <c r="Q1545" s="435" t="n">
        <v>82</v>
      </c>
      <c r="R1545" s="434" t="s">
        <v>658</v>
      </c>
      <c r="S1545" s="424"/>
      <c r="T1545" s="434" t="s">
        <v>659</v>
      </c>
      <c r="U1545" s="434" t="s">
        <v>660</v>
      </c>
      <c r="V1545" s="436" t="n">
        <f aca="false">AY1550</f>
        <v>0</v>
      </c>
    </row>
    <row r="1546" customFormat="false" ht="13.5" hidden="false" customHeight="false" outlineLevel="0" collapsed="false">
      <c r="A1546" s="424"/>
      <c r="B1546" s="424"/>
      <c r="C1546" s="424"/>
      <c r="D1546" s="424"/>
      <c r="E1546" s="424"/>
      <c r="F1546" s="424"/>
      <c r="G1546" s="424"/>
      <c r="H1546" s="424"/>
      <c r="I1546" s="424"/>
      <c r="J1546" s="424"/>
      <c r="K1546" s="424"/>
      <c r="L1546" s="424"/>
      <c r="M1546" s="424"/>
      <c r="N1546" s="424"/>
      <c r="O1546" s="424"/>
      <c r="P1546" s="424"/>
      <c r="Q1546" s="435" t="n">
        <v>83</v>
      </c>
      <c r="R1546" s="434" t="s">
        <v>661</v>
      </c>
      <c r="S1546" s="424"/>
      <c r="T1546" s="434" t="s">
        <v>662</v>
      </c>
      <c r="U1546" s="434" t="s">
        <v>663</v>
      </c>
      <c r="V1546" s="436" t="n">
        <f aca="false">AY1551</f>
        <v>0</v>
      </c>
    </row>
    <row r="1547" customFormat="false" ht="13.5" hidden="false" customHeight="false" outlineLevel="0" collapsed="false">
      <c r="A1547" s="424"/>
      <c r="B1547" s="424"/>
      <c r="C1547" s="424"/>
      <c r="D1547" s="424"/>
      <c r="E1547" s="424"/>
      <c r="F1547" s="424"/>
      <c r="G1547" s="424"/>
      <c r="H1547" s="424"/>
      <c r="I1547" s="424"/>
      <c r="J1547" s="424"/>
      <c r="K1547" s="424"/>
      <c r="L1547" s="424"/>
      <c r="M1547" s="424"/>
      <c r="N1547" s="424"/>
      <c r="O1547" s="424"/>
      <c r="P1547" s="424"/>
      <c r="Q1547" s="435" t="n">
        <v>84</v>
      </c>
      <c r="R1547" s="434" t="s">
        <v>664</v>
      </c>
      <c r="S1547" s="424"/>
      <c r="T1547" s="434" t="s">
        <v>665</v>
      </c>
      <c r="U1547" s="434" t="s">
        <v>666</v>
      </c>
      <c r="V1547" s="436" t="n">
        <f aca="false">AY1552</f>
        <v>0</v>
      </c>
    </row>
    <row r="1548" customFormat="false" ht="13.5" hidden="false" customHeight="false" outlineLevel="0" collapsed="false">
      <c r="A1548" s="424"/>
      <c r="B1548" s="424"/>
      <c r="C1548" s="424"/>
      <c r="D1548" s="424"/>
      <c r="E1548" s="424"/>
      <c r="F1548" s="424"/>
      <c r="G1548" s="424"/>
      <c r="H1548" s="424"/>
      <c r="I1548" s="424"/>
      <c r="J1548" s="424"/>
      <c r="K1548" s="424"/>
      <c r="L1548" s="424"/>
      <c r="M1548" s="424"/>
      <c r="N1548" s="424"/>
      <c r="O1548" s="424"/>
      <c r="P1548" s="424"/>
      <c r="Q1548" s="435" t="n">
        <v>85</v>
      </c>
      <c r="R1548" s="434" t="s">
        <v>667</v>
      </c>
      <c r="S1548" s="424"/>
      <c r="T1548" s="434" t="s">
        <v>668</v>
      </c>
      <c r="U1548" s="434" t="s">
        <v>669</v>
      </c>
      <c r="V1548" s="436" t="n">
        <f aca="false">AY1553</f>
        <v>0</v>
      </c>
    </row>
    <row r="1549" customFormat="false" ht="13.5" hidden="false" customHeight="false" outlineLevel="0" collapsed="false">
      <c r="A1549" s="424"/>
      <c r="B1549" s="424"/>
      <c r="C1549" s="424"/>
      <c r="D1549" s="424"/>
      <c r="E1549" s="424"/>
      <c r="F1549" s="424"/>
      <c r="G1549" s="424"/>
      <c r="H1549" s="424"/>
      <c r="I1549" s="424"/>
      <c r="J1549" s="424"/>
      <c r="K1549" s="424"/>
      <c r="L1549" s="424"/>
      <c r="M1549" s="424"/>
      <c r="N1549" s="424"/>
      <c r="O1549" s="424"/>
      <c r="P1549" s="424"/>
      <c r="Q1549" s="435" t="n">
        <v>86</v>
      </c>
      <c r="R1549" s="434" t="s">
        <v>670</v>
      </c>
      <c r="S1549" s="424"/>
      <c r="T1549" s="434" t="s">
        <v>671</v>
      </c>
      <c r="U1549" s="434" t="s">
        <v>672</v>
      </c>
      <c r="V1549" s="436" t="n">
        <f aca="false">AY1554</f>
        <v>0</v>
      </c>
    </row>
    <row r="1550" customFormat="false" ht="13.5" hidden="false" customHeight="false" outlineLevel="0" collapsed="false">
      <c r="A1550" s="424"/>
      <c r="B1550" s="424"/>
      <c r="C1550" s="424"/>
      <c r="D1550" s="424"/>
      <c r="E1550" s="424"/>
      <c r="F1550" s="424"/>
      <c r="G1550" s="424"/>
      <c r="H1550" s="424"/>
      <c r="I1550" s="424"/>
      <c r="J1550" s="424"/>
      <c r="K1550" s="424"/>
      <c r="L1550" s="424"/>
      <c r="M1550" s="424"/>
      <c r="N1550" s="424"/>
      <c r="O1550" s="424"/>
      <c r="P1550" s="424"/>
      <c r="Q1550" s="435" t="n">
        <v>87</v>
      </c>
      <c r="R1550" s="434" t="s">
        <v>673</v>
      </c>
      <c r="S1550" s="424"/>
      <c r="T1550" s="434" t="s">
        <v>674</v>
      </c>
      <c r="U1550" s="434" t="s">
        <v>675</v>
      </c>
      <c r="V1550" s="436" t="n">
        <f aca="false">AY1555</f>
        <v>0</v>
      </c>
    </row>
    <row r="1551" customFormat="false" ht="13.5" hidden="false" customHeight="false" outlineLevel="0" collapsed="false">
      <c r="A1551" s="424"/>
      <c r="B1551" s="424"/>
      <c r="C1551" s="424"/>
      <c r="D1551" s="424"/>
      <c r="E1551" s="424"/>
      <c r="F1551" s="424"/>
      <c r="G1551" s="424"/>
      <c r="H1551" s="424"/>
      <c r="I1551" s="424"/>
      <c r="J1551" s="424"/>
      <c r="K1551" s="424"/>
      <c r="L1551" s="424"/>
      <c r="M1551" s="424"/>
      <c r="N1551" s="424"/>
      <c r="O1551" s="424"/>
      <c r="P1551" s="424"/>
      <c r="Q1551" s="435" t="n">
        <v>88</v>
      </c>
      <c r="R1551" s="434" t="s">
        <v>676</v>
      </c>
      <c r="S1551" s="424"/>
      <c r="T1551" s="434" t="s">
        <v>677</v>
      </c>
      <c r="U1551" s="434" t="s">
        <v>678</v>
      </c>
      <c r="V1551" s="436" t="n">
        <f aca="false">AY1556</f>
        <v>0</v>
      </c>
    </row>
    <row r="1552" customFormat="false" ht="13.5" hidden="false" customHeight="false" outlineLevel="0" collapsed="false">
      <c r="A1552" s="424"/>
      <c r="B1552" s="424"/>
      <c r="C1552" s="424"/>
      <c r="D1552" s="424"/>
      <c r="E1552" s="424"/>
      <c r="F1552" s="424"/>
      <c r="G1552" s="424"/>
      <c r="H1552" s="424"/>
      <c r="I1552" s="424"/>
      <c r="J1552" s="424"/>
      <c r="K1552" s="424"/>
      <c r="L1552" s="424"/>
      <c r="M1552" s="424"/>
      <c r="N1552" s="424"/>
      <c r="O1552" s="424"/>
      <c r="P1552" s="424"/>
      <c r="Q1552" s="435" t="n">
        <v>89</v>
      </c>
      <c r="R1552" s="434" t="s">
        <v>679</v>
      </c>
      <c r="S1552" s="424"/>
      <c r="T1552" s="434" t="s">
        <v>680</v>
      </c>
      <c r="U1552" s="434" t="s">
        <v>681</v>
      </c>
      <c r="V1552" s="436" t="n">
        <f aca="false">AY1557</f>
        <v>0</v>
      </c>
    </row>
    <row r="1553" customFormat="false" ht="13.5" hidden="false" customHeight="false" outlineLevel="0" collapsed="false">
      <c r="A1553" s="424"/>
      <c r="B1553" s="424"/>
      <c r="C1553" s="424"/>
      <c r="D1553" s="424"/>
      <c r="E1553" s="424"/>
      <c r="F1553" s="424"/>
      <c r="G1553" s="424"/>
      <c r="H1553" s="424"/>
      <c r="I1553" s="424"/>
      <c r="J1553" s="424"/>
      <c r="K1553" s="424"/>
      <c r="L1553" s="424"/>
      <c r="M1553" s="424"/>
      <c r="N1553" s="424"/>
      <c r="O1553" s="424"/>
      <c r="P1553" s="424"/>
      <c r="Q1553" s="435" t="n">
        <v>90</v>
      </c>
      <c r="R1553" s="434" t="s">
        <v>682</v>
      </c>
      <c r="S1553" s="424"/>
      <c r="T1553" s="434" t="s">
        <v>683</v>
      </c>
      <c r="U1553" s="434" t="s">
        <v>684</v>
      </c>
      <c r="V1553" s="436" t="n">
        <f aca="false">AY1558</f>
        <v>0</v>
      </c>
    </row>
    <row r="1554" customFormat="false" ht="13.5" hidden="false" customHeight="false" outlineLevel="0" collapsed="false">
      <c r="A1554" s="424"/>
      <c r="B1554" s="424"/>
      <c r="C1554" s="424"/>
      <c r="D1554" s="424"/>
      <c r="E1554" s="424"/>
      <c r="F1554" s="424"/>
      <c r="G1554" s="424"/>
      <c r="H1554" s="424"/>
      <c r="I1554" s="424"/>
      <c r="J1554" s="424"/>
      <c r="K1554" s="424"/>
      <c r="L1554" s="424"/>
      <c r="M1554" s="424"/>
      <c r="N1554" s="424"/>
      <c r="O1554" s="424"/>
      <c r="P1554" s="424"/>
      <c r="Q1554" s="435" t="n">
        <v>91</v>
      </c>
      <c r="R1554" s="434" t="s">
        <v>685</v>
      </c>
      <c r="S1554" s="424"/>
      <c r="T1554" s="434" t="s">
        <v>686</v>
      </c>
      <c r="U1554" s="434" t="s">
        <v>687</v>
      </c>
      <c r="V1554" s="436" t="n">
        <f aca="false">AY1559</f>
        <v>0</v>
      </c>
    </row>
    <row r="1555" customFormat="false" ht="13.5" hidden="false" customHeight="false" outlineLevel="0" collapsed="false">
      <c r="A1555" s="424"/>
      <c r="B1555" s="424"/>
      <c r="C1555" s="424"/>
      <c r="D1555" s="424"/>
      <c r="E1555" s="424"/>
      <c r="F1555" s="424"/>
      <c r="G1555" s="424"/>
      <c r="H1555" s="424"/>
      <c r="I1555" s="424"/>
      <c r="J1555" s="424"/>
      <c r="K1555" s="424"/>
      <c r="L1555" s="424"/>
      <c r="M1555" s="424"/>
      <c r="N1555" s="424"/>
      <c r="O1555" s="424"/>
      <c r="P1555" s="424"/>
      <c r="Q1555" s="435" t="n">
        <v>92</v>
      </c>
      <c r="R1555" s="434" t="s">
        <v>688</v>
      </c>
      <c r="S1555" s="424"/>
      <c r="T1555" s="434" t="s">
        <v>689</v>
      </c>
      <c r="U1555" s="434" t="s">
        <v>690</v>
      </c>
      <c r="V1555" s="436" t="n">
        <f aca="false">AY1560</f>
        <v>0</v>
      </c>
    </row>
    <row r="1556" customFormat="false" ht="13.5" hidden="false" customHeight="false" outlineLevel="0" collapsed="false">
      <c r="A1556" s="424"/>
      <c r="B1556" s="424"/>
      <c r="C1556" s="424"/>
      <c r="D1556" s="424"/>
      <c r="E1556" s="424"/>
      <c r="F1556" s="424"/>
      <c r="G1556" s="424"/>
      <c r="H1556" s="424"/>
      <c r="I1556" s="424"/>
      <c r="J1556" s="424"/>
      <c r="K1556" s="424"/>
      <c r="L1556" s="424"/>
      <c r="M1556" s="424"/>
      <c r="N1556" s="424"/>
      <c r="O1556" s="424"/>
      <c r="P1556" s="424"/>
      <c r="Q1556" s="435" t="n">
        <v>93</v>
      </c>
      <c r="R1556" s="434" t="s">
        <v>691</v>
      </c>
      <c r="S1556" s="424"/>
      <c r="T1556" s="434" t="s">
        <v>692</v>
      </c>
      <c r="U1556" s="434" t="s">
        <v>693</v>
      </c>
      <c r="V1556" s="436" t="n">
        <f aca="false">AY1561</f>
        <v>0</v>
      </c>
    </row>
    <row r="1557" customFormat="false" ht="13.5" hidden="false" customHeight="false" outlineLevel="0" collapsed="false">
      <c r="A1557" s="424"/>
      <c r="B1557" s="424"/>
      <c r="C1557" s="424"/>
      <c r="D1557" s="424"/>
      <c r="E1557" s="424"/>
      <c r="F1557" s="424"/>
      <c r="G1557" s="424"/>
      <c r="H1557" s="424"/>
      <c r="I1557" s="424"/>
      <c r="J1557" s="424"/>
      <c r="K1557" s="424"/>
      <c r="L1557" s="424"/>
      <c r="M1557" s="424"/>
      <c r="N1557" s="424"/>
      <c r="O1557" s="424"/>
      <c r="P1557" s="424"/>
      <c r="Q1557" s="435" t="n">
        <v>94</v>
      </c>
      <c r="R1557" s="434" t="s">
        <v>694</v>
      </c>
      <c r="S1557" s="424"/>
      <c r="T1557" s="434" t="s">
        <v>695</v>
      </c>
      <c r="U1557" s="434" t="s">
        <v>696</v>
      </c>
      <c r="V1557" s="436" t="n">
        <f aca="false">AY1562</f>
        <v>0</v>
      </c>
    </row>
    <row r="1558" customFormat="false" ht="13.5" hidden="false" customHeight="false" outlineLevel="0" collapsed="false">
      <c r="A1558" s="424"/>
      <c r="B1558" s="424"/>
      <c r="C1558" s="424"/>
      <c r="D1558" s="424"/>
      <c r="E1558" s="424"/>
      <c r="F1558" s="424"/>
      <c r="G1558" s="424"/>
      <c r="H1558" s="424"/>
      <c r="I1558" s="424"/>
      <c r="J1558" s="424"/>
      <c r="K1558" s="424"/>
      <c r="L1558" s="424"/>
      <c r="M1558" s="424"/>
      <c r="N1558" s="424"/>
      <c r="O1558" s="424"/>
      <c r="P1558" s="424"/>
      <c r="Q1558" s="435" t="n">
        <v>95</v>
      </c>
      <c r="R1558" s="434" t="s">
        <v>697</v>
      </c>
      <c r="S1558" s="424"/>
      <c r="T1558" s="434" t="s">
        <v>698</v>
      </c>
      <c r="U1558" s="434" t="s">
        <v>699</v>
      </c>
      <c r="V1558" s="436" t="n">
        <f aca="false">AY1563</f>
        <v>0</v>
      </c>
    </row>
    <row r="1559" customFormat="false" ht="13.5" hidden="false" customHeight="false" outlineLevel="0" collapsed="false">
      <c r="A1559" s="424"/>
      <c r="B1559" s="424"/>
      <c r="C1559" s="424"/>
      <c r="D1559" s="424"/>
      <c r="E1559" s="424"/>
      <c r="F1559" s="424"/>
      <c r="G1559" s="424"/>
      <c r="H1559" s="424"/>
      <c r="I1559" s="424"/>
      <c r="J1559" s="424"/>
      <c r="K1559" s="424"/>
      <c r="L1559" s="424"/>
      <c r="M1559" s="424"/>
      <c r="N1559" s="424"/>
      <c r="O1559" s="424"/>
      <c r="P1559" s="424"/>
      <c r="Q1559" s="435" t="n">
        <v>96</v>
      </c>
      <c r="R1559" s="434" t="s">
        <v>700</v>
      </c>
      <c r="S1559" s="424"/>
      <c r="T1559" s="434" t="s">
        <v>701</v>
      </c>
      <c r="U1559" s="434" t="s">
        <v>702</v>
      </c>
      <c r="V1559" s="436" t="n">
        <f aca="false">AY1564</f>
        <v>0</v>
      </c>
    </row>
    <row r="1560" customFormat="false" ht="13.5" hidden="false" customHeight="false" outlineLevel="0" collapsed="false">
      <c r="A1560" s="424"/>
      <c r="B1560" s="424"/>
      <c r="C1560" s="424"/>
      <c r="D1560" s="424"/>
      <c r="E1560" s="424"/>
      <c r="F1560" s="424"/>
      <c r="G1560" s="424"/>
      <c r="H1560" s="424"/>
      <c r="I1560" s="424"/>
      <c r="J1560" s="424"/>
      <c r="K1560" s="424"/>
      <c r="L1560" s="424"/>
      <c r="M1560" s="424"/>
      <c r="N1560" s="424"/>
      <c r="O1560" s="424"/>
      <c r="P1560" s="424"/>
      <c r="Q1560" s="435" t="n">
        <v>97</v>
      </c>
      <c r="R1560" s="434" t="s">
        <v>703</v>
      </c>
      <c r="S1560" s="424"/>
      <c r="T1560" s="434" t="s">
        <v>704</v>
      </c>
      <c r="U1560" s="434" t="s">
        <v>705</v>
      </c>
      <c r="V1560" s="436" t="n">
        <f aca="false">AY1565</f>
        <v>0</v>
      </c>
    </row>
    <row r="1561" customFormat="false" ht="13.5" hidden="false" customHeight="false" outlineLevel="0" collapsed="false">
      <c r="A1561" s="424"/>
      <c r="B1561" s="424"/>
      <c r="C1561" s="424"/>
      <c r="D1561" s="424"/>
      <c r="E1561" s="424"/>
      <c r="F1561" s="424"/>
      <c r="G1561" s="424"/>
      <c r="H1561" s="424"/>
      <c r="I1561" s="424"/>
      <c r="J1561" s="424"/>
      <c r="K1561" s="424"/>
      <c r="L1561" s="424"/>
      <c r="M1561" s="424"/>
      <c r="N1561" s="424"/>
      <c r="O1561" s="424"/>
      <c r="P1561" s="424"/>
      <c r="Q1561" s="435" t="n">
        <v>98</v>
      </c>
      <c r="R1561" s="434" t="s">
        <v>706</v>
      </c>
      <c r="S1561" s="424"/>
      <c r="T1561" s="434" t="s">
        <v>707</v>
      </c>
      <c r="U1561" s="434" t="s">
        <v>708</v>
      </c>
      <c r="V1561" s="436" t="n">
        <f aca="false">AY1566</f>
        <v>0</v>
      </c>
    </row>
    <row r="1562" customFormat="false" ht="13.5" hidden="false" customHeight="false" outlineLevel="0" collapsed="false">
      <c r="A1562" s="424"/>
      <c r="B1562" s="424"/>
      <c r="C1562" s="424"/>
      <c r="D1562" s="424"/>
      <c r="E1562" s="424"/>
      <c r="F1562" s="424"/>
      <c r="G1562" s="424"/>
      <c r="H1562" s="424"/>
      <c r="I1562" s="424"/>
      <c r="J1562" s="424"/>
      <c r="K1562" s="424"/>
      <c r="L1562" s="424"/>
      <c r="M1562" s="424"/>
      <c r="N1562" s="424"/>
      <c r="O1562" s="424"/>
      <c r="P1562" s="424"/>
      <c r="Q1562" s="435" t="n">
        <v>99</v>
      </c>
      <c r="R1562" s="434" t="s">
        <v>709</v>
      </c>
      <c r="S1562" s="424"/>
      <c r="T1562" s="434" t="s">
        <v>710</v>
      </c>
      <c r="U1562" s="434" t="s">
        <v>711</v>
      </c>
      <c r="V1562" s="436" t="n">
        <f aca="false">AY1567</f>
        <v>0</v>
      </c>
    </row>
    <row r="1563" customFormat="false" ht="13.5" hidden="false" customHeight="false" outlineLevel="0" collapsed="false">
      <c r="A1563" s="424"/>
      <c r="B1563" s="424"/>
      <c r="C1563" s="424"/>
      <c r="D1563" s="424"/>
      <c r="E1563" s="424"/>
      <c r="F1563" s="424"/>
      <c r="G1563" s="424"/>
      <c r="H1563" s="424"/>
      <c r="I1563" s="424"/>
      <c r="J1563" s="424"/>
      <c r="K1563" s="424"/>
      <c r="L1563" s="424"/>
      <c r="M1563" s="424"/>
      <c r="N1563" s="424"/>
      <c r="O1563" s="424"/>
      <c r="P1563" s="424"/>
      <c r="Q1563" s="424"/>
      <c r="R1563" s="424"/>
      <c r="S1563" s="424"/>
      <c r="T1563" s="424"/>
      <c r="U1563" s="424"/>
      <c r="V1563" s="436" t="n">
        <f aca="false">AY1568</f>
        <v>0</v>
      </c>
    </row>
    <row r="1564" customFormat="false" ht="13.5" hidden="false" customHeight="false" outlineLevel="0" collapsed="false">
      <c r="A1564" s="424"/>
      <c r="B1564" s="424"/>
      <c r="C1564" s="424"/>
      <c r="D1564" s="424"/>
      <c r="E1564" s="424"/>
      <c r="F1564" s="424"/>
      <c r="G1564" s="424"/>
      <c r="H1564" s="424"/>
      <c r="I1564" s="424"/>
      <c r="J1564" s="424"/>
      <c r="K1564" s="424"/>
      <c r="L1564" s="424"/>
      <c r="M1564" s="424"/>
      <c r="N1564" s="424"/>
      <c r="O1564" s="424"/>
      <c r="P1564" s="424"/>
      <c r="Q1564" s="424"/>
      <c r="R1564" s="424"/>
      <c r="S1564" s="424"/>
      <c r="T1564" s="424"/>
      <c r="U1564" s="424"/>
      <c r="V1564" s="436" t="n">
        <f aca="false">AY1569</f>
        <v>0</v>
      </c>
    </row>
    <row r="1565" customFormat="false" ht="13.5" hidden="false" customHeight="false" outlineLevel="0" collapsed="false">
      <c r="A1565" s="424"/>
      <c r="B1565" s="424"/>
      <c r="C1565" s="424"/>
      <c r="D1565" s="424"/>
      <c r="E1565" s="424"/>
      <c r="F1565" s="424"/>
      <c r="G1565" s="424"/>
      <c r="H1565" s="424"/>
      <c r="I1565" s="424"/>
      <c r="J1565" s="424"/>
      <c r="K1565" s="424"/>
      <c r="L1565" s="424"/>
      <c r="M1565" s="424"/>
      <c r="N1565" s="424"/>
      <c r="O1565" s="424"/>
      <c r="P1565" s="424"/>
      <c r="Q1565" s="424"/>
      <c r="R1565" s="424"/>
      <c r="S1565" s="424"/>
      <c r="T1565" s="424"/>
      <c r="U1565" s="424"/>
      <c r="V1565" s="436" t="n">
        <f aca="false">AY1570</f>
        <v>0</v>
      </c>
    </row>
    <row r="1566" customFormat="false" ht="13.5" hidden="false" customHeight="false" outlineLevel="0" collapsed="false">
      <c r="A1566" s="424"/>
      <c r="B1566" s="424"/>
      <c r="C1566" s="424"/>
      <c r="D1566" s="424"/>
      <c r="E1566" s="424"/>
      <c r="F1566" s="424"/>
      <c r="G1566" s="424"/>
      <c r="H1566" s="424"/>
      <c r="I1566" s="424"/>
      <c r="J1566" s="424"/>
      <c r="K1566" s="424"/>
      <c r="L1566" s="424"/>
      <c r="M1566" s="424"/>
      <c r="N1566" s="424"/>
      <c r="O1566" s="424"/>
      <c r="P1566" s="424"/>
      <c r="Q1566" s="424"/>
      <c r="R1566" s="424"/>
      <c r="S1566" s="424"/>
      <c r="T1566" s="424"/>
      <c r="U1566" s="424"/>
      <c r="V1566" s="436" t="n">
        <f aca="false">AY1571</f>
        <v>0</v>
      </c>
    </row>
    <row r="1567" customFormat="false" ht="13.5" hidden="false" customHeight="false" outlineLevel="0" collapsed="false">
      <c r="A1567" s="424"/>
      <c r="B1567" s="424"/>
      <c r="C1567" s="424"/>
      <c r="D1567" s="424"/>
      <c r="E1567" s="424"/>
      <c r="F1567" s="424"/>
      <c r="G1567" s="424"/>
      <c r="H1567" s="424"/>
      <c r="I1567" s="424"/>
      <c r="J1567" s="424"/>
      <c r="K1567" s="424"/>
      <c r="L1567" s="424"/>
      <c r="M1567" s="424"/>
      <c r="N1567" s="424"/>
      <c r="O1567" s="424"/>
      <c r="P1567" s="424"/>
      <c r="Q1567" s="424"/>
      <c r="R1567" s="424"/>
      <c r="S1567" s="424"/>
      <c r="T1567" s="424"/>
      <c r="U1567" s="424"/>
      <c r="V1567" s="436" t="n">
        <f aca="false">AY1572</f>
        <v>0</v>
      </c>
    </row>
    <row r="1568" customFormat="false" ht="13.5" hidden="false" customHeight="false" outlineLevel="0" collapsed="false">
      <c r="A1568" s="424"/>
      <c r="B1568" s="424"/>
      <c r="C1568" s="424"/>
      <c r="D1568" s="424"/>
      <c r="E1568" s="424"/>
      <c r="F1568" s="424"/>
      <c r="G1568" s="424"/>
      <c r="H1568" s="424"/>
      <c r="I1568" s="424"/>
      <c r="J1568" s="424"/>
      <c r="K1568" s="424"/>
      <c r="L1568" s="424"/>
      <c r="M1568" s="424"/>
      <c r="N1568" s="424"/>
      <c r="O1568" s="424"/>
      <c r="P1568" s="424"/>
      <c r="Q1568" s="424"/>
      <c r="R1568" s="424"/>
      <c r="S1568" s="424"/>
      <c r="T1568" s="424"/>
      <c r="U1568" s="424"/>
      <c r="V1568" s="436" t="n">
        <f aca="false">AY1573</f>
        <v>0</v>
      </c>
    </row>
    <row r="1569" customFormat="false" ht="13.5" hidden="false" customHeight="false" outlineLevel="0" collapsed="false">
      <c r="A1569" s="424"/>
      <c r="B1569" s="424"/>
      <c r="C1569" s="424"/>
      <c r="D1569" s="424"/>
      <c r="E1569" s="424"/>
      <c r="F1569" s="424"/>
      <c r="G1569" s="424"/>
      <c r="H1569" s="424"/>
      <c r="I1569" s="424"/>
      <c r="J1569" s="424"/>
      <c r="K1569" s="424"/>
      <c r="L1569" s="424"/>
      <c r="M1569" s="424"/>
      <c r="N1569" s="424"/>
      <c r="O1569" s="424"/>
      <c r="P1569" s="424"/>
      <c r="Q1569" s="424"/>
      <c r="R1569" s="424"/>
      <c r="S1569" s="424"/>
      <c r="T1569" s="424"/>
      <c r="U1569" s="424"/>
      <c r="V1569" s="436" t="n">
        <f aca="false">AY1574</f>
        <v>0</v>
      </c>
    </row>
    <row r="1570" customFormat="false" ht="13.5" hidden="false" customHeight="false" outlineLevel="0" collapsed="false">
      <c r="A1570" s="424"/>
      <c r="B1570" s="424"/>
      <c r="C1570" s="424"/>
      <c r="D1570" s="424"/>
      <c r="E1570" s="424"/>
      <c r="F1570" s="424"/>
      <c r="G1570" s="424"/>
      <c r="H1570" s="424"/>
      <c r="I1570" s="424"/>
      <c r="J1570" s="424"/>
      <c r="K1570" s="424"/>
      <c r="L1570" s="424"/>
      <c r="M1570" s="424"/>
      <c r="N1570" s="424"/>
      <c r="O1570" s="424"/>
      <c r="P1570" s="424"/>
      <c r="Q1570" s="424"/>
      <c r="R1570" s="424"/>
      <c r="S1570" s="424"/>
      <c r="T1570" s="424"/>
      <c r="U1570" s="424"/>
      <c r="V1570" s="436" t="n">
        <f aca="false">AY1575</f>
        <v>0</v>
      </c>
    </row>
    <row r="1571" customFormat="false" ht="13.5" hidden="false" customHeight="false" outlineLevel="0" collapsed="false">
      <c r="A1571" s="424"/>
      <c r="B1571" s="424"/>
      <c r="C1571" s="424"/>
      <c r="D1571" s="424"/>
      <c r="E1571" s="424"/>
      <c r="F1571" s="424"/>
      <c r="G1571" s="424"/>
      <c r="H1571" s="424"/>
      <c r="I1571" s="424"/>
      <c r="J1571" s="424"/>
      <c r="K1571" s="424"/>
      <c r="L1571" s="424"/>
      <c r="M1571" s="424"/>
      <c r="N1571" s="424"/>
      <c r="O1571" s="424"/>
      <c r="P1571" s="424"/>
      <c r="Q1571" s="424"/>
      <c r="R1571" s="424"/>
      <c r="S1571" s="424"/>
      <c r="T1571" s="424"/>
      <c r="U1571" s="424"/>
      <c r="V1571" s="436" t="n">
        <f aca="false">AY1576</f>
        <v>0</v>
      </c>
    </row>
    <row r="1572" customFormat="false" ht="13.5" hidden="false" customHeight="false" outlineLevel="0" collapsed="false">
      <c r="A1572" s="424"/>
      <c r="B1572" s="424"/>
      <c r="C1572" s="424"/>
      <c r="D1572" s="424"/>
      <c r="E1572" s="424"/>
      <c r="F1572" s="424"/>
      <c r="G1572" s="424"/>
      <c r="H1572" s="424"/>
      <c r="I1572" s="424"/>
      <c r="J1572" s="424"/>
      <c r="K1572" s="424"/>
      <c r="L1572" s="424"/>
      <c r="M1572" s="424"/>
      <c r="N1572" s="424"/>
      <c r="O1572" s="424"/>
      <c r="P1572" s="424"/>
      <c r="Q1572" s="424"/>
      <c r="R1572" s="424"/>
      <c r="S1572" s="424"/>
      <c r="T1572" s="424"/>
      <c r="U1572" s="424"/>
      <c r="V1572" s="436" t="n">
        <f aca="false">AY1577</f>
        <v>0</v>
      </c>
    </row>
    <row r="1573" customFormat="false" ht="13.5" hidden="false" customHeight="false" outlineLevel="0" collapsed="false">
      <c r="A1573" s="424"/>
      <c r="B1573" s="424"/>
      <c r="C1573" s="424"/>
      <c r="D1573" s="424"/>
      <c r="E1573" s="424"/>
      <c r="F1573" s="424"/>
      <c r="G1573" s="424"/>
      <c r="H1573" s="424"/>
      <c r="I1573" s="424"/>
      <c r="J1573" s="424"/>
      <c r="K1573" s="424"/>
      <c r="L1573" s="424"/>
      <c r="M1573" s="424"/>
      <c r="N1573" s="424"/>
      <c r="O1573" s="424"/>
      <c r="P1573" s="424"/>
      <c r="Q1573" s="424"/>
      <c r="R1573" s="424"/>
      <c r="S1573" s="424"/>
      <c r="T1573" s="424"/>
      <c r="U1573" s="424"/>
      <c r="V1573" s="436" t="n">
        <f aca="false">AY1578</f>
        <v>0</v>
      </c>
    </row>
    <row r="1574" customFormat="false" ht="13.5" hidden="false" customHeight="false" outlineLevel="0" collapsed="false">
      <c r="A1574" s="424"/>
      <c r="B1574" s="424"/>
      <c r="C1574" s="424"/>
      <c r="D1574" s="424"/>
      <c r="E1574" s="424"/>
      <c r="F1574" s="424"/>
      <c r="G1574" s="424"/>
      <c r="H1574" s="424"/>
      <c r="I1574" s="424"/>
      <c r="J1574" s="424"/>
      <c r="K1574" s="424"/>
      <c r="L1574" s="424"/>
      <c r="M1574" s="424"/>
      <c r="N1574" s="424"/>
      <c r="O1574" s="424"/>
      <c r="P1574" s="424"/>
      <c r="Q1574" s="424"/>
      <c r="R1574" s="424"/>
      <c r="S1574" s="424"/>
      <c r="T1574" s="424"/>
      <c r="U1574" s="424"/>
      <c r="V1574" s="436" t="n">
        <f aca="false">AY1579</f>
        <v>0</v>
      </c>
    </row>
    <row r="1575" customFormat="false" ht="13.5" hidden="false" customHeight="false" outlineLevel="0" collapsed="false">
      <c r="A1575" s="424"/>
      <c r="B1575" s="424"/>
      <c r="C1575" s="424"/>
      <c r="D1575" s="424"/>
      <c r="E1575" s="424"/>
      <c r="F1575" s="424"/>
      <c r="G1575" s="424"/>
      <c r="H1575" s="424"/>
      <c r="I1575" s="424"/>
      <c r="J1575" s="424"/>
      <c r="K1575" s="424"/>
      <c r="L1575" s="424"/>
      <c r="M1575" s="424"/>
      <c r="N1575" s="424"/>
      <c r="O1575" s="424"/>
      <c r="P1575" s="424"/>
      <c r="Q1575" s="424"/>
      <c r="R1575" s="424"/>
      <c r="S1575" s="424"/>
      <c r="T1575" s="424"/>
      <c r="U1575" s="424"/>
      <c r="V1575" s="436" t="n">
        <f aca="false">AY1580</f>
        <v>0</v>
      </c>
    </row>
    <row r="1576" customFormat="false" ht="13.5" hidden="false" customHeight="false" outlineLevel="0" collapsed="false">
      <c r="A1576" s="424"/>
      <c r="B1576" s="424"/>
      <c r="C1576" s="424"/>
      <c r="D1576" s="424"/>
      <c r="E1576" s="424"/>
      <c r="F1576" s="424"/>
      <c r="G1576" s="424"/>
      <c r="H1576" s="424"/>
      <c r="I1576" s="424"/>
      <c r="J1576" s="424"/>
      <c r="K1576" s="424"/>
      <c r="L1576" s="424"/>
      <c r="M1576" s="424"/>
      <c r="N1576" s="424"/>
      <c r="O1576" s="424"/>
      <c r="P1576" s="424"/>
      <c r="Q1576" s="424"/>
      <c r="R1576" s="424"/>
      <c r="S1576" s="424"/>
      <c r="T1576" s="424"/>
      <c r="U1576" s="424"/>
      <c r="V1576" s="436" t="n">
        <f aca="false">AY1581</f>
        <v>0</v>
      </c>
    </row>
    <row r="1577" customFormat="false" ht="13.5" hidden="false" customHeight="false" outlineLevel="0" collapsed="false">
      <c r="A1577" s="424"/>
      <c r="B1577" s="424"/>
      <c r="C1577" s="424"/>
      <c r="D1577" s="424"/>
      <c r="E1577" s="424"/>
      <c r="F1577" s="424"/>
      <c r="G1577" s="424"/>
      <c r="H1577" s="424"/>
      <c r="I1577" s="424"/>
      <c r="J1577" s="424"/>
      <c r="K1577" s="424"/>
      <c r="L1577" s="424"/>
      <c r="M1577" s="424"/>
      <c r="N1577" s="424"/>
      <c r="O1577" s="424"/>
      <c r="P1577" s="424"/>
      <c r="Q1577" s="424"/>
      <c r="R1577" s="424"/>
      <c r="S1577" s="424"/>
      <c r="T1577" s="424"/>
      <c r="U1577" s="424"/>
      <c r="V1577" s="436" t="n">
        <f aca="false">AY1582</f>
        <v>0</v>
      </c>
    </row>
    <row r="1578" customFormat="false" ht="13.5" hidden="false" customHeight="false" outlineLevel="0" collapsed="false">
      <c r="A1578" s="424"/>
      <c r="B1578" s="424"/>
      <c r="C1578" s="424"/>
      <c r="D1578" s="424"/>
      <c r="E1578" s="424"/>
      <c r="F1578" s="424"/>
      <c r="G1578" s="424"/>
      <c r="H1578" s="424"/>
      <c r="I1578" s="424"/>
      <c r="J1578" s="424"/>
      <c r="K1578" s="424"/>
      <c r="L1578" s="424"/>
      <c r="M1578" s="424"/>
      <c r="N1578" s="424"/>
      <c r="O1578" s="424"/>
      <c r="P1578" s="424"/>
      <c r="Q1578" s="424"/>
      <c r="R1578" s="424"/>
      <c r="S1578" s="424"/>
      <c r="T1578" s="424"/>
      <c r="U1578" s="424"/>
      <c r="V1578" s="436" t="n">
        <f aca="false">AY1583</f>
        <v>0</v>
      </c>
    </row>
    <row r="1579" customFormat="false" ht="13.5" hidden="false" customHeight="false" outlineLevel="0" collapsed="false">
      <c r="A1579" s="424"/>
      <c r="B1579" s="424"/>
      <c r="C1579" s="424"/>
      <c r="D1579" s="424"/>
      <c r="E1579" s="424"/>
      <c r="F1579" s="424"/>
      <c r="G1579" s="424"/>
      <c r="H1579" s="424"/>
      <c r="I1579" s="424"/>
      <c r="J1579" s="424"/>
      <c r="K1579" s="424"/>
      <c r="L1579" s="424"/>
      <c r="M1579" s="424"/>
      <c r="N1579" s="424"/>
      <c r="O1579" s="424"/>
      <c r="P1579" s="424"/>
      <c r="Q1579" s="424"/>
      <c r="R1579" s="424"/>
      <c r="S1579" s="424"/>
      <c r="T1579" s="424"/>
      <c r="U1579" s="424"/>
      <c r="V1579" s="436" t="n">
        <f aca="false">AY1584</f>
        <v>0</v>
      </c>
    </row>
    <row r="1580" customFormat="false" ht="13.5" hidden="false" customHeight="false" outlineLevel="0" collapsed="false">
      <c r="A1580" s="424"/>
      <c r="B1580" s="424"/>
      <c r="C1580" s="424"/>
      <c r="D1580" s="424"/>
      <c r="E1580" s="424"/>
      <c r="F1580" s="424"/>
      <c r="G1580" s="424"/>
      <c r="H1580" s="424"/>
      <c r="I1580" s="424"/>
      <c r="J1580" s="424"/>
      <c r="K1580" s="424"/>
      <c r="L1580" s="424"/>
      <c r="M1580" s="424"/>
      <c r="N1580" s="424"/>
      <c r="O1580" s="424"/>
      <c r="P1580" s="424"/>
      <c r="Q1580" s="424"/>
      <c r="R1580" s="424"/>
      <c r="S1580" s="424"/>
      <c r="T1580" s="424"/>
      <c r="U1580" s="424"/>
      <c r="V1580" s="436" t="n">
        <f aca="false">AY1585</f>
        <v>0</v>
      </c>
    </row>
    <row r="1585" customFormat="false" ht="13.5" hidden="false" customHeight="false" outlineLevel="0" collapsed="false">
      <c r="A1585" s="424"/>
      <c r="B1585" s="424"/>
      <c r="C1585" s="424"/>
      <c r="D1585" s="424"/>
      <c r="E1585" s="424"/>
      <c r="F1585" s="424"/>
      <c r="G1585" s="424"/>
      <c r="H1585" s="424"/>
      <c r="I1585" s="424"/>
      <c r="J1585" s="424"/>
      <c r="K1585" s="424"/>
      <c r="L1585" s="424"/>
      <c r="M1585" s="424"/>
      <c r="N1585" s="424"/>
      <c r="O1585" s="424"/>
      <c r="P1585" s="424"/>
      <c r="Q1585" s="424"/>
      <c r="R1585" s="424"/>
      <c r="S1585" s="424"/>
      <c r="T1585" s="424"/>
      <c r="U1585" s="424"/>
      <c r="V1585" s="424"/>
      <c r="W1585" s="424"/>
      <c r="X1585" s="425"/>
      <c r="AB1585" s="426"/>
      <c r="AC1585" s="432"/>
      <c r="AG1585" s="425"/>
      <c r="AH1585" s="425"/>
      <c r="AI1585" s="425"/>
      <c r="AJ1585" s="425"/>
      <c r="AK1585" s="425"/>
      <c r="AL1585" s="425"/>
      <c r="AM1585" s="425"/>
      <c r="AN1585" s="425"/>
      <c r="AP1585" s="425"/>
      <c r="AQ1585" s="425"/>
      <c r="AR1585" s="425"/>
      <c r="AS1585" s="425"/>
      <c r="AT1585" s="425"/>
      <c r="AU1585" s="425"/>
      <c r="AV1585" s="425"/>
      <c r="AW1585" s="425"/>
      <c r="AX1585" s="425"/>
      <c r="AZ1585" s="426"/>
      <c r="BA1585" s="425"/>
      <c r="BB1585" s="425"/>
      <c r="BC1585" s="428"/>
      <c r="BO1585" s="428"/>
    </row>
    <row r="1586" customFormat="false" ht="13.5" hidden="false" customHeight="false" outlineLevel="0" collapsed="false">
      <c r="A1586" s="424"/>
      <c r="B1586" s="424"/>
      <c r="C1586" s="424"/>
      <c r="D1586" s="424"/>
      <c r="E1586" s="424"/>
      <c r="F1586" s="424"/>
      <c r="G1586" s="424"/>
      <c r="H1586" s="424"/>
      <c r="I1586" s="424"/>
      <c r="J1586" s="424"/>
      <c r="K1586" s="424"/>
      <c r="L1586" s="424"/>
      <c r="M1586" s="424"/>
      <c r="N1586" s="424"/>
      <c r="O1586" s="424"/>
      <c r="P1586" s="424"/>
      <c r="Q1586" s="424"/>
      <c r="R1586" s="434" t="s">
        <v>400</v>
      </c>
      <c r="S1586" s="424"/>
      <c r="T1586" s="424"/>
      <c r="U1586" s="424"/>
      <c r="V1586" s="435" t="n">
        <f aca="false">SUM(V1588:V1620)</f>
        <v>0</v>
      </c>
      <c r="W1586" s="424"/>
      <c r="Y1586" s="425"/>
      <c r="Z1586" s="426"/>
      <c r="AA1586" s="425"/>
      <c r="AB1586" s="425"/>
      <c r="AC1586" s="425"/>
      <c r="AD1586" s="425"/>
      <c r="AE1586" s="425"/>
      <c r="AF1586" s="425"/>
      <c r="AG1586" s="425"/>
      <c r="AH1586" s="425"/>
      <c r="AI1586" s="425"/>
      <c r="AJ1586" s="425"/>
      <c r="AK1586" s="425"/>
      <c r="AL1586" s="426"/>
      <c r="AM1586" s="425"/>
      <c r="AN1586" s="425"/>
      <c r="AO1586" s="428"/>
      <c r="AP1586" s="425"/>
      <c r="AQ1586" s="425"/>
      <c r="AR1586" s="425"/>
      <c r="AS1586" s="425"/>
      <c r="AT1586" s="425"/>
      <c r="AU1586" s="425"/>
      <c r="AX1586" s="425"/>
      <c r="BC1586" s="428"/>
      <c r="BO1586" s="428"/>
    </row>
    <row r="1587" customFormat="false" ht="13.5" hidden="false" customHeight="false" outlineLevel="0" collapsed="false">
      <c r="A1587" s="424"/>
      <c r="B1587" s="424"/>
      <c r="C1587" s="424"/>
      <c r="D1587" s="424"/>
      <c r="E1587" s="424"/>
      <c r="F1587" s="424"/>
      <c r="G1587" s="424"/>
      <c r="H1587" s="424"/>
      <c r="I1587" s="424"/>
      <c r="J1587" s="424"/>
      <c r="K1587" s="424"/>
      <c r="L1587" s="424"/>
      <c r="M1587" s="424"/>
      <c r="N1587" s="424"/>
      <c r="O1587" s="424"/>
      <c r="P1587" s="424"/>
      <c r="Q1587" s="435" t="n">
        <v>0</v>
      </c>
      <c r="R1587" s="424"/>
      <c r="S1587" s="435" t="n">
        <v>0</v>
      </c>
      <c r="T1587" s="424"/>
      <c r="U1587" s="424"/>
      <c r="V1587" s="436" t="n">
        <f aca="false">AY1587</f>
        <v>0</v>
      </c>
      <c r="W1587" s="424"/>
      <c r="X1587" s="429"/>
      <c r="Z1587" s="426"/>
      <c r="AA1587" s="426"/>
      <c r="AB1587" s="426"/>
      <c r="AD1587" s="427"/>
      <c r="AE1587" s="427"/>
      <c r="AF1587" s="427"/>
      <c r="AG1587" s="427"/>
      <c r="AH1587" s="427"/>
      <c r="AI1587" s="427"/>
      <c r="AJ1587" s="427"/>
      <c r="AK1587" s="427"/>
      <c r="AL1587" s="427"/>
      <c r="AM1587" s="427"/>
      <c r="AU1587" s="427"/>
      <c r="AV1587" s="427"/>
      <c r="AW1587" s="427"/>
      <c r="AX1587" s="433"/>
      <c r="AY1587" s="427"/>
      <c r="BC1587" s="428"/>
      <c r="BE1587" s="431"/>
      <c r="BO1587" s="428"/>
    </row>
    <row r="1588" customFormat="false" ht="13.5" hidden="false" customHeight="false" outlineLevel="0" collapsed="false">
      <c r="A1588" s="424"/>
      <c r="B1588" s="424"/>
      <c r="C1588" s="424"/>
      <c r="D1588" s="424"/>
      <c r="E1588" s="424"/>
      <c r="F1588" s="424"/>
      <c r="G1588" s="424"/>
      <c r="H1588" s="424"/>
      <c r="I1588" s="424"/>
      <c r="J1588" s="424"/>
      <c r="K1588" s="424"/>
      <c r="L1588" s="424"/>
      <c r="M1588" s="424"/>
      <c r="N1588" s="424"/>
      <c r="O1588" s="424"/>
      <c r="P1588" s="424"/>
      <c r="Q1588" s="435" t="n">
        <v>1</v>
      </c>
      <c r="R1588" s="434" t="s">
        <v>401</v>
      </c>
      <c r="S1588" s="434" t="s">
        <v>402</v>
      </c>
      <c r="T1588" s="434" t="s">
        <v>403</v>
      </c>
      <c r="U1588" s="434" t="s">
        <v>404</v>
      </c>
      <c r="V1588" s="436" t="n">
        <f aca="false">AY1588</f>
        <v>0</v>
      </c>
      <c r="W1588" s="424"/>
      <c r="X1588" s="429"/>
      <c r="Y1588" s="426"/>
      <c r="Z1588" s="429"/>
      <c r="AA1588" s="426"/>
      <c r="AB1588" s="426"/>
      <c r="AC1588" s="427"/>
      <c r="AD1588" s="427"/>
      <c r="AE1588" s="427"/>
      <c r="AF1588" s="427"/>
      <c r="AG1588" s="427"/>
      <c r="AH1588" s="427"/>
      <c r="AI1588" s="427"/>
      <c r="AJ1588" s="427"/>
      <c r="AK1588" s="427"/>
      <c r="AL1588" s="427"/>
      <c r="AM1588" s="427"/>
      <c r="AN1588" s="427"/>
      <c r="AO1588" s="428"/>
      <c r="AP1588" s="427"/>
      <c r="AQ1588" s="427"/>
      <c r="AR1588" s="427"/>
      <c r="AS1588" s="427"/>
      <c r="AT1588" s="427"/>
      <c r="AU1588" s="427"/>
      <c r="AV1588" s="427"/>
      <c r="AW1588" s="427"/>
      <c r="AX1588" s="433"/>
      <c r="AY1588" s="427"/>
      <c r="BC1588" s="428"/>
      <c r="BE1588" s="426"/>
      <c r="BO1588" s="428"/>
    </row>
    <row r="1589" customFormat="false" ht="13.5" hidden="false" customHeight="false" outlineLevel="0" collapsed="false">
      <c r="A1589" s="424"/>
      <c r="B1589" s="424"/>
      <c r="C1589" s="424"/>
      <c r="D1589" s="424"/>
      <c r="E1589" s="424"/>
      <c r="F1589" s="424"/>
      <c r="G1589" s="424"/>
      <c r="H1589" s="424"/>
      <c r="I1589" s="424"/>
      <c r="J1589" s="424"/>
      <c r="K1589" s="424"/>
      <c r="L1589" s="424"/>
      <c r="M1589" s="424"/>
      <c r="N1589" s="424"/>
      <c r="O1589" s="424"/>
      <c r="P1589" s="424"/>
      <c r="Q1589" s="435" t="n">
        <v>2</v>
      </c>
      <c r="R1589" s="434" t="s">
        <v>405</v>
      </c>
      <c r="S1589" s="434" t="s">
        <v>406</v>
      </c>
      <c r="T1589" s="434" t="s">
        <v>407</v>
      </c>
      <c r="U1589" s="434" t="s">
        <v>408</v>
      </c>
      <c r="V1589" s="436" t="n">
        <f aca="false">AY1589</f>
        <v>0</v>
      </c>
      <c r="W1589" s="424"/>
      <c r="X1589" s="429"/>
      <c r="Y1589" s="426"/>
      <c r="Z1589" s="429"/>
      <c r="AA1589" s="426"/>
      <c r="AB1589" s="426"/>
      <c r="AC1589" s="427"/>
      <c r="AD1589" s="427"/>
      <c r="AE1589" s="427"/>
      <c r="AF1589" s="427"/>
      <c r="AG1589" s="427"/>
      <c r="AH1589" s="427"/>
      <c r="AI1589" s="427"/>
      <c r="AJ1589" s="427"/>
      <c r="AK1589" s="427"/>
      <c r="AL1589" s="427"/>
      <c r="AM1589" s="427"/>
      <c r="AN1589" s="427"/>
      <c r="AO1589" s="428"/>
      <c r="AP1589" s="427"/>
      <c r="AQ1589" s="427"/>
      <c r="AR1589" s="427"/>
      <c r="AS1589" s="427"/>
      <c r="AT1589" s="427"/>
      <c r="AU1589" s="427"/>
      <c r="AV1589" s="427"/>
      <c r="AW1589" s="427"/>
      <c r="AX1589" s="433"/>
      <c r="AY1589" s="427"/>
      <c r="BC1589" s="428"/>
      <c r="BE1589" s="426"/>
      <c r="BO1589" s="428"/>
    </row>
    <row r="1590" customFormat="false" ht="13.5" hidden="false" customHeight="false" outlineLevel="0" collapsed="false">
      <c r="A1590" s="424"/>
      <c r="B1590" s="424"/>
      <c r="C1590" s="424"/>
      <c r="D1590" s="424"/>
      <c r="E1590" s="424"/>
      <c r="F1590" s="424"/>
      <c r="G1590" s="424"/>
      <c r="H1590" s="424"/>
      <c r="I1590" s="424"/>
      <c r="J1590" s="424"/>
      <c r="K1590" s="424"/>
      <c r="L1590" s="424"/>
      <c r="M1590" s="424"/>
      <c r="N1590" s="424"/>
      <c r="O1590" s="424"/>
      <c r="P1590" s="424"/>
      <c r="Q1590" s="435" t="n">
        <v>3</v>
      </c>
      <c r="R1590" s="434" t="s">
        <v>409</v>
      </c>
      <c r="S1590" s="434" t="s">
        <v>410</v>
      </c>
      <c r="T1590" s="434" t="s">
        <v>411</v>
      </c>
      <c r="U1590" s="434" t="s">
        <v>412</v>
      </c>
      <c r="V1590" s="436" t="n">
        <f aca="false">AY1590</f>
        <v>0</v>
      </c>
      <c r="W1590" s="424"/>
      <c r="X1590" s="429"/>
      <c r="Y1590" s="426"/>
      <c r="Z1590" s="429"/>
      <c r="AA1590" s="426"/>
      <c r="AB1590" s="426"/>
      <c r="AC1590" s="427"/>
      <c r="AD1590" s="427"/>
      <c r="AE1590" s="427"/>
      <c r="AF1590" s="427"/>
      <c r="AG1590" s="427"/>
      <c r="AH1590" s="427"/>
      <c r="AI1590" s="427"/>
      <c r="AJ1590" s="427"/>
      <c r="AK1590" s="427"/>
      <c r="AL1590" s="427"/>
      <c r="AM1590" s="427"/>
      <c r="AN1590" s="427"/>
      <c r="AO1590" s="428"/>
      <c r="AP1590" s="427"/>
      <c r="AQ1590" s="427"/>
      <c r="AR1590" s="427"/>
      <c r="AS1590" s="427"/>
      <c r="AT1590" s="427"/>
      <c r="AU1590" s="427"/>
      <c r="AV1590" s="427"/>
      <c r="AW1590" s="427"/>
      <c r="AX1590" s="433"/>
      <c r="AY1590" s="427"/>
      <c r="BC1590" s="428"/>
      <c r="BO1590" s="428"/>
    </row>
    <row r="1591" customFormat="false" ht="13.5" hidden="false" customHeight="false" outlineLevel="0" collapsed="false">
      <c r="A1591" s="424"/>
      <c r="B1591" s="424"/>
      <c r="C1591" s="424"/>
      <c r="D1591" s="424"/>
      <c r="E1591" s="424"/>
      <c r="F1591" s="424"/>
      <c r="G1591" s="424"/>
      <c r="H1591" s="424"/>
      <c r="I1591" s="424"/>
      <c r="J1591" s="424"/>
      <c r="K1591" s="424"/>
      <c r="L1591" s="424"/>
      <c r="M1591" s="424"/>
      <c r="N1591" s="424"/>
      <c r="O1591" s="424"/>
      <c r="P1591" s="424"/>
      <c r="Q1591" s="435" t="n">
        <v>4</v>
      </c>
      <c r="R1591" s="434" t="s">
        <v>413</v>
      </c>
      <c r="S1591" s="434" t="s">
        <v>414</v>
      </c>
      <c r="T1591" s="434" t="s">
        <v>415</v>
      </c>
      <c r="U1591" s="434" t="s">
        <v>416</v>
      </c>
      <c r="V1591" s="436" t="n">
        <f aca="false">AY1591</f>
        <v>0</v>
      </c>
      <c r="W1591" s="424"/>
      <c r="X1591" s="429"/>
      <c r="Y1591" s="426"/>
      <c r="Z1591" s="429"/>
      <c r="AA1591" s="426"/>
      <c r="AB1591" s="426"/>
      <c r="AC1591" s="427"/>
      <c r="AD1591" s="427"/>
      <c r="AE1591" s="427"/>
      <c r="AF1591" s="427"/>
      <c r="AG1591" s="427"/>
      <c r="AH1591" s="427"/>
      <c r="AI1591" s="427"/>
      <c r="AJ1591" s="427"/>
      <c r="AK1591" s="427"/>
      <c r="AL1591" s="427"/>
      <c r="AM1591" s="427"/>
      <c r="AN1591" s="427"/>
      <c r="AO1591" s="428"/>
      <c r="AP1591" s="427"/>
      <c r="AQ1591" s="427"/>
      <c r="AR1591" s="427"/>
      <c r="AS1591" s="427"/>
      <c r="AT1591" s="427"/>
      <c r="AU1591" s="427"/>
      <c r="AV1591" s="427"/>
      <c r="AW1591" s="427"/>
      <c r="AX1591" s="433"/>
      <c r="AY1591" s="427"/>
      <c r="AZ1591" s="427"/>
      <c r="BA1591" s="427"/>
      <c r="BC1591" s="428"/>
      <c r="BD1591" s="429"/>
      <c r="BE1591" s="429"/>
      <c r="BF1591" s="427"/>
      <c r="BG1591" s="437"/>
      <c r="BH1591" s="427"/>
      <c r="BJ1591" s="437"/>
      <c r="BK1591" s="427"/>
      <c r="BM1591" s="429"/>
      <c r="BN1591" s="427"/>
      <c r="BO1591" s="428"/>
      <c r="BP1591" s="430"/>
    </row>
    <row r="1592" customFormat="false" ht="13.5" hidden="false" customHeight="false" outlineLevel="0" collapsed="false">
      <c r="A1592" s="424"/>
      <c r="B1592" s="424"/>
      <c r="C1592" s="424"/>
      <c r="D1592" s="424"/>
      <c r="E1592" s="424"/>
      <c r="F1592" s="424"/>
      <c r="G1592" s="424"/>
      <c r="H1592" s="424"/>
      <c r="I1592" s="424"/>
      <c r="J1592" s="424"/>
      <c r="K1592" s="424"/>
      <c r="L1592" s="424"/>
      <c r="M1592" s="424"/>
      <c r="N1592" s="424"/>
      <c r="O1592" s="424"/>
      <c r="P1592" s="438" t="s">
        <v>417</v>
      </c>
      <c r="Q1592" s="435" t="n">
        <v>5</v>
      </c>
      <c r="R1592" s="434" t="s">
        <v>418</v>
      </c>
      <c r="S1592" s="434" t="s">
        <v>419</v>
      </c>
      <c r="T1592" s="434" t="s">
        <v>420</v>
      </c>
      <c r="U1592" s="434" t="s">
        <v>421</v>
      </c>
      <c r="V1592" s="436" t="n">
        <f aca="false">AY1592</f>
        <v>0</v>
      </c>
      <c r="W1592" s="424"/>
      <c r="X1592" s="429"/>
      <c r="Y1592" s="426"/>
      <c r="Z1592" s="429"/>
      <c r="AA1592" s="426"/>
      <c r="AB1592" s="426"/>
      <c r="AC1592" s="427"/>
      <c r="AD1592" s="427"/>
      <c r="AE1592" s="427"/>
      <c r="AF1592" s="427"/>
      <c r="AG1592" s="427"/>
      <c r="AH1592" s="427"/>
      <c r="AI1592" s="427"/>
      <c r="AJ1592" s="427"/>
      <c r="AK1592" s="427"/>
      <c r="AL1592" s="427"/>
      <c r="AM1592" s="427"/>
      <c r="AN1592" s="427"/>
      <c r="AO1592" s="428"/>
      <c r="AP1592" s="427"/>
      <c r="AQ1592" s="427"/>
      <c r="AR1592" s="427"/>
      <c r="AS1592" s="427"/>
      <c r="AT1592" s="427"/>
      <c r="AU1592" s="427"/>
      <c r="AV1592" s="427"/>
      <c r="AW1592" s="427"/>
      <c r="AX1592" s="433"/>
      <c r="AY1592" s="427"/>
      <c r="BC1592" s="428"/>
      <c r="BD1592" s="429"/>
      <c r="BE1592" s="429"/>
      <c r="BF1592" s="427"/>
      <c r="BG1592" s="437"/>
      <c r="BH1592" s="427"/>
      <c r="BJ1592" s="437"/>
      <c r="BK1592" s="427"/>
      <c r="BM1592" s="429"/>
      <c r="BN1592" s="427"/>
      <c r="BO1592" s="428"/>
      <c r="BP1592" s="430"/>
    </row>
    <row r="1593" customFormat="false" ht="13.5" hidden="false" customHeight="false" outlineLevel="0" collapsed="false">
      <c r="A1593" s="424"/>
      <c r="B1593" s="424"/>
      <c r="C1593" s="424"/>
      <c r="D1593" s="424"/>
      <c r="E1593" s="424"/>
      <c r="F1593" s="424"/>
      <c r="G1593" s="424"/>
      <c r="H1593" s="424"/>
      <c r="I1593" s="424"/>
      <c r="J1593" s="424"/>
      <c r="K1593" s="424"/>
      <c r="L1593" s="424"/>
      <c r="M1593" s="424"/>
      <c r="N1593" s="424"/>
      <c r="O1593" s="424"/>
      <c r="P1593" s="438" t="s">
        <v>417</v>
      </c>
      <c r="Q1593" s="435" t="n">
        <v>6</v>
      </c>
      <c r="R1593" s="434" t="s">
        <v>422</v>
      </c>
      <c r="S1593" s="434" t="s">
        <v>423</v>
      </c>
      <c r="T1593" s="434" t="s">
        <v>424</v>
      </c>
      <c r="U1593" s="434" t="s">
        <v>425</v>
      </c>
      <c r="V1593" s="436" t="n">
        <f aca="false">AY1593</f>
        <v>0</v>
      </c>
      <c r="W1593" s="424"/>
      <c r="X1593" s="429"/>
      <c r="Y1593" s="426"/>
      <c r="Z1593" s="429"/>
      <c r="AA1593" s="426"/>
      <c r="AB1593" s="426"/>
      <c r="AC1593" s="427"/>
      <c r="AD1593" s="427"/>
      <c r="AE1593" s="427"/>
      <c r="AF1593" s="427"/>
      <c r="AG1593" s="427"/>
      <c r="AH1593" s="427"/>
      <c r="AI1593" s="427"/>
      <c r="AJ1593" s="427"/>
      <c r="AK1593" s="427"/>
      <c r="AL1593" s="427"/>
      <c r="AM1593" s="427"/>
      <c r="AN1593" s="427"/>
      <c r="AO1593" s="428"/>
      <c r="AP1593" s="427"/>
      <c r="AQ1593" s="427"/>
      <c r="AR1593" s="427"/>
      <c r="AS1593" s="427"/>
      <c r="AT1593" s="427"/>
      <c r="AU1593" s="427"/>
      <c r="AV1593" s="427"/>
      <c r="AW1593" s="427"/>
      <c r="AX1593" s="433"/>
      <c r="AY1593" s="427"/>
      <c r="BC1593" s="428"/>
      <c r="BD1593" s="429"/>
      <c r="BE1593" s="429"/>
      <c r="BF1593" s="427"/>
      <c r="BG1593" s="437"/>
      <c r="BH1593" s="427"/>
      <c r="BJ1593" s="437"/>
      <c r="BK1593" s="427"/>
      <c r="BM1593" s="429"/>
      <c r="BN1593" s="427"/>
      <c r="BO1593" s="428"/>
      <c r="BP1593" s="430"/>
    </row>
    <row r="1594" customFormat="false" ht="13.5" hidden="false" customHeight="false" outlineLevel="0" collapsed="false">
      <c r="A1594" s="424"/>
      <c r="B1594" s="424"/>
      <c r="C1594" s="424"/>
      <c r="D1594" s="424"/>
      <c r="E1594" s="424"/>
      <c r="F1594" s="424"/>
      <c r="G1594" s="424"/>
      <c r="H1594" s="424"/>
      <c r="I1594" s="424"/>
      <c r="J1594" s="424"/>
      <c r="K1594" s="424"/>
      <c r="L1594" s="424"/>
      <c r="M1594" s="424"/>
      <c r="N1594" s="424"/>
      <c r="O1594" s="424"/>
      <c r="P1594" s="438" t="s">
        <v>417</v>
      </c>
      <c r="Q1594" s="435" t="n">
        <v>7</v>
      </c>
      <c r="R1594" s="434" t="s">
        <v>426</v>
      </c>
      <c r="S1594" s="434" t="s">
        <v>427</v>
      </c>
      <c r="T1594" s="434" t="s">
        <v>428</v>
      </c>
      <c r="U1594" s="434" t="s">
        <v>429</v>
      </c>
      <c r="V1594" s="436" t="n">
        <f aca="false">AY1594</f>
        <v>0</v>
      </c>
      <c r="W1594" s="424"/>
      <c r="X1594" s="437"/>
      <c r="AC1594" s="427"/>
      <c r="AD1594" s="427"/>
      <c r="AE1594" s="427"/>
      <c r="AF1594" s="427"/>
      <c r="AG1594" s="427"/>
      <c r="AH1594" s="427"/>
      <c r="AI1594" s="427"/>
      <c r="AJ1594" s="427"/>
      <c r="AK1594" s="427"/>
      <c r="AL1594" s="427"/>
      <c r="AM1594" s="427"/>
      <c r="AN1594" s="427"/>
      <c r="AP1594" s="427"/>
      <c r="AQ1594" s="427"/>
      <c r="AR1594" s="427"/>
      <c r="AS1594" s="427"/>
      <c r="AT1594" s="427"/>
      <c r="AU1594" s="427"/>
      <c r="AV1594" s="427"/>
      <c r="AW1594" s="427"/>
      <c r="AX1594" s="427"/>
      <c r="AY1594" s="427"/>
      <c r="BC1594" s="428"/>
      <c r="BF1594" s="427"/>
      <c r="BG1594" s="437"/>
      <c r="BH1594" s="427"/>
      <c r="BJ1594" s="437"/>
      <c r="BK1594" s="427"/>
      <c r="BM1594" s="429"/>
      <c r="BN1594" s="427"/>
      <c r="BO1594" s="428"/>
      <c r="BP1594" s="430"/>
    </row>
    <row r="1595" customFormat="false" ht="13.5" hidden="false" customHeight="false" outlineLevel="0" collapsed="false">
      <c r="A1595" s="424"/>
      <c r="B1595" s="424"/>
      <c r="C1595" s="424"/>
      <c r="D1595" s="424"/>
      <c r="E1595" s="424"/>
      <c r="F1595" s="424"/>
      <c r="G1595" s="424"/>
      <c r="H1595" s="424"/>
      <c r="I1595" s="424"/>
      <c r="J1595" s="424"/>
      <c r="K1595" s="424"/>
      <c r="L1595" s="424"/>
      <c r="M1595" s="424"/>
      <c r="N1595" s="424"/>
      <c r="O1595" s="424"/>
      <c r="P1595" s="438" t="s">
        <v>417</v>
      </c>
      <c r="Q1595" s="435" t="n">
        <v>8</v>
      </c>
      <c r="R1595" s="434" t="s">
        <v>430</v>
      </c>
      <c r="S1595" s="434" t="s">
        <v>431</v>
      </c>
      <c r="T1595" s="434" t="s">
        <v>432</v>
      </c>
      <c r="U1595" s="434" t="s">
        <v>433</v>
      </c>
      <c r="V1595" s="436" t="n">
        <f aca="false">AY1595</f>
        <v>0</v>
      </c>
      <c r="W1595" s="424"/>
      <c r="X1595" s="429"/>
      <c r="AC1595" s="427"/>
      <c r="AD1595" s="427"/>
      <c r="AE1595" s="427"/>
      <c r="AF1595" s="427"/>
      <c r="AG1595" s="427"/>
      <c r="AH1595" s="427"/>
      <c r="AI1595" s="427"/>
      <c r="AJ1595" s="427"/>
      <c r="AK1595" s="427"/>
      <c r="AL1595" s="427"/>
      <c r="AM1595" s="427"/>
      <c r="AN1595" s="427"/>
      <c r="AO1595" s="428"/>
      <c r="AP1595" s="427"/>
      <c r="AQ1595" s="427"/>
      <c r="AR1595" s="427"/>
      <c r="AS1595" s="427"/>
      <c r="AT1595" s="427"/>
      <c r="AU1595" s="427"/>
      <c r="AV1595" s="427"/>
      <c r="AW1595" s="427"/>
      <c r="AX1595" s="427"/>
      <c r="AY1595" s="427"/>
      <c r="BC1595" s="428"/>
      <c r="BF1595" s="437"/>
      <c r="BG1595" s="427"/>
      <c r="BH1595" s="437"/>
      <c r="BI1595" s="427"/>
      <c r="BJ1595" s="427"/>
      <c r="BK1595" s="437"/>
      <c r="BM1595" s="428"/>
      <c r="BN1595" s="439"/>
      <c r="BO1595" s="428"/>
      <c r="BP1595" s="431"/>
    </row>
    <row r="1596" customFormat="false" ht="13.5" hidden="false" customHeight="false" outlineLevel="0" collapsed="false">
      <c r="A1596" s="424"/>
      <c r="B1596" s="424"/>
      <c r="C1596" s="424"/>
      <c r="D1596" s="424"/>
      <c r="E1596" s="424"/>
      <c r="F1596" s="424"/>
      <c r="G1596" s="424"/>
      <c r="H1596" s="424"/>
      <c r="I1596" s="424"/>
      <c r="J1596" s="424"/>
      <c r="K1596" s="424"/>
      <c r="L1596" s="424"/>
      <c r="M1596" s="424"/>
      <c r="N1596" s="424"/>
      <c r="O1596" s="424"/>
      <c r="P1596" s="438" t="s">
        <v>417</v>
      </c>
      <c r="Q1596" s="435" t="n">
        <v>9</v>
      </c>
      <c r="R1596" s="434" t="s">
        <v>434</v>
      </c>
      <c r="S1596" s="434" t="s">
        <v>435</v>
      </c>
      <c r="T1596" s="434" t="s">
        <v>436</v>
      </c>
      <c r="U1596" s="434" t="s">
        <v>437</v>
      </c>
      <c r="V1596" s="436" t="n">
        <f aca="false">AY1596</f>
        <v>0</v>
      </c>
      <c r="W1596" s="424"/>
      <c r="X1596" s="429"/>
      <c r="AC1596" s="427"/>
      <c r="AD1596" s="427"/>
      <c r="AE1596" s="427"/>
      <c r="AF1596" s="427"/>
      <c r="AG1596" s="427"/>
      <c r="AH1596" s="427"/>
      <c r="AI1596" s="427"/>
      <c r="AJ1596" s="427"/>
      <c r="AK1596" s="427"/>
      <c r="AL1596" s="427"/>
      <c r="AM1596" s="427"/>
      <c r="AN1596" s="427"/>
      <c r="AO1596" s="428"/>
      <c r="AP1596" s="427"/>
      <c r="AQ1596" s="427"/>
      <c r="AR1596" s="427"/>
      <c r="AS1596" s="427"/>
      <c r="AT1596" s="427"/>
      <c r="AU1596" s="427"/>
      <c r="AV1596" s="427"/>
      <c r="AW1596" s="427"/>
      <c r="AX1596" s="427"/>
      <c r="AY1596" s="427"/>
      <c r="BC1596" s="428"/>
      <c r="BF1596" s="437"/>
      <c r="BG1596" s="427"/>
      <c r="BH1596" s="437"/>
      <c r="BI1596" s="427"/>
      <c r="BJ1596" s="427"/>
      <c r="BK1596" s="437"/>
      <c r="BM1596" s="429"/>
      <c r="BN1596" s="427"/>
      <c r="BO1596" s="428"/>
    </row>
    <row r="1597" customFormat="false" ht="13.5" hidden="false" customHeight="false" outlineLevel="0" collapsed="false">
      <c r="A1597" s="424"/>
      <c r="B1597" s="424"/>
      <c r="C1597" s="424"/>
      <c r="D1597" s="424"/>
      <c r="E1597" s="424"/>
      <c r="F1597" s="424"/>
      <c r="G1597" s="424"/>
      <c r="H1597" s="424"/>
      <c r="I1597" s="424"/>
      <c r="J1597" s="424"/>
      <c r="K1597" s="424"/>
      <c r="L1597" s="424"/>
      <c r="M1597" s="424"/>
      <c r="N1597" s="424"/>
      <c r="O1597" s="424"/>
      <c r="P1597" s="438" t="s">
        <v>417</v>
      </c>
      <c r="Q1597" s="435" t="n">
        <v>10</v>
      </c>
      <c r="R1597" s="434" t="s">
        <v>438</v>
      </c>
      <c r="S1597" s="424"/>
      <c r="T1597" s="434" t="s">
        <v>439</v>
      </c>
      <c r="U1597" s="434" t="s">
        <v>440</v>
      </c>
      <c r="V1597" s="436" t="n">
        <f aca="false">AY1597</f>
        <v>0</v>
      </c>
      <c r="W1597" s="424"/>
      <c r="X1597" s="429"/>
      <c r="AH1597" s="427"/>
      <c r="AR1597" s="427"/>
      <c r="AY1597" s="427"/>
      <c r="BA1597" s="427"/>
      <c r="BB1597" s="427"/>
      <c r="BC1597" s="428"/>
      <c r="BG1597" s="427"/>
      <c r="BH1597" s="437"/>
      <c r="BJ1597" s="427"/>
      <c r="BK1597" s="437"/>
      <c r="BL1597" s="427"/>
      <c r="BM1597" s="428"/>
      <c r="BN1597" s="439"/>
      <c r="BO1597" s="428"/>
    </row>
    <row r="1598" customFormat="false" ht="13.5" hidden="false" customHeight="false" outlineLevel="0" collapsed="false">
      <c r="A1598" s="424"/>
      <c r="B1598" s="424"/>
      <c r="C1598" s="424"/>
      <c r="D1598" s="424"/>
      <c r="E1598" s="424"/>
      <c r="F1598" s="435" t="n">
        <f aca="false">TRUNC(+A1600/1000000)</f>
        <v>0</v>
      </c>
      <c r="G1598" s="424"/>
      <c r="H1598" s="424"/>
      <c r="I1598" s="424"/>
      <c r="J1598" s="424"/>
      <c r="K1598" s="424"/>
      <c r="L1598" s="424"/>
      <c r="M1598" s="424"/>
      <c r="N1598" s="424"/>
      <c r="O1598" s="424"/>
      <c r="P1598" s="438" t="s">
        <v>417</v>
      </c>
      <c r="Q1598" s="435" t="n">
        <v>11</v>
      </c>
      <c r="R1598" s="434" t="s">
        <v>441</v>
      </c>
      <c r="S1598" s="424"/>
      <c r="T1598" s="434" t="s">
        <v>442</v>
      </c>
      <c r="U1598" s="434" t="s">
        <v>443</v>
      </c>
      <c r="V1598" s="436" t="n">
        <f aca="false">AY1598</f>
        <v>0</v>
      </c>
      <c r="W1598" s="424"/>
      <c r="X1598" s="429"/>
      <c r="AC1598" s="427"/>
      <c r="AD1598" s="427"/>
      <c r="AE1598" s="427"/>
      <c r="AF1598" s="427"/>
      <c r="AG1598" s="427"/>
      <c r="AH1598" s="427"/>
      <c r="AI1598" s="427"/>
      <c r="AJ1598" s="427"/>
      <c r="AK1598" s="427"/>
      <c r="AL1598" s="427"/>
      <c r="AM1598" s="427"/>
      <c r="AN1598" s="427"/>
      <c r="AP1598" s="427"/>
      <c r="AQ1598" s="427"/>
      <c r="AR1598" s="427"/>
      <c r="AS1598" s="427"/>
      <c r="AT1598" s="427"/>
      <c r="AU1598" s="427"/>
      <c r="AV1598" s="427"/>
      <c r="AW1598" s="427"/>
      <c r="AX1598" s="427"/>
      <c r="AY1598" s="427"/>
      <c r="BA1598" s="427"/>
      <c r="BC1598" s="428"/>
      <c r="BG1598" s="427"/>
      <c r="BH1598" s="437"/>
      <c r="BJ1598" s="427"/>
      <c r="BN1598" s="427"/>
      <c r="BO1598" s="428"/>
    </row>
    <row r="1599" customFormat="false" ht="13.5" hidden="false" customHeight="false" outlineLevel="0" collapsed="false">
      <c r="A1599" s="424"/>
      <c r="B1599" s="424"/>
      <c r="C1599" s="424"/>
      <c r="D1599" s="424"/>
      <c r="E1599" s="424"/>
      <c r="F1599" s="435" t="e">
        <f aca="false">(+B1603*100000+C1603*1000+E1603*100)</f>
        <v>#VALUE!</v>
      </c>
      <c r="G1599" s="424"/>
      <c r="H1599" s="424"/>
      <c r="I1599" s="424"/>
      <c r="J1599" s="424"/>
      <c r="K1599" s="424"/>
      <c r="L1599" s="434" t="s">
        <v>444</v>
      </c>
      <c r="M1599" s="424"/>
      <c r="N1599" s="424"/>
      <c r="O1599" s="424"/>
      <c r="P1599" s="438" t="s">
        <v>417</v>
      </c>
      <c r="Q1599" s="435" t="n">
        <v>12</v>
      </c>
      <c r="R1599" s="434" t="s">
        <v>445</v>
      </c>
      <c r="S1599" s="424"/>
      <c r="T1599" s="434" t="s">
        <v>446</v>
      </c>
      <c r="U1599" s="434" t="s">
        <v>447</v>
      </c>
      <c r="V1599" s="436" t="n">
        <f aca="false">AY1599</f>
        <v>0</v>
      </c>
      <c r="W1599" s="424"/>
      <c r="X1599" s="429"/>
      <c r="AC1599" s="427"/>
      <c r="AD1599" s="427"/>
      <c r="AE1599" s="427"/>
      <c r="AF1599" s="427"/>
      <c r="AG1599" s="427"/>
      <c r="AH1599" s="427"/>
      <c r="AI1599" s="427"/>
      <c r="AJ1599" s="427"/>
      <c r="AK1599" s="427"/>
      <c r="AL1599" s="427"/>
      <c r="AM1599" s="427"/>
      <c r="AN1599" s="427"/>
      <c r="AP1599" s="427"/>
      <c r="AQ1599" s="427"/>
      <c r="AR1599" s="427"/>
      <c r="AS1599" s="427"/>
      <c r="AT1599" s="427"/>
      <c r="AU1599" s="427"/>
      <c r="AV1599" s="427"/>
      <c r="AW1599" s="427"/>
      <c r="AX1599" s="427"/>
      <c r="AY1599" s="427"/>
      <c r="BA1599" s="427"/>
      <c r="BC1599" s="428"/>
      <c r="BG1599" s="427"/>
      <c r="BH1599" s="437"/>
      <c r="BJ1599" s="427"/>
      <c r="BK1599" s="431"/>
      <c r="BM1599" s="427"/>
      <c r="BN1599" s="427"/>
      <c r="BO1599" s="428"/>
    </row>
    <row r="1600" customFormat="false" ht="13.5" hidden="false" customHeight="false" outlineLevel="0" collapsed="false">
      <c r="A1600" s="436" t="n">
        <f aca="false">TRUNC(+A1601)</f>
        <v>12</v>
      </c>
      <c r="B1600" s="424"/>
      <c r="C1600" s="424"/>
      <c r="D1600" s="424"/>
      <c r="E1600" s="440" t="n">
        <f aca="false">TRUNC(+A1600/100000000)</f>
        <v>0</v>
      </c>
      <c r="F1600" s="424"/>
      <c r="G1600" s="424"/>
      <c r="H1600" s="424"/>
      <c r="I1600" s="424"/>
      <c r="J1600" s="424"/>
      <c r="K1600" s="424"/>
      <c r="L1600" s="424"/>
      <c r="M1600" s="424"/>
      <c r="N1600" s="424"/>
      <c r="O1600" s="424"/>
      <c r="P1600" s="438" t="s">
        <v>417</v>
      </c>
      <c r="Q1600" s="435" t="n">
        <v>13</v>
      </c>
      <c r="R1600" s="434" t="s">
        <v>448</v>
      </c>
      <c r="S1600" s="424"/>
      <c r="T1600" s="434" t="s">
        <v>449</v>
      </c>
      <c r="U1600" s="434" t="s">
        <v>450</v>
      </c>
      <c r="V1600" s="436" t="n">
        <f aca="false">AY1600</f>
        <v>0</v>
      </c>
      <c r="W1600" s="424"/>
      <c r="X1600" s="429"/>
      <c r="AC1600" s="427"/>
      <c r="AD1600" s="427"/>
      <c r="AE1600" s="427"/>
      <c r="AF1600" s="427"/>
      <c r="AG1600" s="427"/>
      <c r="AH1600" s="427"/>
      <c r="AI1600" s="427"/>
      <c r="AJ1600" s="427"/>
      <c r="AK1600" s="427"/>
      <c r="AL1600" s="427"/>
      <c r="AM1600" s="427"/>
      <c r="AN1600" s="427"/>
      <c r="AP1600" s="427"/>
      <c r="AQ1600" s="427"/>
      <c r="AR1600" s="427"/>
      <c r="AS1600" s="427"/>
      <c r="AT1600" s="427"/>
      <c r="AU1600" s="427"/>
      <c r="AV1600" s="427"/>
      <c r="AW1600" s="427"/>
      <c r="AX1600" s="427"/>
      <c r="AY1600" s="427"/>
      <c r="BC1600" s="428"/>
      <c r="BM1600" s="427"/>
      <c r="BN1600" s="427"/>
      <c r="BO1600" s="428"/>
    </row>
    <row r="1601" customFormat="false" ht="13.5" hidden="false" customHeight="false" outlineLevel="0" collapsed="false">
      <c r="A1601" s="441" t="n">
        <f aca="false">12</f>
        <v>12</v>
      </c>
      <c r="B1601" s="434" t="s">
        <v>451</v>
      </c>
      <c r="C1601" s="434" t="s">
        <v>452</v>
      </c>
      <c r="D1601" s="424"/>
      <c r="E1601" s="434" t="s">
        <v>452</v>
      </c>
      <c r="F1601" s="424"/>
      <c r="G1601" s="424"/>
      <c r="H1601" s="424"/>
      <c r="I1601" s="440" t="n">
        <f aca="false">TRUNC((+A1600-(+F1598*1000000))/1000)</f>
        <v>0</v>
      </c>
      <c r="J1601" s="424"/>
      <c r="K1601" s="440" t="n">
        <f aca="false">(TRUNC((+A1600-(+F1598*1000000))/1))-I1601*1000</f>
        <v>12</v>
      </c>
      <c r="L1601" s="424"/>
      <c r="M1601" s="424"/>
      <c r="N1601" s="424"/>
      <c r="O1601" s="424"/>
      <c r="P1601" s="438" t="s">
        <v>417</v>
      </c>
      <c r="Q1601" s="435" t="n">
        <v>14</v>
      </c>
      <c r="R1601" s="434" t="s">
        <v>453</v>
      </c>
      <c r="S1601" s="424"/>
      <c r="T1601" s="434" t="s">
        <v>454</v>
      </c>
      <c r="U1601" s="434" t="s">
        <v>455</v>
      </c>
      <c r="V1601" s="436" t="n">
        <f aca="false">AY1601</f>
        <v>0</v>
      </c>
      <c r="W1601" s="424"/>
      <c r="X1601" s="429"/>
      <c r="AC1601" s="427"/>
      <c r="AD1601" s="427"/>
      <c r="AE1601" s="427"/>
      <c r="AF1601" s="427"/>
      <c r="AG1601" s="427"/>
      <c r="AH1601" s="427"/>
      <c r="AI1601" s="427"/>
      <c r="AJ1601" s="427"/>
      <c r="AK1601" s="427"/>
      <c r="AL1601" s="427"/>
      <c r="AM1601" s="427"/>
      <c r="AN1601" s="427"/>
      <c r="AP1601" s="427"/>
      <c r="AQ1601" s="427"/>
      <c r="AR1601" s="427"/>
      <c r="AS1601" s="427"/>
      <c r="AT1601" s="427"/>
      <c r="AU1601" s="427"/>
      <c r="AV1601" s="427"/>
      <c r="AW1601" s="427"/>
      <c r="AX1601" s="427"/>
      <c r="AY1601" s="427"/>
      <c r="BC1601" s="428"/>
      <c r="BL1601" s="426"/>
      <c r="BN1601" s="427"/>
      <c r="BO1601" s="428"/>
    </row>
    <row r="1602" customFormat="false" ht="13.5" hidden="false" customHeight="false" outlineLevel="0" collapsed="false">
      <c r="A1602" s="424"/>
      <c r="B1602" s="442" t="s">
        <v>456</v>
      </c>
      <c r="C1602" s="442" t="s">
        <v>456</v>
      </c>
      <c r="D1602" s="424"/>
      <c r="E1602" s="442" t="s">
        <v>456</v>
      </c>
      <c r="F1602" s="424"/>
      <c r="G1602" s="424"/>
      <c r="H1602" s="424"/>
      <c r="I1602" s="424"/>
      <c r="J1602" s="424"/>
      <c r="K1602" s="424"/>
      <c r="L1602" s="424"/>
      <c r="M1602" s="424"/>
      <c r="N1602" s="440" t="n">
        <f aca="false">ROUND(((+A1601-A1600)*100),1)</f>
        <v>0</v>
      </c>
      <c r="O1602" s="424"/>
      <c r="P1602" s="438" t="s">
        <v>417</v>
      </c>
      <c r="Q1602" s="435" t="n">
        <v>15</v>
      </c>
      <c r="R1602" s="434" t="s">
        <v>457</v>
      </c>
      <c r="S1602" s="424"/>
      <c r="T1602" s="434" t="s">
        <v>458</v>
      </c>
      <c r="U1602" s="434" t="s">
        <v>459</v>
      </c>
      <c r="V1602" s="436" t="n">
        <f aca="false">AY1602</f>
        <v>0</v>
      </c>
      <c r="W1602" s="424"/>
      <c r="X1602" s="429"/>
      <c r="AC1602" s="427"/>
      <c r="AD1602" s="427"/>
      <c r="AE1602" s="427"/>
      <c r="AF1602" s="427"/>
      <c r="AG1602" s="427"/>
      <c r="AH1602" s="427"/>
      <c r="AI1602" s="427"/>
      <c r="AJ1602" s="427"/>
      <c r="AK1602" s="427"/>
      <c r="AL1602" s="427"/>
      <c r="AM1602" s="427"/>
      <c r="AN1602" s="427"/>
      <c r="AP1602" s="427"/>
      <c r="AQ1602" s="427"/>
      <c r="AR1602" s="427"/>
      <c r="AS1602" s="427"/>
      <c r="AT1602" s="427"/>
      <c r="AU1602" s="427"/>
      <c r="AV1602" s="427"/>
      <c r="AW1602" s="427"/>
      <c r="AX1602" s="427"/>
      <c r="AY1602" s="427"/>
      <c r="BC1602" s="428"/>
      <c r="BK1602" s="426"/>
      <c r="BN1602" s="427"/>
      <c r="BO1602" s="428"/>
      <c r="BQ1602" s="429"/>
      <c r="BR1602" s="426"/>
      <c r="BS1602" s="426"/>
    </row>
    <row r="1603" customFormat="false" ht="13.5" hidden="false" customHeight="false" outlineLevel="0" collapsed="false">
      <c r="A1603" s="424"/>
      <c r="B1603" s="440" t="n">
        <f aca="false">TRUNC(+A1601/100000000000)</f>
        <v>0</v>
      </c>
      <c r="C1603" s="440" t="n">
        <f aca="false">(TRUNC(+A1600/1000000000))-B1603*100</f>
        <v>0</v>
      </c>
      <c r="D1603" s="424"/>
      <c r="E1603" s="435" t="str">
        <f aca="false">IF(E1600&gt;0,TRUNC(+E1600-B1603*1000-C1603*10),"")</f>
        <v/>
      </c>
      <c r="F1603" s="435" t="e">
        <f aca="false">F1598-F1599</f>
        <v>#VALUE!</v>
      </c>
      <c r="G1603" s="435" t="e">
        <f aca="false">G1605</f>
        <v>#VALUE!</v>
      </c>
      <c r="H1603" s="440" t="n">
        <f aca="false">TRUNC((+A1600-(+F1598*1000000))/100000)</f>
        <v>0</v>
      </c>
      <c r="I1603" s="440" t="n">
        <f aca="false">I1601-H1603*100</f>
        <v>0</v>
      </c>
      <c r="J1603" s="424"/>
      <c r="K1603" s="440" t="n">
        <f aca="false">TRUNC(+K1601/100)</f>
        <v>0</v>
      </c>
      <c r="L1603" s="440" t="n">
        <f aca="false">K1601-K1603*100</f>
        <v>12</v>
      </c>
      <c r="M1603" s="440" t="str">
        <f aca="false">IF(N1603&gt;0," &amp; Sen ","")</f>
        <v/>
      </c>
      <c r="N1603" s="435" t="n">
        <f aca="false">N1602</f>
        <v>0</v>
      </c>
      <c r="O1603" s="424"/>
      <c r="P1603" s="438" t="s">
        <v>417</v>
      </c>
      <c r="Q1603" s="435" t="n">
        <v>16</v>
      </c>
      <c r="R1603" s="434" t="s">
        <v>460</v>
      </c>
      <c r="S1603" s="424"/>
      <c r="T1603" s="434" t="s">
        <v>461</v>
      </c>
      <c r="U1603" s="434" t="s">
        <v>462</v>
      </c>
      <c r="V1603" s="436" t="n">
        <f aca="false">AY1603</f>
        <v>0</v>
      </c>
      <c r="W1603" s="424"/>
      <c r="X1603" s="429"/>
      <c r="AC1603" s="427"/>
      <c r="AD1603" s="427"/>
      <c r="AE1603" s="427"/>
      <c r="AF1603" s="427"/>
      <c r="AG1603" s="427"/>
      <c r="AH1603" s="427"/>
      <c r="AI1603" s="427"/>
      <c r="AJ1603" s="427"/>
      <c r="AK1603" s="427"/>
      <c r="AL1603" s="427"/>
      <c r="AM1603" s="427"/>
      <c r="AN1603" s="427"/>
      <c r="AO1603" s="428"/>
      <c r="AP1603" s="427"/>
      <c r="AQ1603" s="427"/>
      <c r="AR1603" s="427"/>
      <c r="AS1603" s="427"/>
      <c r="AT1603" s="427"/>
      <c r="AU1603" s="427"/>
      <c r="AV1603" s="427"/>
      <c r="AW1603" s="427"/>
      <c r="AX1603" s="427"/>
      <c r="AY1603" s="427"/>
      <c r="BC1603" s="428"/>
      <c r="BN1603" s="427"/>
      <c r="BO1603" s="428"/>
      <c r="BQ1603" s="429"/>
      <c r="BR1603" s="426"/>
      <c r="BS1603" s="426"/>
    </row>
    <row r="1604" customFormat="false" ht="13.5" hidden="false" customHeight="false" outlineLevel="0" collapsed="false">
      <c r="A1604" s="424"/>
      <c r="B1604" s="424"/>
      <c r="C1604" s="424"/>
      <c r="D1604" s="424"/>
      <c r="E1604" s="424"/>
      <c r="F1604" s="424"/>
      <c r="G1604" s="424"/>
      <c r="H1604" s="424"/>
      <c r="I1604" s="424"/>
      <c r="J1604" s="424"/>
      <c r="K1604" s="424"/>
      <c r="L1604" s="424"/>
      <c r="M1604" s="424"/>
      <c r="N1604" s="424"/>
      <c r="O1604" s="424"/>
      <c r="P1604" s="438" t="s">
        <v>417</v>
      </c>
      <c r="Q1604" s="435" t="n">
        <v>17</v>
      </c>
      <c r="R1604" s="434" t="s">
        <v>463</v>
      </c>
      <c r="S1604" s="424"/>
      <c r="T1604" s="434" t="s">
        <v>464</v>
      </c>
      <c r="U1604" s="434" t="s">
        <v>465</v>
      </c>
      <c r="V1604" s="436" t="n">
        <f aca="false">AY1604</f>
        <v>0</v>
      </c>
      <c r="W1604" s="424"/>
      <c r="X1604" s="429"/>
      <c r="AY1604" s="427"/>
      <c r="BB1604" s="429"/>
      <c r="BC1604" s="428"/>
      <c r="BG1604" s="427"/>
      <c r="BH1604" s="437"/>
      <c r="BJ1604" s="427"/>
      <c r="BK1604" s="437"/>
      <c r="BL1604" s="427"/>
      <c r="BM1604" s="429"/>
      <c r="BN1604" s="427"/>
      <c r="BO1604" s="428"/>
      <c r="BQ1604" s="429"/>
      <c r="BR1604" s="426"/>
      <c r="BS1604" s="426"/>
    </row>
    <row r="1605" customFormat="false" ht="13.5" hidden="false" customHeight="false" outlineLevel="0" collapsed="false">
      <c r="A1605" s="440" t="n">
        <f aca="false">B1603*100000000000</f>
        <v>0</v>
      </c>
      <c r="B1605" s="440" t="str">
        <f aca="false">IF(B1603&gt;0,VLOOKUP(B1603,$Q$7:$T$15,3),"")</f>
        <v/>
      </c>
      <c r="C1605" s="440" t="str">
        <f aca="false">IF(C1603&gt;0,VLOOKUP(C1603,Q1588:R1686,2),"")</f>
        <v/>
      </c>
      <c r="D1605" s="440" t="str">
        <f aca="false">IF(B1600+C1603&gt;0," Milyar ","")</f>
        <v/>
      </c>
      <c r="E1605" s="440" t="e">
        <f aca="false">IF(E1603&gt;0,VLOOKUP(E1603,$Q$7:$T$15,3),"")</f>
        <v>#N/A</v>
      </c>
      <c r="F1605" s="440" t="e">
        <f aca="false">IF(F1603&gt;0,VLOOKUP(F1603,Q1588:R1686,2),"")</f>
        <v>#VALUE!</v>
      </c>
      <c r="G1605" s="435" t="e">
        <f aca="false">IF(F1603+E1603&gt;0," Juta","")</f>
        <v>#VALUE!</v>
      </c>
      <c r="H1605" s="440" t="str">
        <f aca="false">IF(H1603&gt;0,VLOOKUP(H1603,$Q$7:$T$15,3),"")</f>
        <v/>
      </c>
      <c r="I1605" s="440" t="str">
        <f aca="false">IF(I1603=1," Se",IF(I1603=0,"",VLOOKUP(I1603,Q1588:R1686,2)))</f>
        <v/>
      </c>
      <c r="J1605" s="435" t="str">
        <f aca="false">IF(I1603+H1603&gt;0," ribu","")</f>
        <v/>
      </c>
      <c r="K1605" s="440" t="str">
        <f aca="false">IF(K1603&gt;0,VLOOKUP(K1603,Q1588:S1596,3),"")</f>
        <v/>
      </c>
      <c r="L1605" s="440" t="str">
        <f aca="false">IF(L1603&gt;0,VLOOKUP(L1603,Q1588:R1686,2),"")</f>
        <v> Dua belas</v>
      </c>
      <c r="M1605" s="440" t="str">
        <f aca="false">IF(N1603&gt;0,VLOOKUP(N1602,Q1587:U1686,5)," Rupiah ")</f>
        <v> Rupiah </v>
      </c>
      <c r="N1605" s="424"/>
      <c r="O1605" s="435" t="str">
        <f aca="false">IF(N1603&gt;0," ====","")</f>
        <v/>
      </c>
      <c r="P1605" s="435" t="str">
        <f aca="false">IF(N1603&gt;0,"-","====")</f>
        <v>====</v>
      </c>
      <c r="Q1605" s="435" t="n">
        <v>18</v>
      </c>
      <c r="R1605" s="434" t="s">
        <v>466</v>
      </c>
      <c r="S1605" s="424"/>
      <c r="T1605" s="434" t="s">
        <v>467</v>
      </c>
      <c r="U1605" s="434" t="s">
        <v>468</v>
      </c>
      <c r="V1605" s="436" t="n">
        <f aca="false">AY1605</f>
        <v>0</v>
      </c>
      <c r="W1605" s="424"/>
      <c r="X1605" s="429"/>
      <c r="AY1605" s="427"/>
      <c r="BC1605" s="428"/>
      <c r="BD1605" s="429"/>
      <c r="BG1605" s="427"/>
      <c r="BH1605" s="437"/>
      <c r="BJ1605" s="427"/>
      <c r="BK1605" s="437"/>
      <c r="BL1605" s="427"/>
      <c r="BM1605" s="429"/>
      <c r="BN1605" s="427"/>
      <c r="BO1605" s="428"/>
      <c r="BQ1605" s="429"/>
      <c r="BR1605" s="426"/>
      <c r="BS1605" s="426"/>
    </row>
    <row r="1606" customFormat="false" ht="13.5" hidden="false" customHeight="false" outlineLevel="0" collapsed="false">
      <c r="A1606" s="440"/>
      <c r="B1606" s="435" t="str">
        <f aca="false">B1605</f>
        <v/>
      </c>
      <c r="C1606" s="424"/>
      <c r="D1606" s="424"/>
      <c r="E1606" s="424"/>
      <c r="F1606" s="424"/>
      <c r="G1606" s="424"/>
      <c r="H1606" s="424"/>
      <c r="I1606" s="424"/>
      <c r="J1606" s="424"/>
      <c r="K1606" s="424"/>
      <c r="L1606" s="424"/>
      <c r="M1606" s="424"/>
      <c r="N1606" s="424"/>
      <c r="O1606" s="424"/>
      <c r="P1606" s="438" t="s">
        <v>417</v>
      </c>
      <c r="Q1606" s="435" t="n">
        <v>19</v>
      </c>
      <c r="R1606" s="434" t="s">
        <v>469</v>
      </c>
      <c r="S1606" s="424"/>
      <c r="T1606" s="434" t="s">
        <v>470</v>
      </c>
      <c r="U1606" s="434" t="s">
        <v>471</v>
      </c>
      <c r="V1606" s="436" t="n">
        <f aca="false">AY1611</f>
        <v>0</v>
      </c>
      <c r="W1606" s="424"/>
      <c r="BB1606" s="429"/>
      <c r="BC1606" s="428"/>
      <c r="BD1606" s="429"/>
      <c r="BG1606" s="427"/>
      <c r="BH1606" s="437"/>
      <c r="BJ1606" s="427"/>
      <c r="BK1606" s="431"/>
      <c r="BN1606" s="427"/>
      <c r="BO1606" s="428"/>
      <c r="BQ1606" s="429"/>
      <c r="BR1606" s="426"/>
      <c r="BS1606" s="426"/>
    </row>
    <row r="1607" customFormat="false" ht="13.5" hidden="false" customHeight="false" outlineLevel="0" collapsed="false">
      <c r="A1607" s="440"/>
      <c r="B1607" s="435" t="str">
        <f aca="false">C1605</f>
        <v/>
      </c>
      <c r="C1607" s="424"/>
      <c r="D1607" s="424"/>
      <c r="E1607" s="424"/>
      <c r="F1607" s="424"/>
      <c r="G1607" s="424"/>
      <c r="H1607" s="424"/>
      <c r="I1607" s="424"/>
      <c r="J1607" s="424"/>
      <c r="K1607" s="424"/>
      <c r="L1607" s="424"/>
      <c r="M1607" s="424"/>
      <c r="N1607" s="424"/>
      <c r="O1607" s="424"/>
      <c r="P1607" s="438" t="s">
        <v>417</v>
      </c>
      <c r="Q1607" s="435" t="n">
        <v>20</v>
      </c>
      <c r="R1607" s="434" t="s">
        <v>472</v>
      </c>
      <c r="S1607" s="424"/>
      <c r="T1607" s="434" t="s">
        <v>473</v>
      </c>
      <c r="U1607" s="434" t="s">
        <v>474</v>
      </c>
      <c r="V1607" s="436" t="n">
        <f aca="false">AY1612</f>
        <v>0</v>
      </c>
      <c r="W1607" s="424"/>
      <c r="AC1607" s="427"/>
      <c r="AD1607" s="427"/>
      <c r="AE1607" s="427"/>
      <c r="AH1607" s="427"/>
      <c r="AI1607" s="427"/>
      <c r="AK1607" s="427"/>
      <c r="AQ1607" s="427"/>
      <c r="AT1607" s="427"/>
      <c r="BC1607" s="428"/>
      <c r="BD1607" s="429"/>
      <c r="BG1607" s="427"/>
      <c r="BH1607" s="437"/>
      <c r="BJ1607" s="427"/>
      <c r="BK1607" s="437"/>
      <c r="BL1607" s="431"/>
      <c r="BN1607" s="427"/>
      <c r="BO1607" s="428"/>
      <c r="BQ1607" s="429"/>
      <c r="BR1607" s="426"/>
      <c r="BS1607" s="426"/>
    </row>
    <row r="1608" customFormat="false" ht="13.5" hidden="false" customHeight="false" outlineLevel="0" collapsed="false">
      <c r="A1608" s="440"/>
      <c r="B1608" s="435" t="str">
        <f aca="false">D1605</f>
        <v/>
      </c>
      <c r="C1608" s="424"/>
      <c r="D1608" s="424"/>
      <c r="E1608" s="424"/>
      <c r="F1608" s="424"/>
      <c r="G1608" s="424"/>
      <c r="H1608" s="424"/>
      <c r="I1608" s="424"/>
      <c r="J1608" s="424"/>
      <c r="K1608" s="424"/>
      <c r="L1608" s="424"/>
      <c r="M1608" s="424"/>
      <c r="N1608" s="424"/>
      <c r="O1608" s="424"/>
      <c r="P1608" s="438" t="s">
        <v>417</v>
      </c>
      <c r="Q1608" s="435" t="n">
        <v>21</v>
      </c>
      <c r="R1608" s="434" t="s">
        <v>475</v>
      </c>
      <c r="S1608" s="424"/>
      <c r="T1608" s="434" t="s">
        <v>476</v>
      </c>
      <c r="U1608" s="434" t="s">
        <v>477</v>
      </c>
      <c r="V1608" s="436" t="n">
        <f aca="false">AY1613</f>
        <v>0</v>
      </c>
      <c r="W1608" s="424"/>
      <c r="AQ1608" s="427"/>
      <c r="BC1608" s="428"/>
      <c r="BD1608" s="429"/>
      <c r="BG1608" s="427"/>
      <c r="BH1608" s="437"/>
      <c r="BJ1608" s="427"/>
      <c r="BK1608" s="437"/>
      <c r="BL1608" s="427"/>
      <c r="BM1608" s="429"/>
      <c r="BN1608" s="427"/>
      <c r="BO1608" s="428"/>
      <c r="BQ1608" s="429"/>
      <c r="BR1608" s="426"/>
      <c r="BS1608" s="426"/>
    </row>
    <row r="1609" customFormat="false" ht="13.5" hidden="false" customHeight="false" outlineLevel="0" collapsed="false">
      <c r="A1609" s="440"/>
      <c r="B1609" s="435" t="e">
        <f aca="false">E1605</f>
        <v>#N/A</v>
      </c>
      <c r="C1609" s="424"/>
      <c r="D1609" s="424"/>
      <c r="E1609" s="424"/>
      <c r="F1609" s="424"/>
      <c r="G1609" s="424"/>
      <c r="H1609" s="424"/>
      <c r="I1609" s="424"/>
      <c r="J1609" s="424"/>
      <c r="K1609" s="424"/>
      <c r="L1609" s="424"/>
      <c r="M1609" s="424"/>
      <c r="N1609" s="424"/>
      <c r="O1609" s="424"/>
      <c r="P1609" s="424"/>
      <c r="Q1609" s="435" t="n">
        <v>22</v>
      </c>
      <c r="R1609" s="434" t="s">
        <v>478</v>
      </c>
      <c r="S1609" s="424"/>
      <c r="T1609" s="434" t="s">
        <v>479</v>
      </c>
      <c r="U1609" s="434" t="s">
        <v>480</v>
      </c>
      <c r="V1609" s="436" t="n">
        <f aca="false">AY1614</f>
        <v>0</v>
      </c>
      <c r="W1609" s="424"/>
      <c r="AC1609" s="427"/>
      <c r="AH1609" s="427"/>
      <c r="BC1609" s="428"/>
      <c r="BG1609" s="427"/>
      <c r="BH1609" s="437"/>
      <c r="BJ1609" s="427"/>
      <c r="BK1609" s="437"/>
      <c r="BL1609" s="427"/>
      <c r="BM1609" s="429"/>
      <c r="BN1609" s="427"/>
      <c r="BO1609" s="428"/>
      <c r="BQ1609" s="429"/>
      <c r="BR1609" s="426"/>
      <c r="BS1609" s="426"/>
    </row>
    <row r="1610" customFormat="false" ht="13.5" hidden="false" customHeight="false" outlineLevel="0" collapsed="false">
      <c r="A1610" s="440"/>
      <c r="B1610" s="435" t="e">
        <f aca="false">F1605</f>
        <v>#VALUE!</v>
      </c>
      <c r="C1610" s="424"/>
      <c r="D1610" s="424"/>
      <c r="E1610" s="424"/>
      <c r="F1610" s="424"/>
      <c r="G1610" s="424"/>
      <c r="H1610" s="424"/>
      <c r="I1610" s="424"/>
      <c r="J1610" s="424"/>
      <c r="K1610" s="424"/>
      <c r="L1610" s="424"/>
      <c r="M1610" s="424"/>
      <c r="N1610" s="424"/>
      <c r="O1610" s="424"/>
      <c r="P1610" s="438" t="s">
        <v>417</v>
      </c>
      <c r="Q1610" s="435" t="n">
        <v>23</v>
      </c>
      <c r="R1610" s="434" t="s">
        <v>481</v>
      </c>
      <c r="S1610" s="424"/>
      <c r="T1610" s="434" t="s">
        <v>482</v>
      </c>
      <c r="U1610" s="434" t="s">
        <v>483</v>
      </c>
      <c r="V1610" s="436" t="n">
        <f aca="false">AY1615</f>
        <v>0</v>
      </c>
      <c r="W1610" s="424"/>
      <c r="BA1610" s="427"/>
      <c r="BB1610" s="429"/>
      <c r="BC1610" s="428"/>
      <c r="BG1610" s="427"/>
      <c r="BH1610" s="437"/>
      <c r="BJ1610" s="427"/>
      <c r="BK1610" s="437"/>
      <c r="BL1610" s="427"/>
      <c r="BM1610" s="429"/>
      <c r="BN1610" s="427"/>
      <c r="BO1610" s="428"/>
      <c r="BQ1610" s="429"/>
      <c r="BR1610" s="426"/>
      <c r="BS1610" s="426"/>
    </row>
    <row r="1611" customFormat="false" ht="13.5" hidden="false" customHeight="false" outlineLevel="0" collapsed="false">
      <c r="A1611" s="424"/>
      <c r="B1611" s="424"/>
      <c r="C1611" s="424"/>
      <c r="D1611" s="424"/>
      <c r="E1611" s="424"/>
      <c r="F1611" s="424"/>
      <c r="G1611" s="424"/>
      <c r="H1611" s="424"/>
      <c r="I1611" s="424"/>
      <c r="J1611" s="424"/>
      <c r="K1611" s="424"/>
      <c r="L1611" s="424"/>
      <c r="M1611" s="424"/>
      <c r="N1611" s="424"/>
      <c r="O1611" s="424"/>
      <c r="P1611" s="438" t="s">
        <v>417</v>
      </c>
      <c r="Q1611" s="435" t="n">
        <v>24</v>
      </c>
      <c r="R1611" s="434" t="s">
        <v>484</v>
      </c>
      <c r="S1611" s="424"/>
      <c r="T1611" s="434" t="s">
        <v>485</v>
      </c>
      <c r="U1611" s="434" t="s">
        <v>486</v>
      </c>
      <c r="V1611" s="436" t="n">
        <f aca="false">AY1616</f>
        <v>0</v>
      </c>
      <c r="W1611" s="424"/>
      <c r="X1611" s="429"/>
      <c r="Y1611" s="426"/>
      <c r="Z1611" s="429"/>
      <c r="AA1611" s="426"/>
      <c r="AB1611" s="426"/>
      <c r="AC1611" s="427"/>
      <c r="AD1611" s="427"/>
      <c r="AE1611" s="427"/>
      <c r="AF1611" s="427"/>
      <c r="AG1611" s="427"/>
      <c r="AH1611" s="427"/>
      <c r="AI1611" s="427"/>
      <c r="AJ1611" s="427"/>
      <c r="AK1611" s="427"/>
      <c r="AL1611" s="427"/>
      <c r="AM1611" s="427"/>
      <c r="AN1611" s="427"/>
      <c r="AO1611" s="428"/>
      <c r="AP1611" s="427"/>
      <c r="AQ1611" s="427"/>
      <c r="AR1611" s="427"/>
      <c r="AS1611" s="427"/>
      <c r="AT1611" s="427"/>
      <c r="AU1611" s="427"/>
      <c r="AV1611" s="427"/>
      <c r="AW1611" s="427"/>
      <c r="AX1611" s="433"/>
      <c r="AY1611" s="427"/>
      <c r="BN1611" s="427"/>
      <c r="BO1611" s="428"/>
      <c r="BQ1611" s="429"/>
      <c r="BR1611" s="426"/>
      <c r="BS1611" s="426"/>
    </row>
    <row r="1612" customFormat="false" ht="13.5" hidden="false" customHeight="false" outlineLevel="0" collapsed="false">
      <c r="A1612" s="424"/>
      <c r="B1612" s="424"/>
      <c r="C1612" s="424"/>
      <c r="D1612" s="424"/>
      <c r="E1612" s="424"/>
      <c r="F1612" s="424"/>
      <c r="G1612" s="424"/>
      <c r="H1612" s="424"/>
      <c r="I1612" s="424"/>
      <c r="J1612" s="424"/>
      <c r="K1612" s="424"/>
      <c r="L1612" s="424"/>
      <c r="M1612" s="424"/>
      <c r="N1612" s="424"/>
      <c r="O1612" s="424"/>
      <c r="P1612" s="438" t="s">
        <v>417</v>
      </c>
      <c r="Q1612" s="435" t="n">
        <v>25</v>
      </c>
      <c r="R1612" s="434" t="s">
        <v>487</v>
      </c>
      <c r="S1612" s="424"/>
      <c r="T1612" s="434" t="s">
        <v>488</v>
      </c>
      <c r="U1612" s="434" t="s">
        <v>489</v>
      </c>
      <c r="V1612" s="436" t="n">
        <f aca="false">AY1617</f>
        <v>0</v>
      </c>
      <c r="W1612" s="424"/>
      <c r="X1612" s="429"/>
      <c r="Y1612" s="426"/>
      <c r="Z1612" s="429"/>
      <c r="AA1612" s="426"/>
      <c r="AB1612" s="426"/>
      <c r="AC1612" s="427"/>
      <c r="AD1612" s="427"/>
      <c r="AE1612" s="427"/>
      <c r="AF1612" s="427"/>
      <c r="AG1612" s="427"/>
      <c r="AH1612" s="427"/>
      <c r="AI1612" s="427"/>
      <c r="AJ1612" s="427"/>
      <c r="AK1612" s="427"/>
      <c r="AL1612" s="427"/>
      <c r="AM1612" s="427"/>
      <c r="AN1612" s="427"/>
      <c r="AO1612" s="428"/>
      <c r="AP1612" s="427"/>
      <c r="AQ1612" s="427"/>
      <c r="AR1612" s="427"/>
      <c r="AS1612" s="427"/>
      <c r="AT1612" s="427"/>
      <c r="AU1612" s="427"/>
      <c r="AV1612" s="427"/>
      <c r="AW1612" s="427"/>
      <c r="AX1612" s="433"/>
      <c r="AY1612" s="427"/>
      <c r="BN1612" s="427"/>
      <c r="BP1612" s="428"/>
      <c r="BQ1612" s="429"/>
      <c r="BR1612" s="426"/>
      <c r="BS1612" s="426"/>
    </row>
    <row r="1613" customFormat="false" ht="13.5" hidden="false" customHeight="false" outlineLevel="0" collapsed="false">
      <c r="A1613" s="424"/>
      <c r="B1613" s="424"/>
      <c r="C1613" s="424"/>
      <c r="D1613" s="424"/>
      <c r="E1613" s="424"/>
      <c r="F1613" s="424"/>
      <c r="G1613" s="424"/>
      <c r="H1613" s="424"/>
      <c r="I1613" s="424"/>
      <c r="J1613" s="424"/>
      <c r="K1613" s="424"/>
      <c r="L1613" s="424"/>
      <c r="M1613" s="424"/>
      <c r="N1613" s="424"/>
      <c r="O1613" s="424"/>
      <c r="P1613" s="438" t="s">
        <v>417</v>
      </c>
      <c r="Q1613" s="435" t="n">
        <v>26</v>
      </c>
      <c r="R1613" s="434" t="s">
        <v>490</v>
      </c>
      <c r="S1613" s="424"/>
      <c r="T1613" s="434" t="s">
        <v>491</v>
      </c>
      <c r="U1613" s="434" t="s">
        <v>492</v>
      </c>
      <c r="V1613" s="436" t="n">
        <f aca="false">AY1618</f>
        <v>0</v>
      </c>
      <c r="W1613" s="424"/>
      <c r="X1613" s="429"/>
      <c r="Y1613" s="426"/>
      <c r="Z1613" s="429"/>
      <c r="AA1613" s="426"/>
      <c r="AB1613" s="426"/>
      <c r="AC1613" s="427"/>
      <c r="AD1613" s="427"/>
      <c r="AE1613" s="427"/>
      <c r="AF1613" s="427"/>
      <c r="AG1613" s="427"/>
      <c r="AH1613" s="427"/>
      <c r="AI1613" s="427"/>
      <c r="AJ1613" s="427"/>
      <c r="AK1613" s="427"/>
      <c r="AL1613" s="427"/>
      <c r="AM1613" s="427"/>
      <c r="AN1613" s="427"/>
      <c r="AO1613" s="428"/>
      <c r="AP1613" s="427"/>
      <c r="AQ1613" s="427"/>
      <c r="AR1613" s="427"/>
      <c r="AS1613" s="427"/>
      <c r="AT1613" s="427"/>
      <c r="AU1613" s="427"/>
      <c r="AV1613" s="427"/>
      <c r="AW1613" s="427"/>
      <c r="AX1613" s="433"/>
      <c r="AY1613" s="427"/>
      <c r="BN1613" s="427"/>
      <c r="BO1613" s="428"/>
      <c r="BP1613" s="428"/>
      <c r="BQ1613" s="429"/>
      <c r="BR1613" s="426"/>
      <c r="BS1613" s="426"/>
    </row>
    <row r="1614" customFormat="false" ht="13.5" hidden="false" customHeight="false" outlineLevel="0" collapsed="false">
      <c r="A1614" s="424"/>
      <c r="B1614" s="424"/>
      <c r="C1614" s="424"/>
      <c r="D1614" s="424"/>
      <c r="E1614" s="424"/>
      <c r="F1614" s="424"/>
      <c r="G1614" s="424"/>
      <c r="H1614" s="424"/>
      <c r="I1614" s="424"/>
      <c r="J1614" s="424"/>
      <c r="K1614" s="424"/>
      <c r="L1614" s="424"/>
      <c r="M1614" s="424"/>
      <c r="N1614" s="424"/>
      <c r="O1614" s="424"/>
      <c r="P1614" s="424"/>
      <c r="Q1614" s="435" t="n">
        <v>27</v>
      </c>
      <c r="R1614" s="434" t="s">
        <v>493</v>
      </c>
      <c r="S1614" s="424"/>
      <c r="T1614" s="434" t="s">
        <v>494</v>
      </c>
      <c r="U1614" s="434" t="s">
        <v>495</v>
      </c>
      <c r="V1614" s="436" t="n">
        <f aca="false">AY1619</f>
        <v>0</v>
      </c>
      <c r="W1614" s="424"/>
      <c r="X1614" s="429"/>
      <c r="Y1614" s="426"/>
      <c r="Z1614" s="429"/>
      <c r="AA1614" s="426"/>
      <c r="AB1614" s="426"/>
      <c r="AC1614" s="427"/>
      <c r="AD1614" s="427"/>
      <c r="AE1614" s="427"/>
      <c r="AF1614" s="427"/>
      <c r="AG1614" s="427"/>
      <c r="AH1614" s="427"/>
      <c r="AI1614" s="427"/>
      <c r="AJ1614" s="427"/>
      <c r="AK1614" s="427"/>
      <c r="AL1614" s="427"/>
      <c r="AM1614" s="427"/>
      <c r="AN1614" s="427"/>
      <c r="AO1614" s="428"/>
      <c r="AP1614" s="427"/>
      <c r="AQ1614" s="427"/>
      <c r="AR1614" s="427"/>
      <c r="AS1614" s="427"/>
      <c r="AT1614" s="427"/>
      <c r="AU1614" s="427"/>
      <c r="AV1614" s="427"/>
      <c r="AW1614" s="427"/>
      <c r="AX1614" s="433"/>
      <c r="AY1614" s="427"/>
      <c r="BN1614" s="427"/>
      <c r="BO1614" s="428"/>
      <c r="BP1614" s="428"/>
      <c r="BQ1614" s="429"/>
      <c r="BR1614" s="426"/>
      <c r="BS1614" s="426"/>
    </row>
    <row r="1615" customFormat="false" ht="13.5" hidden="false" customHeight="false" outlineLevel="0" collapsed="false">
      <c r="A1615" s="424"/>
      <c r="B1615" s="424"/>
      <c r="C1615" s="424"/>
      <c r="D1615" s="424"/>
      <c r="E1615" s="424"/>
      <c r="F1615" s="424"/>
      <c r="G1615" s="424"/>
      <c r="H1615" s="424"/>
      <c r="I1615" s="424"/>
      <c r="J1615" s="424"/>
      <c r="K1615" s="424"/>
      <c r="L1615" s="424"/>
      <c r="M1615" s="424"/>
      <c r="N1615" s="424"/>
      <c r="O1615" s="424"/>
      <c r="P1615" s="424"/>
      <c r="Q1615" s="435" t="n">
        <v>28</v>
      </c>
      <c r="R1615" s="434" t="s">
        <v>496</v>
      </c>
      <c r="S1615" s="424"/>
      <c r="T1615" s="434" t="s">
        <v>497</v>
      </c>
      <c r="U1615" s="434" t="s">
        <v>498</v>
      </c>
      <c r="V1615" s="436" t="n">
        <f aca="false">AY1620</f>
        <v>0</v>
      </c>
      <c r="W1615" s="424"/>
      <c r="X1615" s="429"/>
      <c r="Y1615" s="426"/>
      <c r="Z1615" s="429"/>
      <c r="AA1615" s="426"/>
      <c r="AB1615" s="426"/>
      <c r="AC1615" s="427"/>
      <c r="AD1615" s="427"/>
      <c r="AE1615" s="427"/>
      <c r="AF1615" s="427"/>
      <c r="AG1615" s="427"/>
      <c r="AH1615" s="427"/>
      <c r="AI1615" s="427"/>
      <c r="AJ1615" s="427"/>
      <c r="AK1615" s="427"/>
      <c r="AL1615" s="427"/>
      <c r="AM1615" s="427"/>
      <c r="AN1615" s="427"/>
      <c r="AO1615" s="428"/>
      <c r="AP1615" s="427"/>
      <c r="AQ1615" s="427"/>
      <c r="AR1615" s="427"/>
      <c r="AS1615" s="427"/>
      <c r="AT1615" s="427"/>
      <c r="AU1615" s="427"/>
      <c r="AV1615" s="427"/>
      <c r="AW1615" s="427"/>
      <c r="AX1615" s="433"/>
      <c r="AY1615" s="427"/>
      <c r="BN1615" s="427"/>
      <c r="BO1615" s="428"/>
      <c r="BP1615" s="428"/>
      <c r="BQ1615" s="429"/>
      <c r="BR1615" s="426"/>
      <c r="BS1615" s="426"/>
    </row>
    <row r="1616" customFormat="false" ht="13.5" hidden="false" customHeight="false" outlineLevel="0" collapsed="false">
      <c r="A1616" s="424"/>
      <c r="B1616" s="424"/>
      <c r="C1616" s="424"/>
      <c r="D1616" s="424"/>
      <c r="E1616" s="424"/>
      <c r="F1616" s="424"/>
      <c r="G1616" s="424"/>
      <c r="H1616" s="424"/>
      <c r="I1616" s="424"/>
      <c r="J1616" s="424"/>
      <c r="K1616" s="424"/>
      <c r="L1616" s="424"/>
      <c r="M1616" s="424"/>
      <c r="N1616" s="424"/>
      <c r="O1616" s="424"/>
      <c r="P1616" s="424"/>
      <c r="Q1616" s="435" t="n">
        <v>29</v>
      </c>
      <c r="R1616" s="434" t="s">
        <v>499</v>
      </c>
      <c r="S1616" s="424"/>
      <c r="T1616" s="434" t="s">
        <v>500</v>
      </c>
      <c r="U1616" s="434" t="s">
        <v>501</v>
      </c>
      <c r="V1616" s="436" t="n">
        <f aca="false">AY1621</f>
        <v>0</v>
      </c>
      <c r="W1616" s="424"/>
      <c r="X1616" s="429"/>
      <c r="Y1616" s="426"/>
      <c r="Z1616" s="429"/>
      <c r="AA1616" s="426"/>
      <c r="AB1616" s="426"/>
      <c r="AC1616" s="427"/>
      <c r="AD1616" s="427"/>
      <c r="AE1616" s="427"/>
      <c r="AF1616" s="427"/>
      <c r="AG1616" s="427"/>
      <c r="AH1616" s="427"/>
      <c r="AI1616" s="427"/>
      <c r="AJ1616" s="427"/>
      <c r="AK1616" s="427"/>
      <c r="AL1616" s="427"/>
      <c r="AM1616" s="427"/>
      <c r="AN1616" s="427"/>
      <c r="AO1616" s="428"/>
      <c r="AP1616" s="427"/>
      <c r="AQ1616" s="427"/>
      <c r="AR1616" s="427"/>
      <c r="AS1616" s="427"/>
      <c r="AT1616" s="427"/>
      <c r="AU1616" s="427"/>
      <c r="AV1616" s="427"/>
      <c r="AW1616" s="427"/>
      <c r="AX1616" s="433"/>
      <c r="AY1616" s="427"/>
      <c r="BN1616" s="427"/>
      <c r="BO1616" s="428"/>
      <c r="BP1616" s="428"/>
      <c r="BQ1616" s="429"/>
      <c r="BR1616" s="426"/>
      <c r="BS1616" s="426"/>
    </row>
    <row r="1617" customFormat="false" ht="13.5" hidden="false" customHeight="false" outlineLevel="0" collapsed="false">
      <c r="A1617" s="424"/>
      <c r="B1617" s="424"/>
      <c r="C1617" s="424"/>
      <c r="D1617" s="424"/>
      <c r="E1617" s="424"/>
      <c r="F1617" s="424"/>
      <c r="G1617" s="424"/>
      <c r="H1617" s="424"/>
      <c r="I1617" s="424"/>
      <c r="J1617" s="424"/>
      <c r="K1617" s="424"/>
      <c r="L1617" s="424"/>
      <c r="M1617" s="424"/>
      <c r="N1617" s="424"/>
      <c r="O1617" s="424"/>
      <c r="P1617" s="424"/>
      <c r="Q1617" s="435" t="n">
        <v>30</v>
      </c>
      <c r="R1617" s="434" t="s">
        <v>502</v>
      </c>
      <c r="S1617" s="424"/>
      <c r="T1617" s="434" t="s">
        <v>503</v>
      </c>
      <c r="U1617" s="434" t="s">
        <v>504</v>
      </c>
      <c r="V1617" s="436" t="n">
        <f aca="false">AY1622</f>
        <v>0</v>
      </c>
      <c r="W1617" s="424"/>
      <c r="X1617" s="429"/>
      <c r="Y1617" s="426"/>
      <c r="Z1617" s="429"/>
      <c r="AA1617" s="426"/>
      <c r="AB1617" s="426"/>
      <c r="AC1617" s="427"/>
      <c r="AD1617" s="427"/>
      <c r="AE1617" s="427"/>
      <c r="AF1617" s="427"/>
      <c r="AG1617" s="427"/>
      <c r="AH1617" s="427"/>
      <c r="AI1617" s="427"/>
      <c r="AJ1617" s="427"/>
      <c r="AK1617" s="427"/>
      <c r="AL1617" s="427"/>
      <c r="AM1617" s="427"/>
      <c r="AN1617" s="427"/>
      <c r="AO1617" s="428"/>
      <c r="AP1617" s="427"/>
      <c r="AQ1617" s="427"/>
      <c r="AR1617" s="427"/>
      <c r="AS1617" s="427"/>
      <c r="AT1617" s="427"/>
      <c r="AU1617" s="427"/>
      <c r="AV1617" s="427"/>
      <c r="AW1617" s="427"/>
      <c r="AX1617" s="433"/>
      <c r="AY1617" s="427"/>
      <c r="BN1617" s="427"/>
      <c r="BO1617" s="428"/>
      <c r="BP1617" s="428"/>
      <c r="BQ1617" s="429"/>
      <c r="BR1617" s="426"/>
      <c r="BS1617" s="426"/>
    </row>
    <row r="1618" customFormat="false" ht="13.5" hidden="false" customHeight="false" outlineLevel="0" collapsed="false">
      <c r="A1618" s="424"/>
      <c r="B1618" s="424"/>
      <c r="C1618" s="424"/>
      <c r="D1618" s="424"/>
      <c r="E1618" s="424"/>
      <c r="F1618" s="424"/>
      <c r="G1618" s="424"/>
      <c r="H1618" s="424"/>
      <c r="I1618" s="424"/>
      <c r="J1618" s="424"/>
      <c r="K1618" s="424"/>
      <c r="L1618" s="424"/>
      <c r="M1618" s="424"/>
      <c r="N1618" s="424"/>
      <c r="O1618" s="424"/>
      <c r="P1618" s="424"/>
      <c r="Q1618" s="435" t="n">
        <v>31</v>
      </c>
      <c r="R1618" s="434" t="s">
        <v>505</v>
      </c>
      <c r="S1618" s="424"/>
      <c r="T1618" s="434" t="s">
        <v>506</v>
      </c>
      <c r="U1618" s="434" t="s">
        <v>507</v>
      </c>
      <c r="V1618" s="436" t="n">
        <f aca="false">AY1623</f>
        <v>0</v>
      </c>
      <c r="W1618" s="424"/>
      <c r="X1618" s="429"/>
      <c r="Y1618" s="426"/>
      <c r="Z1618" s="429"/>
      <c r="AA1618" s="426"/>
      <c r="AB1618" s="426"/>
      <c r="AC1618" s="427"/>
      <c r="AD1618" s="427"/>
      <c r="AE1618" s="427"/>
      <c r="AF1618" s="427"/>
      <c r="AG1618" s="427"/>
      <c r="AH1618" s="427"/>
      <c r="AI1618" s="427"/>
      <c r="AJ1618" s="427"/>
      <c r="AK1618" s="427"/>
      <c r="AL1618" s="427"/>
      <c r="AM1618" s="427"/>
      <c r="AN1618" s="427"/>
      <c r="AO1618" s="428"/>
      <c r="AP1618" s="427"/>
      <c r="AQ1618" s="427"/>
      <c r="AR1618" s="427"/>
      <c r="AS1618" s="427"/>
      <c r="AT1618" s="427"/>
      <c r="AU1618" s="427"/>
      <c r="AV1618" s="427"/>
      <c r="AW1618" s="427"/>
      <c r="AX1618" s="433"/>
      <c r="AY1618" s="427"/>
      <c r="BN1618" s="427"/>
      <c r="BO1618" s="428"/>
      <c r="BP1618" s="428"/>
      <c r="BQ1618" s="429"/>
      <c r="BR1618" s="426"/>
      <c r="BS1618" s="426"/>
    </row>
    <row r="1619" customFormat="false" ht="13.5" hidden="false" customHeight="false" outlineLevel="0" collapsed="false">
      <c r="A1619" s="424"/>
      <c r="B1619" s="424"/>
      <c r="C1619" s="424"/>
      <c r="D1619" s="424"/>
      <c r="E1619" s="424"/>
      <c r="F1619" s="424"/>
      <c r="G1619" s="424"/>
      <c r="H1619" s="424"/>
      <c r="I1619" s="424"/>
      <c r="J1619" s="424"/>
      <c r="K1619" s="424"/>
      <c r="L1619" s="424"/>
      <c r="M1619" s="424"/>
      <c r="N1619" s="424"/>
      <c r="O1619" s="424"/>
      <c r="P1619" s="424"/>
      <c r="Q1619" s="435" t="n">
        <v>32</v>
      </c>
      <c r="R1619" s="434" t="s">
        <v>508</v>
      </c>
      <c r="S1619" s="424"/>
      <c r="T1619" s="434" t="s">
        <v>509</v>
      </c>
      <c r="U1619" s="434" t="s">
        <v>510</v>
      </c>
      <c r="V1619" s="436" t="n">
        <f aca="false">AY1624</f>
        <v>0</v>
      </c>
      <c r="W1619" s="424"/>
      <c r="X1619" s="429"/>
      <c r="Y1619" s="426"/>
      <c r="Z1619" s="429"/>
      <c r="AA1619" s="426"/>
      <c r="AB1619" s="426"/>
      <c r="AC1619" s="427"/>
      <c r="AD1619" s="427"/>
      <c r="AE1619" s="427"/>
      <c r="AF1619" s="427"/>
      <c r="AG1619" s="427"/>
      <c r="AH1619" s="427"/>
      <c r="AI1619" s="427"/>
      <c r="AJ1619" s="427"/>
      <c r="AK1619" s="427"/>
      <c r="AL1619" s="427"/>
      <c r="AM1619" s="427"/>
      <c r="AN1619" s="427"/>
      <c r="AO1619" s="428"/>
      <c r="AP1619" s="427"/>
      <c r="AQ1619" s="427"/>
      <c r="AR1619" s="427"/>
      <c r="AS1619" s="427"/>
      <c r="AT1619" s="427"/>
      <c r="AU1619" s="427"/>
      <c r="AV1619" s="427"/>
      <c r="AW1619" s="427"/>
      <c r="AX1619" s="433"/>
      <c r="AY1619" s="427"/>
      <c r="BN1619" s="427"/>
      <c r="BO1619" s="428"/>
      <c r="BP1619" s="428"/>
      <c r="BQ1619" s="429"/>
      <c r="BR1619" s="426"/>
      <c r="BS1619" s="426"/>
    </row>
    <row r="1620" customFormat="false" ht="13.5" hidden="false" customHeight="false" outlineLevel="0" collapsed="false">
      <c r="A1620" s="440"/>
      <c r="B1620" s="435" t="e">
        <f aca="false">G1605</f>
        <v>#VALUE!</v>
      </c>
      <c r="C1620" s="424"/>
      <c r="D1620" s="424"/>
      <c r="E1620" s="424"/>
      <c r="F1620" s="424"/>
      <c r="G1620" s="424"/>
      <c r="H1620" s="424"/>
      <c r="I1620" s="424"/>
      <c r="J1620" s="424"/>
      <c r="K1620" s="424"/>
      <c r="L1620" s="424"/>
      <c r="M1620" s="424"/>
      <c r="N1620" s="424"/>
      <c r="O1620" s="424"/>
      <c r="P1620" s="424"/>
      <c r="Q1620" s="435" t="n">
        <v>33</v>
      </c>
      <c r="R1620" s="434" t="s">
        <v>511</v>
      </c>
      <c r="S1620" s="424"/>
      <c r="T1620" s="434" t="s">
        <v>512</v>
      </c>
      <c r="U1620" s="434" t="s">
        <v>513</v>
      </c>
      <c r="V1620" s="436" t="n">
        <f aca="false">AY1625</f>
        <v>0</v>
      </c>
      <c r="W1620" s="424"/>
      <c r="X1620" s="429"/>
      <c r="Y1620" s="426"/>
      <c r="Z1620" s="429"/>
      <c r="AA1620" s="426"/>
      <c r="AB1620" s="426"/>
      <c r="AC1620" s="427"/>
      <c r="AD1620" s="427"/>
      <c r="AE1620" s="427"/>
      <c r="AF1620" s="427"/>
      <c r="AG1620" s="427"/>
      <c r="AH1620" s="427"/>
      <c r="AI1620" s="427"/>
      <c r="AJ1620" s="427"/>
      <c r="AK1620" s="427"/>
      <c r="AL1620" s="427"/>
      <c r="AM1620" s="427"/>
      <c r="AN1620" s="427"/>
      <c r="AO1620" s="428"/>
      <c r="AP1620" s="427"/>
      <c r="AQ1620" s="427"/>
      <c r="AR1620" s="427"/>
      <c r="AS1620" s="427"/>
      <c r="AT1620" s="427"/>
      <c r="AU1620" s="427"/>
      <c r="AV1620" s="427"/>
      <c r="AW1620" s="427"/>
      <c r="AX1620" s="433"/>
      <c r="AY1620" s="427"/>
      <c r="BB1620" s="429"/>
      <c r="BC1620" s="428"/>
      <c r="BG1620" s="427"/>
      <c r="BH1620" s="437"/>
      <c r="BJ1620" s="427"/>
      <c r="BK1620" s="437"/>
      <c r="BL1620" s="427"/>
      <c r="BM1620" s="429"/>
      <c r="BN1620" s="427"/>
      <c r="BO1620" s="428"/>
      <c r="BP1620" s="428"/>
      <c r="BQ1620" s="429"/>
      <c r="BR1620" s="426"/>
      <c r="BS1620" s="426"/>
    </row>
    <row r="1621" customFormat="false" ht="13.5" hidden="false" customHeight="false" outlineLevel="0" collapsed="false">
      <c r="A1621" s="440"/>
      <c r="B1621" s="435" t="str">
        <f aca="false">H1605</f>
        <v/>
      </c>
      <c r="C1621" s="424"/>
      <c r="D1621" s="424"/>
      <c r="E1621" s="424"/>
      <c r="F1621" s="424"/>
      <c r="G1621" s="424"/>
      <c r="H1621" s="424"/>
      <c r="I1621" s="424"/>
      <c r="J1621" s="424"/>
      <c r="K1621" s="424"/>
      <c r="L1621" s="424"/>
      <c r="M1621" s="424"/>
      <c r="N1621" s="424"/>
      <c r="O1621" s="424"/>
      <c r="P1621" s="424"/>
      <c r="Q1621" s="435" t="n">
        <v>34</v>
      </c>
      <c r="R1621" s="434" t="s">
        <v>514</v>
      </c>
      <c r="S1621" s="424"/>
      <c r="T1621" s="434" t="s">
        <v>515</v>
      </c>
      <c r="U1621" s="434" t="s">
        <v>516</v>
      </c>
      <c r="V1621" s="436" t="n">
        <f aca="false">AY1626</f>
        <v>0</v>
      </c>
      <c r="W1621" s="424"/>
      <c r="X1621" s="429"/>
      <c r="Y1621" s="426"/>
      <c r="Z1621" s="429"/>
      <c r="AA1621" s="426"/>
      <c r="AB1621" s="426"/>
      <c r="AC1621" s="427"/>
      <c r="AD1621" s="427"/>
      <c r="AE1621" s="427"/>
      <c r="AF1621" s="427"/>
      <c r="AG1621" s="427"/>
      <c r="AH1621" s="427"/>
      <c r="AI1621" s="427"/>
      <c r="AJ1621" s="427"/>
      <c r="AK1621" s="427"/>
      <c r="AL1621" s="427"/>
      <c r="AM1621" s="427"/>
      <c r="AN1621" s="427"/>
      <c r="AO1621" s="428"/>
      <c r="AP1621" s="427"/>
      <c r="AQ1621" s="427"/>
      <c r="AR1621" s="427"/>
      <c r="AS1621" s="427"/>
      <c r="AT1621" s="427"/>
      <c r="AU1621" s="427"/>
      <c r="AV1621" s="427"/>
      <c r="AW1621" s="427"/>
      <c r="AX1621" s="433"/>
      <c r="AY1621" s="427"/>
      <c r="BA1621" s="427"/>
      <c r="BB1621" s="427"/>
      <c r="BC1621" s="427"/>
      <c r="BD1621" s="427"/>
      <c r="BE1621" s="427"/>
      <c r="BG1621" s="427"/>
      <c r="BH1621" s="427"/>
      <c r="BJ1621" s="427"/>
      <c r="BK1621" s="427"/>
      <c r="BL1621" s="427"/>
      <c r="BN1621" s="427"/>
      <c r="BO1621" s="428"/>
      <c r="BP1621" s="428"/>
      <c r="BQ1621" s="429"/>
      <c r="BR1621" s="426"/>
      <c r="BS1621" s="426"/>
    </row>
    <row r="1622" customFormat="false" ht="13.5" hidden="false" customHeight="false" outlineLevel="0" collapsed="false">
      <c r="A1622" s="440"/>
      <c r="B1622" s="435" t="str">
        <f aca="false">I1605</f>
        <v/>
      </c>
      <c r="C1622" s="424"/>
      <c r="D1622" s="424"/>
      <c r="E1622" s="424"/>
      <c r="F1622" s="424"/>
      <c r="G1622" s="424"/>
      <c r="H1622" s="424"/>
      <c r="I1622" s="424"/>
      <c r="J1622" s="424"/>
      <c r="K1622" s="424"/>
      <c r="L1622" s="424"/>
      <c r="M1622" s="424"/>
      <c r="N1622" s="424"/>
      <c r="O1622" s="424"/>
      <c r="P1622" s="424"/>
      <c r="Q1622" s="435" t="n">
        <v>35</v>
      </c>
      <c r="R1622" s="434" t="s">
        <v>517</v>
      </c>
      <c r="S1622" s="424"/>
      <c r="T1622" s="434" t="s">
        <v>518</v>
      </c>
      <c r="U1622" s="434" t="s">
        <v>519</v>
      </c>
      <c r="V1622" s="436" t="n">
        <f aca="false">AY1627</f>
        <v>0</v>
      </c>
      <c r="W1622" s="424"/>
      <c r="X1622" s="429"/>
      <c r="Y1622" s="426"/>
      <c r="Z1622" s="429"/>
      <c r="AA1622" s="426"/>
      <c r="AB1622" s="426"/>
      <c r="AC1622" s="427"/>
      <c r="AD1622" s="427"/>
      <c r="AE1622" s="427"/>
      <c r="AF1622" s="427"/>
      <c r="AG1622" s="427"/>
      <c r="AH1622" s="427"/>
      <c r="AI1622" s="427"/>
      <c r="AJ1622" s="427"/>
      <c r="AK1622" s="427"/>
      <c r="AL1622" s="427"/>
      <c r="AM1622" s="427"/>
      <c r="AN1622" s="427"/>
      <c r="AO1622" s="428"/>
      <c r="AP1622" s="427"/>
      <c r="AQ1622" s="427"/>
      <c r="AR1622" s="427"/>
      <c r="AS1622" s="427"/>
      <c r="AT1622" s="427"/>
      <c r="AU1622" s="427"/>
      <c r="AV1622" s="427"/>
      <c r="AW1622" s="427"/>
      <c r="AX1622" s="433"/>
      <c r="AY1622" s="427"/>
      <c r="BC1622" s="428"/>
      <c r="BG1622" s="427"/>
      <c r="BH1622" s="437"/>
      <c r="BJ1622" s="427"/>
      <c r="BK1622" s="427"/>
      <c r="BL1622" s="427"/>
      <c r="BM1622" s="429"/>
      <c r="BN1622" s="427"/>
      <c r="BO1622" s="428"/>
      <c r="BP1622" s="428"/>
      <c r="BQ1622" s="429"/>
      <c r="BR1622" s="429"/>
      <c r="BS1622" s="426"/>
    </row>
    <row r="1623" customFormat="false" ht="13.5" hidden="false" customHeight="false" outlineLevel="0" collapsed="false">
      <c r="A1623" s="440"/>
      <c r="B1623" s="435" t="str">
        <f aca="false">J1605</f>
        <v/>
      </c>
      <c r="C1623" s="424"/>
      <c r="D1623" s="424"/>
      <c r="E1623" s="424"/>
      <c r="F1623" s="424"/>
      <c r="G1623" s="424"/>
      <c r="H1623" s="424"/>
      <c r="I1623" s="424"/>
      <c r="J1623" s="424"/>
      <c r="K1623" s="424"/>
      <c r="L1623" s="424"/>
      <c r="M1623" s="424"/>
      <c r="N1623" s="424"/>
      <c r="O1623" s="424"/>
      <c r="P1623" s="424"/>
      <c r="Q1623" s="435" t="n">
        <v>36</v>
      </c>
      <c r="R1623" s="434" t="s">
        <v>520</v>
      </c>
      <c r="S1623" s="424"/>
      <c r="T1623" s="434" t="s">
        <v>521</v>
      </c>
      <c r="U1623" s="434" t="s">
        <v>522</v>
      </c>
      <c r="V1623" s="436" t="n">
        <f aca="false">AY1628</f>
        <v>0</v>
      </c>
      <c r="W1623" s="424"/>
      <c r="X1623" s="429"/>
      <c r="Y1623" s="426"/>
      <c r="Z1623" s="429"/>
      <c r="AA1623" s="426"/>
      <c r="AB1623" s="426"/>
      <c r="AC1623" s="427"/>
      <c r="AD1623" s="427"/>
      <c r="AE1623" s="427"/>
      <c r="AF1623" s="427"/>
      <c r="AG1623" s="427"/>
      <c r="AH1623" s="427"/>
      <c r="AI1623" s="427"/>
      <c r="AJ1623" s="427"/>
      <c r="AK1623" s="427"/>
      <c r="AL1623" s="427"/>
      <c r="AM1623" s="427"/>
      <c r="AN1623" s="427"/>
      <c r="AO1623" s="428"/>
      <c r="AP1623" s="427"/>
      <c r="AQ1623" s="427"/>
      <c r="AR1623" s="427"/>
      <c r="AS1623" s="427"/>
      <c r="AT1623" s="427"/>
      <c r="AU1623" s="427"/>
      <c r="AV1623" s="427"/>
      <c r="AW1623" s="427"/>
      <c r="AX1623" s="433"/>
      <c r="AY1623" s="427"/>
      <c r="BC1623" s="428"/>
      <c r="BG1623" s="427"/>
      <c r="BH1623" s="437"/>
      <c r="BJ1623" s="427"/>
      <c r="BK1623" s="427"/>
      <c r="BL1623" s="427"/>
      <c r="BM1623" s="429"/>
      <c r="BN1623" s="427"/>
      <c r="BO1623" s="428"/>
      <c r="BP1623" s="428"/>
      <c r="BQ1623" s="429"/>
      <c r="BR1623" s="429"/>
      <c r="BS1623" s="426"/>
    </row>
    <row r="1624" customFormat="false" ht="13.5" hidden="false" customHeight="false" outlineLevel="0" collapsed="false">
      <c r="A1624" s="440"/>
      <c r="B1624" s="440" t="str">
        <f aca="false">K1605</f>
        <v/>
      </c>
      <c r="C1624" s="424"/>
      <c r="D1624" s="424"/>
      <c r="E1624" s="424"/>
      <c r="F1624" s="424"/>
      <c r="G1624" s="424"/>
      <c r="H1624" s="424"/>
      <c r="I1624" s="424"/>
      <c r="J1624" s="424"/>
      <c r="K1624" s="424"/>
      <c r="L1624" s="424"/>
      <c r="M1624" s="424"/>
      <c r="N1624" s="424"/>
      <c r="O1624" s="424"/>
      <c r="P1624" s="424"/>
      <c r="Q1624" s="435" t="n">
        <v>37</v>
      </c>
      <c r="R1624" s="434" t="s">
        <v>523</v>
      </c>
      <c r="S1624" s="424"/>
      <c r="T1624" s="434" t="s">
        <v>524</v>
      </c>
      <c r="U1624" s="434" t="s">
        <v>525</v>
      </c>
      <c r="V1624" s="436" t="n">
        <f aca="false">AY1629</f>
        <v>0</v>
      </c>
      <c r="W1624" s="424"/>
      <c r="X1624" s="429"/>
      <c r="Y1624" s="426"/>
      <c r="Z1624" s="429"/>
      <c r="AA1624" s="426"/>
      <c r="AB1624" s="426"/>
      <c r="AC1624" s="427"/>
      <c r="AD1624" s="427"/>
      <c r="AE1624" s="427"/>
      <c r="AF1624" s="427"/>
      <c r="AG1624" s="427"/>
      <c r="AH1624" s="427"/>
      <c r="AI1624" s="427"/>
      <c r="AJ1624" s="427"/>
      <c r="AK1624" s="427"/>
      <c r="AL1624" s="427"/>
      <c r="AM1624" s="427"/>
      <c r="AN1624" s="427"/>
      <c r="AO1624" s="428"/>
      <c r="AP1624" s="427"/>
      <c r="AQ1624" s="427"/>
      <c r="AR1624" s="427"/>
      <c r="AS1624" s="427"/>
      <c r="AT1624" s="427"/>
      <c r="AU1624" s="427"/>
      <c r="AV1624" s="427"/>
      <c r="AW1624" s="427"/>
      <c r="AX1624" s="433"/>
      <c r="AY1624" s="427"/>
      <c r="BC1624" s="428"/>
      <c r="BG1624" s="427"/>
      <c r="BH1624" s="437"/>
      <c r="BJ1624" s="427"/>
      <c r="BK1624" s="427"/>
      <c r="BL1624" s="427"/>
      <c r="BM1624" s="429"/>
      <c r="BN1624" s="427"/>
      <c r="BO1624" s="428"/>
      <c r="BP1624" s="428"/>
      <c r="BQ1624" s="429"/>
      <c r="BR1624" s="429"/>
      <c r="BS1624" s="426"/>
    </row>
    <row r="1625" customFormat="false" ht="13.5" hidden="false" customHeight="false" outlineLevel="0" collapsed="false">
      <c r="A1625" s="440"/>
      <c r="B1625" s="435" t="str">
        <f aca="false">L1605</f>
        <v> Dua belas</v>
      </c>
      <c r="C1625" s="424"/>
      <c r="D1625" s="424"/>
      <c r="E1625" s="424"/>
      <c r="F1625" s="424"/>
      <c r="G1625" s="424"/>
      <c r="H1625" s="424"/>
      <c r="I1625" s="424"/>
      <c r="J1625" s="424"/>
      <c r="K1625" s="424"/>
      <c r="L1625" s="424"/>
      <c r="M1625" s="424"/>
      <c r="N1625" s="424"/>
      <c r="O1625" s="424"/>
      <c r="P1625" s="424"/>
      <c r="Q1625" s="435" t="n">
        <v>38</v>
      </c>
      <c r="R1625" s="434" t="s">
        <v>526</v>
      </c>
      <c r="S1625" s="424"/>
      <c r="T1625" s="434" t="s">
        <v>527</v>
      </c>
      <c r="U1625" s="434" t="s">
        <v>528</v>
      </c>
      <c r="V1625" s="436" t="n">
        <f aca="false">AY1630</f>
        <v>0</v>
      </c>
      <c r="W1625" s="424"/>
      <c r="X1625" s="429"/>
      <c r="Y1625" s="426"/>
      <c r="Z1625" s="429"/>
      <c r="AA1625" s="426"/>
      <c r="AB1625" s="426"/>
      <c r="AC1625" s="427"/>
      <c r="AD1625" s="427"/>
      <c r="AE1625" s="427"/>
      <c r="AF1625" s="427"/>
      <c r="AG1625" s="427"/>
      <c r="AH1625" s="427"/>
      <c r="AI1625" s="427"/>
      <c r="AJ1625" s="427"/>
      <c r="AK1625" s="427"/>
      <c r="AL1625" s="427"/>
      <c r="AM1625" s="427"/>
      <c r="AN1625" s="427"/>
      <c r="AO1625" s="428"/>
      <c r="AP1625" s="427"/>
      <c r="AQ1625" s="427"/>
      <c r="AR1625" s="427"/>
      <c r="AS1625" s="427"/>
      <c r="AT1625" s="427"/>
      <c r="AU1625" s="427"/>
      <c r="AV1625" s="427"/>
      <c r="AW1625" s="427"/>
      <c r="AX1625" s="433"/>
      <c r="AY1625" s="427"/>
      <c r="BB1625" s="429"/>
      <c r="BC1625" s="428"/>
      <c r="BG1625" s="427"/>
      <c r="BH1625" s="437"/>
      <c r="BJ1625" s="427"/>
      <c r="BK1625" s="427"/>
      <c r="BL1625" s="427"/>
      <c r="BM1625" s="429"/>
      <c r="BN1625" s="427"/>
      <c r="BO1625" s="428"/>
      <c r="BP1625" s="429"/>
      <c r="BQ1625" s="429"/>
      <c r="BR1625" s="429"/>
      <c r="BS1625" s="426"/>
    </row>
    <row r="1626" customFormat="false" ht="13.5" hidden="false" customHeight="false" outlineLevel="0" collapsed="false">
      <c r="A1626" s="440"/>
      <c r="B1626" s="435" t="str">
        <f aca="false">M1605</f>
        <v> Rupiah </v>
      </c>
      <c r="C1626" s="424"/>
      <c r="D1626" s="424"/>
      <c r="E1626" s="424"/>
      <c r="F1626" s="424"/>
      <c r="G1626" s="424"/>
      <c r="H1626" s="424"/>
      <c r="I1626" s="424"/>
      <c r="J1626" s="424"/>
      <c r="K1626" s="424"/>
      <c r="L1626" s="424"/>
      <c r="M1626" s="424"/>
      <c r="N1626" s="424"/>
      <c r="O1626" s="424"/>
      <c r="P1626" s="424"/>
      <c r="Q1626" s="435" t="n">
        <v>39</v>
      </c>
      <c r="R1626" s="434" t="s">
        <v>529</v>
      </c>
      <c r="S1626" s="424"/>
      <c r="T1626" s="434" t="s">
        <v>530</v>
      </c>
      <c r="U1626" s="434" t="s">
        <v>531</v>
      </c>
      <c r="V1626" s="436" t="n">
        <f aca="false">AY1631</f>
        <v>0</v>
      </c>
      <c r="W1626" s="424"/>
      <c r="X1626" s="429"/>
      <c r="Y1626" s="426"/>
      <c r="Z1626" s="429"/>
      <c r="AA1626" s="426"/>
      <c r="AB1626" s="426"/>
      <c r="AC1626" s="427"/>
      <c r="AD1626" s="427"/>
      <c r="AE1626" s="427"/>
      <c r="AF1626" s="427"/>
      <c r="AG1626" s="427"/>
      <c r="AH1626" s="427"/>
      <c r="AI1626" s="427"/>
      <c r="AJ1626" s="427"/>
      <c r="AK1626" s="427"/>
      <c r="AL1626" s="427"/>
      <c r="AM1626" s="427"/>
      <c r="AN1626" s="427"/>
      <c r="AO1626" s="428"/>
      <c r="AP1626" s="427"/>
      <c r="AQ1626" s="427"/>
      <c r="AR1626" s="427"/>
      <c r="AS1626" s="427"/>
      <c r="AT1626" s="427"/>
      <c r="AU1626" s="427"/>
      <c r="AV1626" s="427"/>
      <c r="AW1626" s="427"/>
      <c r="AX1626" s="433"/>
      <c r="AY1626" s="427"/>
      <c r="BC1626" s="428"/>
      <c r="BG1626" s="427"/>
      <c r="BH1626" s="437"/>
      <c r="BJ1626" s="427"/>
      <c r="BK1626" s="427"/>
      <c r="BL1626" s="427"/>
      <c r="BM1626" s="429"/>
      <c r="BN1626" s="427"/>
      <c r="BO1626" s="428"/>
      <c r="BP1626" s="428"/>
      <c r="BQ1626" s="429"/>
      <c r="BR1626" s="429"/>
      <c r="BS1626" s="426"/>
    </row>
    <row r="1627" customFormat="false" ht="13.5" hidden="false" customHeight="false" outlineLevel="0" collapsed="false">
      <c r="A1627" s="436" t="e">
        <f aca="false">+#REF!</f>
        <v>#REF!</v>
      </c>
      <c r="B1627" s="435" t="str">
        <f aca="false">O1605</f>
        <v/>
      </c>
      <c r="C1627" s="424"/>
      <c r="D1627" s="424"/>
      <c r="E1627" s="424"/>
      <c r="F1627" s="424"/>
      <c r="G1627" s="424"/>
      <c r="H1627" s="424"/>
      <c r="I1627" s="424"/>
      <c r="J1627" s="424"/>
      <c r="K1627" s="424"/>
      <c r="L1627" s="424"/>
      <c r="M1627" s="424"/>
      <c r="N1627" s="424"/>
      <c r="O1627" s="424"/>
      <c r="P1627" s="424"/>
      <c r="Q1627" s="435" t="n">
        <v>40</v>
      </c>
      <c r="R1627" s="434" t="s">
        <v>532</v>
      </c>
      <c r="S1627" s="424"/>
      <c r="T1627" s="434" t="s">
        <v>533</v>
      </c>
      <c r="U1627" s="434" t="s">
        <v>534</v>
      </c>
      <c r="V1627" s="436" t="n">
        <f aca="false">AY1632</f>
        <v>0</v>
      </c>
      <c r="W1627" s="424"/>
      <c r="X1627" s="429"/>
      <c r="Z1627" s="426"/>
      <c r="AA1627" s="426"/>
      <c r="AB1627" s="426"/>
      <c r="AC1627" s="427"/>
      <c r="AD1627" s="427"/>
      <c r="AE1627" s="427"/>
      <c r="AF1627" s="427"/>
      <c r="AG1627" s="427"/>
      <c r="AH1627" s="427"/>
      <c r="AI1627" s="427"/>
      <c r="AJ1627" s="427"/>
      <c r="AK1627" s="427"/>
      <c r="AL1627" s="427"/>
      <c r="AM1627" s="427"/>
      <c r="AN1627" s="427"/>
      <c r="AO1627" s="428"/>
      <c r="AP1627" s="427"/>
      <c r="AQ1627" s="427"/>
      <c r="AR1627" s="427"/>
      <c r="AS1627" s="427"/>
      <c r="AT1627" s="427"/>
      <c r="AU1627" s="427"/>
      <c r="AV1627" s="427"/>
      <c r="AW1627" s="427"/>
      <c r="AX1627" s="427"/>
      <c r="AY1627" s="427"/>
      <c r="BC1627" s="428"/>
      <c r="BG1627" s="427"/>
      <c r="BH1627" s="437"/>
      <c r="BJ1627" s="427"/>
      <c r="BK1627" s="427"/>
      <c r="BL1627" s="427"/>
      <c r="BM1627" s="429"/>
      <c r="BN1627" s="427"/>
      <c r="BO1627" s="428"/>
      <c r="BP1627" s="428"/>
      <c r="BQ1627" s="429"/>
      <c r="BR1627" s="429"/>
      <c r="BS1627" s="426"/>
    </row>
    <row r="1628" customFormat="false" ht="13.5" hidden="false" customHeight="false" outlineLevel="0" collapsed="false">
      <c r="A1628" s="440"/>
      <c r="B1628" s="435" t="str">
        <f aca="false">IF(N1603&gt;0,"-","====")</f>
        <v>====</v>
      </c>
      <c r="C1628" s="424"/>
      <c r="D1628" s="424"/>
      <c r="E1628" s="424"/>
      <c r="F1628" s="424"/>
      <c r="G1628" s="424"/>
      <c r="H1628" s="424"/>
      <c r="I1628" s="424"/>
      <c r="J1628" s="424"/>
      <c r="K1628" s="424"/>
      <c r="L1628" s="424"/>
      <c r="M1628" s="424"/>
      <c r="N1628" s="424"/>
      <c r="O1628" s="424"/>
      <c r="P1628" s="424"/>
      <c r="Q1628" s="435" t="n">
        <v>41</v>
      </c>
      <c r="R1628" s="434" t="s">
        <v>535</v>
      </c>
      <c r="S1628" s="424"/>
      <c r="T1628" s="434" t="s">
        <v>536</v>
      </c>
      <c r="U1628" s="434" t="s">
        <v>537</v>
      </c>
      <c r="V1628" s="436" t="n">
        <f aca="false">AY1633</f>
        <v>0</v>
      </c>
      <c r="W1628" s="424"/>
      <c r="AB1628" s="427"/>
      <c r="AC1628" s="427"/>
      <c r="AE1628" s="427"/>
      <c r="AG1628" s="427"/>
      <c r="AO1628" s="428"/>
      <c r="AP1628" s="427"/>
      <c r="AR1628" s="427"/>
      <c r="AY1628" s="427"/>
      <c r="BB1628" s="429"/>
      <c r="BC1628" s="428"/>
      <c r="BG1628" s="427"/>
      <c r="BH1628" s="437"/>
      <c r="BJ1628" s="427"/>
      <c r="BK1628" s="427"/>
      <c r="BL1628" s="427"/>
      <c r="BM1628" s="429"/>
      <c r="BN1628" s="427"/>
      <c r="BO1628" s="428"/>
      <c r="BP1628" s="428"/>
      <c r="BQ1628" s="429"/>
      <c r="BR1628" s="429"/>
      <c r="BS1628" s="426"/>
    </row>
    <row r="1629" customFormat="false" ht="13.5" hidden="false" customHeight="false" outlineLevel="0" collapsed="false">
      <c r="A1629" s="444" t="e">
        <f aca="false">B1605&amp;C1605&amp;D1605&amp;E1605&amp;F1605&amp;G1605&amp;H1605&amp;I1605&amp;J1605&amp;K1605&amp;L1605&amp;M1605&amp;O1605</f>
        <v>#N/A</v>
      </c>
      <c r="B1629" s="424"/>
      <c r="C1629" s="424"/>
      <c r="D1629" s="424"/>
      <c r="E1629" s="424"/>
      <c r="F1629" s="424"/>
      <c r="G1629" s="424"/>
      <c r="H1629" s="424"/>
      <c r="I1629" s="424"/>
      <c r="J1629" s="424"/>
      <c r="K1629" s="424"/>
      <c r="L1629" s="424"/>
      <c r="M1629" s="424"/>
      <c r="N1629" s="424"/>
      <c r="O1629" s="424"/>
      <c r="P1629" s="424"/>
      <c r="Q1629" s="435" t="n">
        <v>42</v>
      </c>
      <c r="R1629" s="434" t="s">
        <v>538</v>
      </c>
      <c r="S1629" s="424"/>
      <c r="T1629" s="434" t="s">
        <v>539</v>
      </c>
      <c r="U1629" s="434" t="s">
        <v>540</v>
      </c>
      <c r="V1629" s="436" t="n">
        <f aca="false">AY1634</f>
        <v>0</v>
      </c>
      <c r="W1629" s="424"/>
      <c r="AC1629" s="427"/>
      <c r="AE1629" s="427"/>
      <c r="AG1629" s="427"/>
      <c r="AO1629" s="428"/>
      <c r="AY1629" s="427"/>
      <c r="BB1629" s="429"/>
      <c r="BC1629" s="428"/>
      <c r="BG1629" s="427"/>
      <c r="BH1629" s="437"/>
      <c r="BJ1629" s="427"/>
      <c r="BK1629" s="427"/>
      <c r="BL1629" s="427"/>
      <c r="BM1629" s="429"/>
      <c r="BN1629" s="427"/>
      <c r="BO1629" s="428"/>
      <c r="BQ1629" s="429"/>
      <c r="BR1629" s="429"/>
      <c r="BS1629" s="426"/>
    </row>
    <row r="1630" customFormat="false" ht="13.5" hidden="false" customHeight="false" outlineLevel="0" collapsed="false">
      <c r="A1630" s="440" t="str">
        <f aca="false">I1605&amp;J1605&amp;K1605&amp;L1605&amp;M1605&amp;O1605</f>
        <v> Dua belas Rupiah </v>
      </c>
      <c r="B1630" s="424"/>
      <c r="C1630" s="424"/>
      <c r="D1630" s="424"/>
      <c r="E1630" s="424"/>
      <c r="F1630" s="424"/>
      <c r="G1630" s="424"/>
      <c r="H1630" s="424"/>
      <c r="I1630" s="424"/>
      <c r="J1630" s="424"/>
      <c r="K1630" s="424"/>
      <c r="L1630" s="424"/>
      <c r="M1630" s="424"/>
      <c r="N1630" s="424"/>
      <c r="O1630" s="424"/>
      <c r="P1630" s="424"/>
      <c r="Q1630" s="435" t="n">
        <v>43</v>
      </c>
      <c r="R1630" s="434" t="s">
        <v>541</v>
      </c>
      <c r="S1630" s="424"/>
      <c r="T1630" s="434" t="s">
        <v>542</v>
      </c>
      <c r="U1630" s="434" t="s">
        <v>543</v>
      </c>
      <c r="V1630" s="436" t="n">
        <f aca="false">AY1635</f>
        <v>0</v>
      </c>
      <c r="W1630" s="424"/>
      <c r="AB1630" s="427"/>
      <c r="AO1630" s="428"/>
      <c r="AY1630" s="427"/>
      <c r="BC1630" s="428"/>
      <c r="BG1630" s="427"/>
      <c r="BH1630" s="437"/>
      <c r="BJ1630" s="427"/>
      <c r="BK1630" s="427"/>
      <c r="BL1630" s="427"/>
      <c r="BM1630" s="429"/>
      <c r="BN1630" s="427"/>
      <c r="BO1630" s="428"/>
      <c r="BP1630" s="428"/>
      <c r="BQ1630" s="429"/>
      <c r="BR1630" s="429"/>
      <c r="BS1630" s="426"/>
    </row>
    <row r="1631" customFormat="false" ht="13.5" hidden="false" customHeight="false" outlineLevel="0" collapsed="false">
      <c r="A1631" s="440"/>
      <c r="B1631" s="424"/>
      <c r="C1631" s="424"/>
      <c r="D1631" s="424"/>
      <c r="E1631" s="424"/>
      <c r="F1631" s="424"/>
      <c r="G1631" s="424"/>
      <c r="H1631" s="424"/>
      <c r="I1631" s="424"/>
      <c r="J1631" s="424"/>
      <c r="K1631" s="424"/>
      <c r="L1631" s="424"/>
      <c r="M1631" s="424"/>
      <c r="N1631" s="424"/>
      <c r="O1631" s="424"/>
      <c r="P1631" s="424"/>
      <c r="Q1631" s="435" t="n">
        <v>44</v>
      </c>
      <c r="R1631" s="434" t="s">
        <v>544</v>
      </c>
      <c r="S1631" s="424"/>
      <c r="T1631" s="434" t="s">
        <v>545</v>
      </c>
      <c r="U1631" s="434" t="s">
        <v>546</v>
      </c>
      <c r="V1631" s="436" t="n">
        <f aca="false">AY1636</f>
        <v>0</v>
      </c>
      <c r="W1631" s="424"/>
      <c r="AO1631" s="428"/>
      <c r="AY1631" s="427"/>
      <c r="BB1631" s="427"/>
      <c r="BC1631" s="428"/>
      <c r="BG1631" s="427"/>
      <c r="BH1631" s="437"/>
      <c r="BJ1631" s="427"/>
      <c r="BK1631" s="427"/>
      <c r="BL1631" s="427"/>
      <c r="BM1631" s="429"/>
      <c r="BN1631" s="427"/>
      <c r="BO1631" s="428"/>
      <c r="BP1631" s="428"/>
      <c r="BQ1631" s="429"/>
      <c r="BR1631" s="426"/>
      <c r="BS1631" s="426"/>
    </row>
    <row r="1632" customFormat="false" ht="13.5" hidden="false" customHeight="false" outlineLevel="0" collapsed="false">
      <c r="A1632" s="440"/>
      <c r="B1632" s="424"/>
      <c r="C1632" s="424"/>
      <c r="D1632" s="424"/>
      <c r="E1632" s="424"/>
      <c r="F1632" s="424"/>
      <c r="G1632" s="424"/>
      <c r="H1632" s="424"/>
      <c r="I1632" s="424"/>
      <c r="J1632" s="424"/>
      <c r="K1632" s="424"/>
      <c r="L1632" s="424"/>
      <c r="M1632" s="424"/>
      <c r="N1632" s="424"/>
      <c r="O1632" s="424"/>
      <c r="P1632" s="424"/>
      <c r="Q1632" s="435" t="n">
        <v>45</v>
      </c>
      <c r="R1632" s="434" t="s">
        <v>547</v>
      </c>
      <c r="S1632" s="424"/>
      <c r="T1632" s="434" t="s">
        <v>548</v>
      </c>
      <c r="U1632" s="434" t="s">
        <v>549</v>
      </c>
      <c r="V1632" s="436" t="n">
        <f aca="false">AY1637</f>
        <v>0</v>
      </c>
      <c r="W1632" s="424"/>
      <c r="X1632" s="429"/>
      <c r="Y1632" s="426"/>
      <c r="Z1632" s="429"/>
      <c r="AA1632" s="426"/>
      <c r="AB1632" s="426"/>
      <c r="AC1632" s="427"/>
      <c r="AD1632" s="427"/>
      <c r="AE1632" s="427"/>
      <c r="AF1632" s="427"/>
      <c r="AG1632" s="427"/>
      <c r="AH1632" s="427"/>
      <c r="AI1632" s="427"/>
      <c r="AJ1632" s="427"/>
      <c r="AK1632" s="427"/>
      <c r="AL1632" s="427"/>
      <c r="AM1632" s="427"/>
      <c r="AN1632" s="427"/>
      <c r="AO1632" s="428"/>
      <c r="AP1632" s="427"/>
      <c r="AQ1632" s="427"/>
      <c r="AR1632" s="427"/>
      <c r="AS1632" s="427"/>
      <c r="AT1632" s="427"/>
      <c r="AU1632" s="427"/>
      <c r="AV1632" s="427"/>
      <c r="AW1632" s="427"/>
      <c r="AX1632" s="427"/>
      <c r="AY1632" s="427"/>
      <c r="BB1632" s="427"/>
      <c r="BC1632" s="428"/>
      <c r="BG1632" s="427"/>
      <c r="BH1632" s="437"/>
      <c r="BJ1632" s="427"/>
      <c r="BK1632" s="427"/>
      <c r="BL1632" s="427"/>
      <c r="BN1632" s="427"/>
      <c r="BO1632" s="428"/>
      <c r="BP1632" s="428"/>
      <c r="BQ1632" s="429"/>
      <c r="BR1632" s="429"/>
      <c r="BS1632" s="426"/>
    </row>
    <row r="1633" customFormat="false" ht="13.5" hidden="false" customHeight="false" outlineLevel="0" collapsed="false">
      <c r="A1633" s="440"/>
      <c r="B1633" s="424"/>
      <c r="C1633" s="424"/>
      <c r="D1633" s="424"/>
      <c r="E1633" s="424"/>
      <c r="F1633" s="424"/>
      <c r="G1633" s="424"/>
      <c r="H1633" s="424"/>
      <c r="I1633" s="424"/>
      <c r="J1633" s="424"/>
      <c r="K1633" s="424"/>
      <c r="L1633" s="424"/>
      <c r="M1633" s="424"/>
      <c r="N1633" s="424"/>
      <c r="O1633" s="424"/>
      <c r="P1633" s="424"/>
      <c r="Q1633" s="435" t="n">
        <v>46</v>
      </c>
      <c r="R1633" s="434" t="s">
        <v>550</v>
      </c>
      <c r="S1633" s="424"/>
      <c r="T1633" s="434" t="s">
        <v>551</v>
      </c>
      <c r="U1633" s="434" t="s">
        <v>552</v>
      </c>
      <c r="V1633" s="436" t="n">
        <f aca="false">AY1638</f>
        <v>0</v>
      </c>
      <c r="W1633" s="424"/>
      <c r="X1633" s="429"/>
      <c r="Y1633" s="426"/>
      <c r="Z1633" s="429"/>
      <c r="AA1633" s="426"/>
      <c r="AB1633" s="426"/>
      <c r="AC1633" s="427"/>
      <c r="AD1633" s="427"/>
      <c r="AE1633" s="427"/>
      <c r="AF1633" s="427"/>
      <c r="AG1633" s="427"/>
      <c r="AH1633" s="427"/>
      <c r="AI1633" s="427"/>
      <c r="AJ1633" s="427"/>
      <c r="AK1633" s="427"/>
      <c r="AL1633" s="427"/>
      <c r="AM1633" s="427"/>
      <c r="AN1633" s="427"/>
      <c r="AO1633" s="428"/>
      <c r="AP1633" s="427"/>
      <c r="AQ1633" s="427"/>
      <c r="AR1633" s="427"/>
      <c r="AS1633" s="427"/>
      <c r="AT1633" s="427"/>
      <c r="AU1633" s="427"/>
      <c r="AV1633" s="427"/>
      <c r="AW1633" s="427"/>
      <c r="AX1633" s="427"/>
      <c r="AY1633" s="427"/>
      <c r="BC1633" s="428"/>
      <c r="BG1633" s="427"/>
      <c r="BH1633" s="437"/>
      <c r="BJ1633" s="427"/>
      <c r="BK1633" s="427"/>
      <c r="BL1633" s="427"/>
      <c r="BN1633" s="427"/>
      <c r="BO1633" s="428"/>
      <c r="BP1633" s="428"/>
      <c r="BQ1633" s="429"/>
      <c r="BR1633" s="429"/>
      <c r="BS1633" s="426"/>
    </row>
    <row r="1634" customFormat="false" ht="13.5" hidden="false" customHeight="false" outlineLevel="0" collapsed="false">
      <c r="A1634" s="440"/>
      <c r="B1634" s="424"/>
      <c r="C1634" s="424"/>
      <c r="D1634" s="424"/>
      <c r="E1634" s="424"/>
      <c r="F1634" s="424"/>
      <c r="G1634" s="424"/>
      <c r="H1634" s="424"/>
      <c r="I1634" s="424"/>
      <c r="J1634" s="424"/>
      <c r="K1634" s="424"/>
      <c r="L1634" s="424"/>
      <c r="M1634" s="424"/>
      <c r="N1634" s="424"/>
      <c r="O1634" s="424"/>
      <c r="P1634" s="424"/>
      <c r="Q1634" s="435" t="n">
        <v>47</v>
      </c>
      <c r="R1634" s="434" t="s">
        <v>553</v>
      </c>
      <c r="S1634" s="424"/>
      <c r="T1634" s="434" t="s">
        <v>554</v>
      </c>
      <c r="U1634" s="434" t="s">
        <v>555</v>
      </c>
      <c r="V1634" s="436" t="n">
        <f aca="false">AY1639</f>
        <v>0</v>
      </c>
      <c r="W1634" s="424"/>
      <c r="X1634" s="429"/>
      <c r="Y1634" s="426"/>
      <c r="Z1634" s="429"/>
      <c r="AA1634" s="426"/>
      <c r="AB1634" s="426"/>
      <c r="AC1634" s="427"/>
      <c r="AD1634" s="427"/>
      <c r="AE1634" s="427"/>
      <c r="AF1634" s="427"/>
      <c r="AG1634" s="427"/>
      <c r="AH1634" s="427"/>
      <c r="AI1634" s="427"/>
      <c r="AJ1634" s="427"/>
      <c r="AK1634" s="427"/>
      <c r="AL1634" s="427"/>
      <c r="AM1634" s="427"/>
      <c r="AN1634" s="427"/>
      <c r="AO1634" s="428"/>
      <c r="AP1634" s="427"/>
      <c r="AQ1634" s="427"/>
      <c r="AR1634" s="427"/>
      <c r="AS1634" s="427"/>
      <c r="AT1634" s="427"/>
      <c r="AU1634" s="427"/>
      <c r="AV1634" s="427"/>
      <c r="AW1634" s="427"/>
      <c r="AX1634" s="427"/>
      <c r="AY1634" s="427"/>
      <c r="BC1634" s="428"/>
      <c r="BG1634" s="427"/>
      <c r="BH1634" s="437"/>
      <c r="BJ1634" s="427"/>
      <c r="BK1634" s="427"/>
      <c r="BL1634" s="427"/>
      <c r="BN1634" s="427"/>
      <c r="BO1634" s="428"/>
      <c r="BQ1634" s="429"/>
      <c r="BR1634" s="429"/>
      <c r="BS1634" s="426"/>
    </row>
    <row r="1635" customFormat="false" ht="13.5" hidden="false" customHeight="false" outlineLevel="0" collapsed="false">
      <c r="A1635" s="424"/>
      <c r="B1635" s="424"/>
      <c r="C1635" s="424"/>
      <c r="D1635" s="424"/>
      <c r="E1635" s="424"/>
      <c r="F1635" s="424"/>
      <c r="G1635" s="424"/>
      <c r="H1635" s="424"/>
      <c r="I1635" s="424"/>
      <c r="J1635" s="424"/>
      <c r="K1635" s="424"/>
      <c r="L1635" s="424"/>
      <c r="M1635" s="424"/>
      <c r="N1635" s="424"/>
      <c r="O1635" s="424"/>
      <c r="P1635" s="424"/>
      <c r="Q1635" s="435" t="n">
        <v>48</v>
      </c>
      <c r="R1635" s="434" t="s">
        <v>556</v>
      </c>
      <c r="S1635" s="424"/>
      <c r="T1635" s="434" t="s">
        <v>557</v>
      </c>
      <c r="U1635" s="434" t="s">
        <v>558</v>
      </c>
      <c r="V1635" s="436" t="n">
        <f aca="false">AY1640</f>
        <v>0</v>
      </c>
      <c r="W1635" s="424"/>
      <c r="X1635" s="429"/>
      <c r="Y1635" s="426"/>
      <c r="Z1635" s="429"/>
      <c r="AA1635" s="426"/>
      <c r="AB1635" s="426"/>
      <c r="AC1635" s="427"/>
      <c r="AD1635" s="427"/>
      <c r="AE1635" s="427"/>
      <c r="AF1635" s="427"/>
      <c r="AG1635" s="427"/>
      <c r="AH1635" s="427"/>
      <c r="AI1635" s="427"/>
      <c r="AJ1635" s="427"/>
      <c r="AK1635" s="427"/>
      <c r="AL1635" s="427"/>
      <c r="AM1635" s="427"/>
      <c r="AN1635" s="427"/>
      <c r="AO1635" s="428"/>
      <c r="AP1635" s="427"/>
      <c r="AQ1635" s="427"/>
      <c r="AR1635" s="427"/>
      <c r="AS1635" s="427"/>
      <c r="AT1635" s="427"/>
      <c r="AU1635" s="427"/>
      <c r="AV1635" s="427"/>
      <c r="AW1635" s="427"/>
      <c r="AX1635" s="427"/>
      <c r="AY1635" s="427"/>
      <c r="BC1635" s="428"/>
      <c r="BG1635" s="427"/>
      <c r="BH1635" s="437"/>
      <c r="BJ1635" s="427"/>
      <c r="BK1635" s="427"/>
      <c r="BL1635" s="427"/>
      <c r="BN1635" s="427"/>
      <c r="BO1635" s="428"/>
      <c r="BQ1635" s="429"/>
      <c r="BR1635" s="429"/>
      <c r="BS1635" s="426"/>
    </row>
    <row r="1636" customFormat="false" ht="13.5" hidden="false" customHeight="false" outlineLevel="0" collapsed="false">
      <c r="A1636" s="424"/>
      <c r="B1636" s="424"/>
      <c r="C1636" s="424"/>
      <c r="D1636" s="424"/>
      <c r="E1636" s="424"/>
      <c r="F1636" s="424"/>
      <c r="G1636" s="424"/>
      <c r="H1636" s="424"/>
      <c r="I1636" s="424"/>
      <c r="J1636" s="424"/>
      <c r="K1636" s="424"/>
      <c r="L1636" s="424"/>
      <c r="M1636" s="424"/>
      <c r="N1636" s="424"/>
      <c r="O1636" s="424"/>
      <c r="P1636" s="424"/>
      <c r="Q1636" s="435" t="n">
        <v>49</v>
      </c>
      <c r="R1636" s="434" t="s">
        <v>559</v>
      </c>
      <c r="S1636" s="424"/>
      <c r="T1636" s="434" t="s">
        <v>560</v>
      </c>
      <c r="U1636" s="434" t="s">
        <v>561</v>
      </c>
      <c r="V1636" s="436" t="n">
        <f aca="false">AY1641</f>
        <v>0</v>
      </c>
      <c r="W1636" s="424"/>
      <c r="X1636" s="429"/>
      <c r="Y1636" s="426"/>
      <c r="Z1636" s="429"/>
      <c r="AA1636" s="426"/>
      <c r="AB1636" s="426"/>
      <c r="AC1636" s="427"/>
      <c r="AD1636" s="427"/>
      <c r="AE1636" s="427"/>
      <c r="AF1636" s="427"/>
      <c r="AG1636" s="427"/>
      <c r="AH1636" s="427"/>
      <c r="AI1636" s="427"/>
      <c r="AJ1636" s="427"/>
      <c r="AK1636" s="427"/>
      <c r="AL1636" s="427"/>
      <c r="AM1636" s="427"/>
      <c r="AN1636" s="427"/>
      <c r="AO1636" s="428"/>
      <c r="AP1636" s="427"/>
      <c r="AQ1636" s="427"/>
      <c r="AR1636" s="427"/>
      <c r="AS1636" s="427"/>
      <c r="AT1636" s="427"/>
      <c r="AU1636" s="427"/>
      <c r="AV1636" s="427"/>
      <c r="AW1636" s="427"/>
      <c r="AX1636" s="427"/>
      <c r="AY1636" s="427"/>
      <c r="BC1636" s="428"/>
      <c r="BG1636" s="427"/>
      <c r="BH1636" s="437"/>
      <c r="BJ1636" s="427"/>
      <c r="BK1636" s="427"/>
      <c r="BL1636" s="427"/>
      <c r="BN1636" s="427"/>
      <c r="BO1636" s="428"/>
      <c r="BQ1636" s="429"/>
      <c r="BR1636" s="429"/>
      <c r="BS1636" s="426"/>
    </row>
    <row r="1637" customFormat="false" ht="13.5" hidden="false" customHeight="false" outlineLevel="0" collapsed="false">
      <c r="A1637" s="424"/>
      <c r="B1637" s="424"/>
      <c r="C1637" s="424"/>
      <c r="D1637" s="424"/>
      <c r="E1637" s="424"/>
      <c r="F1637" s="424"/>
      <c r="G1637" s="424"/>
      <c r="H1637" s="424"/>
      <c r="I1637" s="424"/>
      <c r="J1637" s="424"/>
      <c r="K1637" s="424"/>
      <c r="L1637" s="424"/>
      <c r="M1637" s="424"/>
      <c r="N1637" s="424"/>
      <c r="O1637" s="424"/>
      <c r="P1637" s="424"/>
      <c r="Q1637" s="435" t="n">
        <v>50</v>
      </c>
      <c r="R1637" s="434" t="s">
        <v>562</v>
      </c>
      <c r="S1637" s="424"/>
      <c r="T1637" s="434" t="s">
        <v>563</v>
      </c>
      <c r="U1637" s="434" t="s">
        <v>564</v>
      </c>
      <c r="V1637" s="436" t="n">
        <f aca="false">AY1642</f>
        <v>0</v>
      </c>
      <c r="W1637" s="424"/>
      <c r="X1637" s="429"/>
      <c r="Y1637" s="426"/>
      <c r="Z1637" s="429"/>
      <c r="AA1637" s="426"/>
      <c r="AB1637" s="426"/>
      <c r="AC1637" s="427"/>
      <c r="AD1637" s="427"/>
      <c r="AE1637" s="427"/>
      <c r="AF1637" s="427"/>
      <c r="AG1637" s="427"/>
      <c r="AH1637" s="427"/>
      <c r="AI1637" s="427"/>
      <c r="AJ1637" s="427"/>
      <c r="AK1637" s="427"/>
      <c r="AL1637" s="427"/>
      <c r="AM1637" s="427"/>
      <c r="AN1637" s="427"/>
      <c r="AO1637" s="428"/>
      <c r="AP1637" s="427"/>
      <c r="AQ1637" s="427"/>
      <c r="AR1637" s="427"/>
      <c r="AS1637" s="427"/>
      <c r="AT1637" s="427"/>
      <c r="AU1637" s="427"/>
      <c r="AV1637" s="427"/>
      <c r="AW1637" s="427"/>
      <c r="AX1637" s="427"/>
      <c r="AY1637" s="427"/>
      <c r="BC1637" s="428"/>
      <c r="BG1637" s="427"/>
      <c r="BH1637" s="437"/>
      <c r="BJ1637" s="427"/>
      <c r="BK1637" s="427"/>
      <c r="BL1637" s="427"/>
      <c r="BN1637" s="427"/>
      <c r="BO1637" s="428"/>
      <c r="BQ1637" s="429"/>
      <c r="BR1637" s="429"/>
      <c r="BS1637" s="426"/>
    </row>
    <row r="1638" customFormat="false" ht="13.5" hidden="false" customHeight="false" outlineLevel="0" collapsed="false">
      <c r="A1638" s="424"/>
      <c r="B1638" s="424"/>
      <c r="C1638" s="424"/>
      <c r="D1638" s="424"/>
      <c r="E1638" s="424"/>
      <c r="F1638" s="424"/>
      <c r="G1638" s="424"/>
      <c r="H1638" s="424"/>
      <c r="I1638" s="424"/>
      <c r="J1638" s="424"/>
      <c r="K1638" s="424"/>
      <c r="L1638" s="424"/>
      <c r="M1638" s="424"/>
      <c r="N1638" s="424"/>
      <c r="O1638" s="424"/>
      <c r="P1638" s="424"/>
      <c r="Q1638" s="435" t="n">
        <v>51</v>
      </c>
      <c r="R1638" s="434" t="s">
        <v>565</v>
      </c>
      <c r="S1638" s="424"/>
      <c r="T1638" s="434" t="s">
        <v>566</v>
      </c>
      <c r="U1638" s="434" t="s">
        <v>567</v>
      </c>
      <c r="V1638" s="436" t="n">
        <f aca="false">AY1643</f>
        <v>0</v>
      </c>
      <c r="W1638" s="424"/>
      <c r="X1638" s="429"/>
      <c r="Y1638" s="426"/>
      <c r="Z1638" s="429"/>
      <c r="AA1638" s="426"/>
      <c r="AB1638" s="426"/>
      <c r="AC1638" s="427"/>
      <c r="AD1638" s="427"/>
      <c r="AE1638" s="427"/>
      <c r="AF1638" s="427"/>
      <c r="AG1638" s="427"/>
      <c r="AH1638" s="427"/>
      <c r="AI1638" s="427"/>
      <c r="AJ1638" s="427"/>
      <c r="AK1638" s="427"/>
      <c r="AL1638" s="427"/>
      <c r="AM1638" s="427"/>
      <c r="AN1638" s="427"/>
      <c r="AO1638" s="428"/>
      <c r="AP1638" s="427"/>
      <c r="AQ1638" s="427"/>
      <c r="AR1638" s="427"/>
      <c r="AS1638" s="427"/>
      <c r="AT1638" s="427"/>
      <c r="AU1638" s="427"/>
      <c r="AV1638" s="427"/>
      <c r="AW1638" s="427"/>
      <c r="AX1638" s="427"/>
      <c r="AY1638" s="427"/>
      <c r="BC1638" s="428"/>
      <c r="BG1638" s="427"/>
      <c r="BH1638" s="437"/>
      <c r="BJ1638" s="427"/>
      <c r="BK1638" s="427"/>
      <c r="BL1638" s="427"/>
      <c r="BN1638" s="427"/>
      <c r="BO1638" s="428"/>
      <c r="BQ1638" s="429"/>
      <c r="BR1638" s="429"/>
      <c r="BS1638" s="426"/>
    </row>
    <row r="1639" customFormat="false" ht="13.5" hidden="false" customHeight="false" outlineLevel="0" collapsed="false">
      <c r="A1639" s="424"/>
      <c r="B1639" s="424"/>
      <c r="C1639" s="424"/>
      <c r="D1639" s="424"/>
      <c r="E1639" s="424"/>
      <c r="F1639" s="424"/>
      <c r="G1639" s="424"/>
      <c r="H1639" s="424"/>
      <c r="I1639" s="424"/>
      <c r="J1639" s="424"/>
      <c r="K1639" s="424"/>
      <c r="L1639" s="424"/>
      <c r="M1639" s="424"/>
      <c r="N1639" s="424"/>
      <c r="O1639" s="424"/>
      <c r="P1639" s="424"/>
      <c r="Q1639" s="435" t="n">
        <v>52</v>
      </c>
      <c r="R1639" s="434" t="s">
        <v>568</v>
      </c>
      <c r="S1639" s="424"/>
      <c r="T1639" s="434" t="s">
        <v>569</v>
      </c>
      <c r="U1639" s="434" t="s">
        <v>570</v>
      </c>
      <c r="V1639" s="436" t="n">
        <f aca="false">AY1644</f>
        <v>0</v>
      </c>
      <c r="W1639" s="424"/>
      <c r="X1639" s="429"/>
      <c r="Y1639" s="426"/>
      <c r="Z1639" s="429"/>
      <c r="AA1639" s="426"/>
      <c r="AB1639" s="426"/>
      <c r="AC1639" s="427"/>
      <c r="AD1639" s="427"/>
      <c r="AE1639" s="427"/>
      <c r="AF1639" s="427"/>
      <c r="AG1639" s="427"/>
      <c r="AH1639" s="427"/>
      <c r="AI1639" s="427"/>
      <c r="AJ1639" s="427"/>
      <c r="AK1639" s="427"/>
      <c r="AL1639" s="427"/>
      <c r="AM1639" s="427"/>
      <c r="AN1639" s="427"/>
      <c r="AO1639" s="428"/>
      <c r="AP1639" s="427"/>
      <c r="AQ1639" s="427"/>
      <c r="AR1639" s="427"/>
      <c r="AS1639" s="427"/>
      <c r="AT1639" s="427"/>
      <c r="AU1639" s="427"/>
      <c r="AV1639" s="427"/>
      <c r="AW1639" s="427"/>
      <c r="AX1639" s="427"/>
      <c r="AY1639" s="427"/>
      <c r="BC1639" s="428"/>
      <c r="BG1639" s="427"/>
      <c r="BH1639" s="437"/>
      <c r="BJ1639" s="427"/>
      <c r="BK1639" s="427"/>
      <c r="BL1639" s="427"/>
      <c r="BN1639" s="427"/>
      <c r="BO1639" s="428"/>
      <c r="BQ1639" s="429"/>
      <c r="BR1639" s="429"/>
      <c r="BS1639" s="426"/>
    </row>
    <row r="1640" customFormat="false" ht="13.5" hidden="false" customHeight="false" outlineLevel="0" collapsed="false">
      <c r="A1640" s="424"/>
      <c r="B1640" s="424"/>
      <c r="C1640" s="424"/>
      <c r="D1640" s="424"/>
      <c r="E1640" s="424"/>
      <c r="F1640" s="424"/>
      <c r="G1640" s="424"/>
      <c r="H1640" s="424"/>
      <c r="I1640" s="424"/>
      <c r="J1640" s="424"/>
      <c r="K1640" s="424"/>
      <c r="L1640" s="424"/>
      <c r="M1640" s="424"/>
      <c r="N1640" s="424"/>
      <c r="O1640" s="424"/>
      <c r="P1640" s="424"/>
      <c r="Q1640" s="435" t="n">
        <v>53</v>
      </c>
      <c r="R1640" s="434" t="s">
        <v>571</v>
      </c>
      <c r="S1640" s="424"/>
      <c r="T1640" s="434" t="s">
        <v>572</v>
      </c>
      <c r="U1640" s="434" t="s">
        <v>573</v>
      </c>
      <c r="V1640" s="436" t="n">
        <f aca="false">AY1645</f>
        <v>0</v>
      </c>
      <c r="W1640" s="424"/>
      <c r="X1640" s="429"/>
      <c r="AC1640" s="427"/>
      <c r="AD1640" s="427"/>
      <c r="AE1640" s="427"/>
      <c r="AF1640" s="427"/>
      <c r="AG1640" s="427"/>
      <c r="AH1640" s="427"/>
      <c r="AI1640" s="427"/>
      <c r="AJ1640" s="427"/>
      <c r="AK1640" s="427"/>
      <c r="AL1640" s="427"/>
      <c r="AM1640" s="427"/>
      <c r="AN1640" s="427"/>
      <c r="AO1640" s="428"/>
      <c r="AP1640" s="427"/>
      <c r="AQ1640" s="427"/>
      <c r="AR1640" s="427"/>
      <c r="AS1640" s="427"/>
      <c r="AT1640" s="427"/>
      <c r="AX1640" s="427"/>
      <c r="AY1640" s="427"/>
      <c r="BC1640" s="428"/>
      <c r="BD1640" s="428"/>
      <c r="BE1640" s="428"/>
      <c r="BG1640" s="428"/>
      <c r="BH1640" s="428"/>
      <c r="BJ1640" s="428"/>
      <c r="BK1640" s="428"/>
      <c r="BL1640" s="428"/>
      <c r="BM1640" s="428"/>
      <c r="BN1640" s="439"/>
      <c r="BO1640" s="428"/>
      <c r="BQ1640" s="429"/>
      <c r="BR1640" s="429"/>
      <c r="BS1640" s="426"/>
    </row>
    <row r="1641" customFormat="false" ht="13.5" hidden="false" customHeight="false" outlineLevel="0" collapsed="false">
      <c r="A1641" s="424"/>
      <c r="B1641" s="424"/>
      <c r="C1641" s="424"/>
      <c r="D1641" s="424"/>
      <c r="E1641" s="424"/>
      <c r="F1641" s="424"/>
      <c r="G1641" s="424"/>
      <c r="H1641" s="424"/>
      <c r="I1641" s="424"/>
      <c r="J1641" s="424"/>
      <c r="K1641" s="424"/>
      <c r="L1641" s="424"/>
      <c r="M1641" s="424"/>
      <c r="N1641" s="424"/>
      <c r="O1641" s="424"/>
      <c r="P1641" s="424"/>
      <c r="Q1641" s="435" t="n">
        <v>54</v>
      </c>
      <c r="R1641" s="434" t="s">
        <v>574</v>
      </c>
      <c r="S1641" s="424"/>
      <c r="T1641" s="434" t="s">
        <v>575</v>
      </c>
      <c r="U1641" s="434" t="s">
        <v>576</v>
      </c>
      <c r="V1641" s="436" t="n">
        <f aca="false">AY1646</f>
        <v>0</v>
      </c>
      <c r="W1641" s="424"/>
      <c r="X1641" s="429"/>
      <c r="AC1641" s="427"/>
      <c r="AD1641" s="427"/>
      <c r="AE1641" s="427"/>
      <c r="AF1641" s="427"/>
      <c r="AG1641" s="427"/>
      <c r="AH1641" s="427"/>
      <c r="AI1641" s="427"/>
      <c r="AJ1641" s="427"/>
      <c r="AK1641" s="427"/>
      <c r="AL1641" s="427"/>
      <c r="AM1641" s="427"/>
      <c r="AN1641" s="427"/>
      <c r="AO1641" s="428"/>
      <c r="AP1641" s="427"/>
      <c r="AQ1641" s="427"/>
      <c r="AR1641" s="427"/>
      <c r="AS1641" s="427"/>
      <c r="AT1641" s="427"/>
      <c r="AU1641" s="427"/>
      <c r="AV1641" s="427"/>
      <c r="AW1641" s="427"/>
      <c r="AX1641" s="427"/>
      <c r="AY1641" s="427"/>
      <c r="BC1641" s="428"/>
      <c r="BD1641" s="429"/>
      <c r="BG1641" s="431"/>
      <c r="BH1641" s="437"/>
      <c r="BJ1641" s="431"/>
      <c r="BK1641" s="427"/>
      <c r="BL1641" s="427"/>
      <c r="BM1641" s="426"/>
      <c r="BN1641" s="427"/>
      <c r="BO1641" s="428"/>
      <c r="BQ1641" s="429"/>
      <c r="BR1641" s="426"/>
      <c r="BS1641" s="426"/>
    </row>
    <row r="1642" customFormat="false" ht="13.5" hidden="false" customHeight="false" outlineLevel="0" collapsed="false">
      <c r="A1642" s="424"/>
      <c r="B1642" s="424"/>
      <c r="C1642" s="424"/>
      <c r="D1642" s="424"/>
      <c r="E1642" s="424"/>
      <c r="F1642" s="424"/>
      <c r="G1642" s="424"/>
      <c r="H1642" s="424"/>
      <c r="I1642" s="424"/>
      <c r="J1642" s="424"/>
      <c r="K1642" s="424"/>
      <c r="L1642" s="424"/>
      <c r="M1642" s="424"/>
      <c r="N1642" s="424"/>
      <c r="O1642" s="424"/>
      <c r="P1642" s="424"/>
      <c r="Q1642" s="435" t="n">
        <v>55</v>
      </c>
      <c r="R1642" s="434" t="s">
        <v>577</v>
      </c>
      <c r="S1642" s="424"/>
      <c r="T1642" s="434" t="s">
        <v>578</v>
      </c>
      <c r="U1642" s="434" t="s">
        <v>579</v>
      </c>
      <c r="V1642" s="436" t="n">
        <f aca="false">AY1647</f>
        <v>0</v>
      </c>
      <c r="W1642" s="424"/>
      <c r="X1642" s="429"/>
      <c r="AC1642" s="427"/>
      <c r="AD1642" s="427"/>
      <c r="AE1642" s="427"/>
      <c r="AF1642" s="427"/>
      <c r="AG1642" s="427"/>
      <c r="AH1642" s="427"/>
      <c r="AI1642" s="427"/>
      <c r="AJ1642" s="427"/>
      <c r="AK1642" s="427"/>
      <c r="AL1642" s="427"/>
      <c r="AM1642" s="427"/>
      <c r="AN1642" s="427"/>
      <c r="AO1642" s="428"/>
      <c r="AP1642" s="427"/>
      <c r="AQ1642" s="427"/>
      <c r="AR1642" s="427"/>
      <c r="AS1642" s="427"/>
      <c r="AT1642" s="427"/>
      <c r="AU1642" s="427"/>
      <c r="AV1642" s="427"/>
      <c r="AW1642" s="427"/>
      <c r="AX1642" s="427"/>
      <c r="AY1642" s="427"/>
      <c r="BC1642" s="428"/>
      <c r="BE1642" s="426"/>
      <c r="BG1642" s="426"/>
      <c r="BN1642" s="427"/>
      <c r="BO1642" s="428"/>
      <c r="BQ1642" s="429"/>
      <c r="BR1642" s="429"/>
      <c r="BS1642" s="426"/>
    </row>
    <row r="1643" customFormat="false" ht="13.5" hidden="false" customHeight="false" outlineLevel="0" collapsed="false">
      <c r="A1643" s="424"/>
      <c r="B1643" s="424"/>
      <c r="C1643" s="424"/>
      <c r="D1643" s="424"/>
      <c r="E1643" s="424"/>
      <c r="F1643" s="424"/>
      <c r="G1643" s="424"/>
      <c r="H1643" s="424"/>
      <c r="I1643" s="424"/>
      <c r="J1643" s="424"/>
      <c r="K1643" s="424"/>
      <c r="L1643" s="424"/>
      <c r="M1643" s="424"/>
      <c r="N1643" s="424"/>
      <c r="O1643" s="424"/>
      <c r="P1643" s="424"/>
      <c r="Q1643" s="435" t="n">
        <v>56</v>
      </c>
      <c r="R1643" s="434" t="s">
        <v>580</v>
      </c>
      <c r="S1643" s="424"/>
      <c r="T1643" s="434" t="s">
        <v>581</v>
      </c>
      <c r="U1643" s="434" t="s">
        <v>582</v>
      </c>
      <c r="V1643" s="436" t="n">
        <f aca="false">AY1648</f>
        <v>0</v>
      </c>
      <c r="W1643" s="424"/>
      <c r="X1643" s="429"/>
      <c r="AC1643" s="427"/>
      <c r="AD1643" s="427"/>
      <c r="AE1643" s="427"/>
      <c r="AF1643" s="427"/>
      <c r="AG1643" s="427"/>
      <c r="AH1643" s="427"/>
      <c r="AI1643" s="427"/>
      <c r="AJ1643" s="427"/>
      <c r="AK1643" s="427"/>
      <c r="AL1643" s="427"/>
      <c r="AM1643" s="427"/>
      <c r="AN1643" s="427"/>
      <c r="AO1643" s="428"/>
      <c r="AP1643" s="427"/>
      <c r="AQ1643" s="427"/>
      <c r="AR1643" s="427"/>
      <c r="AS1643" s="427"/>
      <c r="AT1643" s="427"/>
      <c r="AU1643" s="427"/>
      <c r="AV1643" s="427"/>
      <c r="AW1643" s="427"/>
      <c r="AX1643" s="427"/>
      <c r="AY1643" s="427"/>
      <c r="BC1643" s="428"/>
      <c r="BE1643" s="426"/>
      <c r="BG1643" s="426"/>
      <c r="BN1643" s="427"/>
      <c r="BO1643" s="428"/>
      <c r="BQ1643" s="429"/>
      <c r="BR1643" s="429"/>
      <c r="BS1643" s="426"/>
    </row>
    <row r="1644" customFormat="false" ht="13.5" hidden="false" customHeight="false" outlineLevel="0" collapsed="false">
      <c r="A1644" s="424"/>
      <c r="B1644" s="424"/>
      <c r="C1644" s="424"/>
      <c r="D1644" s="424"/>
      <c r="E1644" s="424"/>
      <c r="F1644" s="424"/>
      <c r="G1644" s="424"/>
      <c r="H1644" s="424"/>
      <c r="I1644" s="424"/>
      <c r="J1644" s="424"/>
      <c r="K1644" s="424"/>
      <c r="L1644" s="424"/>
      <c r="M1644" s="424"/>
      <c r="N1644" s="424"/>
      <c r="O1644" s="424"/>
      <c r="P1644" s="424"/>
      <c r="Q1644" s="435" t="n">
        <v>57</v>
      </c>
      <c r="R1644" s="434" t="s">
        <v>583</v>
      </c>
      <c r="S1644" s="424"/>
      <c r="T1644" s="434" t="s">
        <v>584</v>
      </c>
      <c r="U1644" s="434" t="s">
        <v>585</v>
      </c>
      <c r="V1644" s="436" t="n">
        <f aca="false">AY1649</f>
        <v>0</v>
      </c>
      <c r="W1644" s="424"/>
      <c r="X1644" s="429"/>
      <c r="AC1644" s="427"/>
      <c r="AD1644" s="427"/>
      <c r="AE1644" s="427"/>
      <c r="AF1644" s="427"/>
      <c r="AG1644" s="427"/>
      <c r="AH1644" s="427"/>
      <c r="AI1644" s="427"/>
      <c r="AJ1644" s="427"/>
      <c r="AK1644" s="427"/>
      <c r="AL1644" s="427"/>
      <c r="AM1644" s="427"/>
      <c r="AN1644" s="427"/>
      <c r="AO1644" s="428"/>
      <c r="AP1644" s="427"/>
      <c r="AQ1644" s="427"/>
      <c r="AR1644" s="427"/>
      <c r="AS1644" s="427"/>
      <c r="AT1644" s="427"/>
      <c r="AU1644" s="427"/>
      <c r="AV1644" s="427"/>
      <c r="AW1644" s="427"/>
      <c r="AX1644" s="427"/>
      <c r="AY1644" s="427"/>
      <c r="BC1644" s="428"/>
      <c r="BN1644" s="427"/>
      <c r="BO1644" s="428"/>
      <c r="BQ1644" s="429"/>
      <c r="BR1644" s="429"/>
      <c r="BS1644" s="426"/>
    </row>
    <row r="1645" customFormat="false" ht="13.5" hidden="false" customHeight="false" outlineLevel="0" collapsed="false">
      <c r="A1645" s="424"/>
      <c r="B1645" s="424"/>
      <c r="C1645" s="424"/>
      <c r="D1645" s="424"/>
      <c r="E1645" s="424"/>
      <c r="F1645" s="424"/>
      <c r="G1645" s="424"/>
      <c r="H1645" s="424"/>
      <c r="I1645" s="424"/>
      <c r="J1645" s="424"/>
      <c r="K1645" s="424"/>
      <c r="L1645" s="424"/>
      <c r="M1645" s="424"/>
      <c r="N1645" s="424"/>
      <c r="O1645" s="424"/>
      <c r="P1645" s="424"/>
      <c r="Q1645" s="435" t="n">
        <v>58</v>
      </c>
      <c r="R1645" s="434" t="s">
        <v>586</v>
      </c>
      <c r="S1645" s="424"/>
      <c r="T1645" s="434" t="s">
        <v>587</v>
      </c>
      <c r="U1645" s="434" t="s">
        <v>588</v>
      </c>
      <c r="V1645" s="436" t="n">
        <f aca="false">AY1650</f>
        <v>0</v>
      </c>
      <c r="W1645" s="424"/>
      <c r="X1645" s="429"/>
      <c r="AC1645" s="427"/>
      <c r="AD1645" s="427"/>
      <c r="AE1645" s="427"/>
      <c r="AF1645" s="427"/>
      <c r="AG1645" s="427"/>
      <c r="AH1645" s="427"/>
      <c r="AI1645" s="427"/>
      <c r="AJ1645" s="427"/>
      <c r="AK1645" s="427"/>
      <c r="AL1645" s="427"/>
      <c r="AM1645" s="427"/>
      <c r="AN1645" s="427"/>
      <c r="AO1645" s="428"/>
      <c r="AP1645" s="427"/>
      <c r="AQ1645" s="427"/>
      <c r="AR1645" s="427"/>
      <c r="AS1645" s="427"/>
      <c r="AT1645" s="427"/>
      <c r="AU1645" s="427"/>
      <c r="AV1645" s="427"/>
      <c r="AW1645" s="427"/>
      <c r="AX1645" s="427"/>
      <c r="AY1645" s="427"/>
      <c r="BC1645" s="428"/>
      <c r="BN1645" s="427"/>
      <c r="BO1645" s="428"/>
      <c r="BQ1645" s="429"/>
      <c r="BR1645" s="429"/>
      <c r="BS1645" s="426"/>
    </row>
    <row r="1646" customFormat="false" ht="13.5" hidden="false" customHeight="false" outlineLevel="0" collapsed="false">
      <c r="A1646" s="424"/>
      <c r="B1646" s="424"/>
      <c r="C1646" s="424"/>
      <c r="D1646" s="424"/>
      <c r="E1646" s="424"/>
      <c r="F1646" s="424"/>
      <c r="G1646" s="424"/>
      <c r="H1646" s="424"/>
      <c r="I1646" s="424"/>
      <c r="J1646" s="424"/>
      <c r="K1646" s="424"/>
      <c r="L1646" s="424"/>
      <c r="M1646" s="424"/>
      <c r="N1646" s="424"/>
      <c r="O1646" s="424"/>
      <c r="P1646" s="424"/>
      <c r="Q1646" s="435" t="n">
        <v>59</v>
      </c>
      <c r="R1646" s="434" t="s">
        <v>589</v>
      </c>
      <c r="S1646" s="424"/>
      <c r="T1646" s="434" t="s">
        <v>590</v>
      </c>
      <c r="U1646" s="434" t="s">
        <v>591</v>
      </c>
      <c r="V1646" s="436" t="n">
        <f aca="false">AY1651</f>
        <v>0</v>
      </c>
      <c r="W1646" s="424"/>
      <c r="X1646" s="429"/>
      <c r="AC1646" s="427"/>
      <c r="AD1646" s="427"/>
      <c r="AE1646" s="427"/>
      <c r="AF1646" s="427"/>
      <c r="AG1646" s="427"/>
      <c r="AH1646" s="427"/>
      <c r="AI1646" s="427"/>
      <c r="AJ1646" s="427"/>
      <c r="AK1646" s="427"/>
      <c r="AL1646" s="427"/>
      <c r="AM1646" s="427"/>
      <c r="AN1646" s="427"/>
      <c r="AO1646" s="428"/>
      <c r="AP1646" s="427"/>
      <c r="AQ1646" s="427"/>
      <c r="AR1646" s="427"/>
      <c r="AS1646" s="427"/>
      <c r="AT1646" s="427"/>
      <c r="AU1646" s="427"/>
      <c r="AV1646" s="427"/>
      <c r="AW1646" s="427"/>
      <c r="AX1646" s="427"/>
      <c r="AY1646" s="427"/>
      <c r="BC1646" s="428"/>
      <c r="BE1646" s="431"/>
      <c r="BN1646" s="427"/>
      <c r="BO1646" s="428"/>
      <c r="BQ1646" s="429"/>
      <c r="BR1646" s="429"/>
      <c r="BS1646" s="426"/>
    </row>
    <row r="1647" customFormat="false" ht="13.5" hidden="false" customHeight="false" outlineLevel="0" collapsed="false">
      <c r="A1647" s="424"/>
      <c r="B1647" s="424"/>
      <c r="C1647" s="424"/>
      <c r="D1647" s="424"/>
      <c r="E1647" s="424"/>
      <c r="F1647" s="424"/>
      <c r="G1647" s="424"/>
      <c r="H1647" s="424"/>
      <c r="I1647" s="424"/>
      <c r="J1647" s="424"/>
      <c r="K1647" s="424"/>
      <c r="L1647" s="424"/>
      <c r="M1647" s="424"/>
      <c r="N1647" s="424"/>
      <c r="O1647" s="424"/>
      <c r="P1647" s="424"/>
      <c r="Q1647" s="435" t="n">
        <v>60</v>
      </c>
      <c r="R1647" s="434" t="s">
        <v>592</v>
      </c>
      <c r="S1647" s="424"/>
      <c r="T1647" s="434" t="s">
        <v>593</v>
      </c>
      <c r="U1647" s="434" t="s">
        <v>594</v>
      </c>
      <c r="V1647" s="436" t="n">
        <f aca="false">AY1652</f>
        <v>0</v>
      </c>
      <c r="W1647" s="424"/>
      <c r="X1647" s="429"/>
      <c r="AC1647" s="427"/>
      <c r="AD1647" s="427"/>
      <c r="AE1647" s="427"/>
      <c r="AF1647" s="427"/>
      <c r="AG1647" s="427"/>
      <c r="AH1647" s="427"/>
      <c r="AI1647" s="427"/>
      <c r="AJ1647" s="427"/>
      <c r="AK1647" s="427"/>
      <c r="AL1647" s="427"/>
      <c r="AM1647" s="427"/>
      <c r="AN1647" s="427"/>
      <c r="AO1647" s="428"/>
      <c r="AP1647" s="427"/>
      <c r="AQ1647" s="427"/>
      <c r="AR1647" s="427"/>
      <c r="AS1647" s="427"/>
      <c r="AT1647" s="427"/>
      <c r="AU1647" s="427"/>
      <c r="AV1647" s="427"/>
      <c r="AW1647" s="427"/>
      <c r="AX1647" s="427"/>
      <c r="AY1647" s="427"/>
      <c r="BC1647" s="428"/>
      <c r="BE1647" s="426"/>
      <c r="BN1647" s="427"/>
      <c r="BO1647" s="428"/>
      <c r="BQ1647" s="429"/>
      <c r="BR1647" s="429"/>
      <c r="BS1647" s="426"/>
    </row>
    <row r="1648" customFormat="false" ht="13.5" hidden="false" customHeight="false" outlineLevel="0" collapsed="false">
      <c r="A1648" s="424"/>
      <c r="B1648" s="424"/>
      <c r="C1648" s="424"/>
      <c r="D1648" s="424"/>
      <c r="E1648" s="424"/>
      <c r="F1648" s="424"/>
      <c r="G1648" s="424"/>
      <c r="H1648" s="424"/>
      <c r="I1648" s="424"/>
      <c r="J1648" s="424"/>
      <c r="K1648" s="424"/>
      <c r="L1648" s="424"/>
      <c r="M1648" s="424"/>
      <c r="N1648" s="424"/>
      <c r="O1648" s="424"/>
      <c r="P1648" s="424"/>
      <c r="Q1648" s="435" t="n">
        <v>61</v>
      </c>
      <c r="R1648" s="434" t="s">
        <v>595</v>
      </c>
      <c r="S1648" s="424"/>
      <c r="T1648" s="434" t="s">
        <v>596</v>
      </c>
      <c r="U1648" s="434" t="s">
        <v>597</v>
      </c>
      <c r="V1648" s="436" t="n">
        <f aca="false">AY1653</f>
        <v>0</v>
      </c>
      <c r="W1648" s="424"/>
      <c r="X1648" s="429"/>
      <c r="AC1648" s="427"/>
      <c r="AD1648" s="427"/>
      <c r="AE1648" s="427"/>
      <c r="AF1648" s="427"/>
      <c r="AG1648" s="427"/>
      <c r="AH1648" s="427"/>
      <c r="AI1648" s="427"/>
      <c r="AJ1648" s="427"/>
      <c r="AK1648" s="427"/>
      <c r="AL1648" s="427"/>
      <c r="AM1648" s="427"/>
      <c r="AN1648" s="427"/>
      <c r="AO1648" s="428"/>
      <c r="AP1648" s="427"/>
      <c r="AQ1648" s="427"/>
      <c r="AR1648" s="427"/>
      <c r="AS1648" s="427"/>
      <c r="AT1648" s="427"/>
      <c r="AU1648" s="427"/>
      <c r="AV1648" s="427"/>
      <c r="AW1648" s="427"/>
      <c r="AX1648" s="427"/>
      <c r="AY1648" s="427"/>
      <c r="BC1648" s="428"/>
      <c r="BE1648" s="426"/>
      <c r="BN1648" s="427"/>
      <c r="BO1648" s="428"/>
      <c r="BQ1648" s="429"/>
      <c r="BR1648" s="429"/>
      <c r="BS1648" s="426"/>
    </row>
    <row r="1649" customFormat="false" ht="13.5" hidden="false" customHeight="false" outlineLevel="0" collapsed="false">
      <c r="A1649" s="424"/>
      <c r="B1649" s="424"/>
      <c r="C1649" s="424"/>
      <c r="D1649" s="424"/>
      <c r="E1649" s="424"/>
      <c r="F1649" s="424"/>
      <c r="G1649" s="424"/>
      <c r="H1649" s="424"/>
      <c r="I1649" s="424"/>
      <c r="J1649" s="424"/>
      <c r="K1649" s="424"/>
      <c r="L1649" s="424"/>
      <c r="M1649" s="424"/>
      <c r="N1649" s="424"/>
      <c r="O1649" s="424"/>
      <c r="P1649" s="424"/>
      <c r="Q1649" s="435" t="n">
        <v>62</v>
      </c>
      <c r="R1649" s="434" t="s">
        <v>598</v>
      </c>
      <c r="S1649" s="424"/>
      <c r="T1649" s="434" t="s">
        <v>599</v>
      </c>
      <c r="U1649" s="434" t="s">
        <v>600</v>
      </c>
      <c r="V1649" s="436" t="n">
        <f aca="false">AY1654</f>
        <v>0</v>
      </c>
      <c r="W1649" s="424"/>
      <c r="X1649" s="429"/>
      <c r="AC1649" s="427"/>
      <c r="AD1649" s="427"/>
      <c r="AE1649" s="427"/>
      <c r="AF1649" s="427"/>
      <c r="AG1649" s="427"/>
      <c r="AH1649" s="427"/>
      <c r="AI1649" s="427"/>
      <c r="AJ1649" s="427"/>
      <c r="AK1649" s="427"/>
      <c r="AL1649" s="427"/>
      <c r="AM1649" s="427"/>
      <c r="AN1649" s="427"/>
      <c r="AO1649" s="428"/>
      <c r="AP1649" s="427"/>
      <c r="AQ1649" s="427"/>
      <c r="AR1649" s="427"/>
      <c r="AS1649" s="427"/>
      <c r="AT1649" s="427"/>
      <c r="AU1649" s="427"/>
      <c r="AV1649" s="427"/>
      <c r="AW1649" s="427"/>
      <c r="AX1649" s="427"/>
      <c r="AY1649" s="427"/>
      <c r="BC1649" s="428"/>
      <c r="BG1649" s="443"/>
      <c r="BH1649" s="443"/>
      <c r="BK1649" s="443"/>
      <c r="BL1649" s="443"/>
      <c r="BN1649" s="427"/>
      <c r="BO1649" s="428"/>
      <c r="BQ1649" s="429"/>
      <c r="BR1649" s="429"/>
      <c r="BS1649" s="426"/>
    </row>
    <row r="1650" customFormat="false" ht="13.5" hidden="false" customHeight="false" outlineLevel="0" collapsed="false">
      <c r="A1650" s="424"/>
      <c r="B1650" s="424"/>
      <c r="C1650" s="424"/>
      <c r="D1650" s="424"/>
      <c r="E1650" s="424"/>
      <c r="F1650" s="424"/>
      <c r="G1650" s="424"/>
      <c r="H1650" s="424"/>
      <c r="I1650" s="424"/>
      <c r="J1650" s="424"/>
      <c r="K1650" s="424"/>
      <c r="L1650" s="424"/>
      <c r="M1650" s="424"/>
      <c r="N1650" s="424"/>
      <c r="O1650" s="424"/>
      <c r="P1650" s="424"/>
      <c r="Q1650" s="435" t="n">
        <v>63</v>
      </c>
      <c r="R1650" s="434" t="s">
        <v>601</v>
      </c>
      <c r="S1650" s="424"/>
      <c r="T1650" s="434" t="s">
        <v>602</v>
      </c>
      <c r="U1650" s="434" t="s">
        <v>603</v>
      </c>
      <c r="V1650" s="436" t="n">
        <f aca="false">AY1655</f>
        <v>0</v>
      </c>
      <c r="W1650" s="424"/>
      <c r="X1650" s="429"/>
      <c r="AC1650" s="427"/>
      <c r="AD1650" s="427"/>
      <c r="AE1650" s="427"/>
      <c r="AF1650" s="427"/>
      <c r="AG1650" s="427"/>
      <c r="AH1650" s="427"/>
      <c r="AI1650" s="427"/>
      <c r="AJ1650" s="427"/>
      <c r="AK1650" s="427"/>
      <c r="AL1650" s="427"/>
      <c r="AM1650" s="427"/>
      <c r="AN1650" s="427"/>
      <c r="AO1650" s="428"/>
      <c r="AP1650" s="427"/>
      <c r="AQ1650" s="427"/>
      <c r="AR1650" s="427"/>
      <c r="AS1650" s="427"/>
      <c r="AT1650" s="427"/>
      <c r="AU1650" s="427"/>
      <c r="AV1650" s="427"/>
      <c r="AW1650" s="427"/>
      <c r="AX1650" s="427"/>
      <c r="AY1650" s="427"/>
      <c r="BC1650" s="428"/>
      <c r="BD1650" s="429"/>
      <c r="BE1650" s="429"/>
      <c r="BF1650" s="427"/>
      <c r="BG1650" s="437"/>
      <c r="BH1650" s="427"/>
      <c r="BJ1650" s="437"/>
      <c r="BK1650" s="427"/>
      <c r="BM1650" s="426"/>
      <c r="BN1650" s="427"/>
      <c r="BO1650" s="439"/>
      <c r="BP1650" s="427"/>
      <c r="BQ1650" s="427"/>
      <c r="BR1650" s="427"/>
      <c r="BS1650" s="431"/>
      <c r="BT1650" s="427"/>
      <c r="BU1650" s="427"/>
      <c r="BV1650" s="427"/>
      <c r="BW1650" s="427"/>
      <c r="BX1650" s="427"/>
      <c r="BY1650" s="427"/>
      <c r="BZ1650" s="427"/>
      <c r="CA1650" s="427"/>
      <c r="CB1650" s="427"/>
      <c r="CC1650" s="427"/>
      <c r="CD1650" s="427"/>
      <c r="CE1650" s="427"/>
      <c r="CF1650" s="427"/>
      <c r="CG1650" s="427"/>
      <c r="CH1650" s="427"/>
      <c r="CI1650" s="427"/>
    </row>
    <row r="1651" customFormat="false" ht="13.5" hidden="false" customHeight="false" outlineLevel="0" collapsed="false">
      <c r="A1651" s="424"/>
      <c r="B1651" s="424"/>
      <c r="C1651" s="424"/>
      <c r="D1651" s="424"/>
      <c r="E1651" s="424"/>
      <c r="F1651" s="424"/>
      <c r="G1651" s="424"/>
      <c r="H1651" s="424"/>
      <c r="I1651" s="424"/>
      <c r="J1651" s="424"/>
      <c r="K1651" s="424"/>
      <c r="L1651" s="424"/>
      <c r="M1651" s="424"/>
      <c r="N1651" s="424"/>
      <c r="O1651" s="424"/>
      <c r="P1651" s="424"/>
      <c r="Q1651" s="435" t="n">
        <v>64</v>
      </c>
      <c r="R1651" s="434" t="s">
        <v>604</v>
      </c>
      <c r="S1651" s="424"/>
      <c r="T1651" s="434" t="s">
        <v>605</v>
      </c>
      <c r="U1651" s="434" t="s">
        <v>606</v>
      </c>
      <c r="V1651" s="436" t="n">
        <f aca="false">AY1656</f>
        <v>0</v>
      </c>
      <c r="W1651" s="424"/>
      <c r="X1651" s="429"/>
      <c r="Y1651" s="427"/>
      <c r="AC1651" s="427"/>
      <c r="AD1651" s="427"/>
      <c r="AE1651" s="427"/>
      <c r="AF1651" s="427"/>
      <c r="AG1651" s="427"/>
      <c r="AH1651" s="427"/>
      <c r="AI1651" s="427"/>
      <c r="AJ1651" s="427"/>
      <c r="AK1651" s="427"/>
      <c r="AL1651" s="427"/>
      <c r="AM1651" s="427"/>
      <c r="AN1651" s="427"/>
      <c r="AO1651" s="428"/>
      <c r="AP1651" s="427"/>
      <c r="AQ1651" s="427"/>
      <c r="AR1651" s="427"/>
      <c r="AS1651" s="427"/>
      <c r="AT1651" s="427"/>
      <c r="AU1651" s="427"/>
      <c r="AV1651" s="427"/>
      <c r="AW1651" s="427"/>
      <c r="AX1651" s="427"/>
      <c r="AY1651" s="427"/>
      <c r="BC1651" s="428"/>
      <c r="BD1651" s="429"/>
      <c r="BE1651" s="429"/>
      <c r="BF1651" s="427"/>
      <c r="BG1651" s="437"/>
      <c r="BH1651" s="427"/>
      <c r="BJ1651" s="437"/>
      <c r="BK1651" s="427"/>
      <c r="BM1651" s="426"/>
      <c r="BN1651" s="427"/>
      <c r="BO1651" s="439"/>
      <c r="BP1651" s="427"/>
      <c r="BQ1651" s="427"/>
      <c r="BR1651" s="431"/>
      <c r="BS1651" s="431"/>
      <c r="BT1651" s="427"/>
      <c r="BU1651" s="427"/>
      <c r="BV1651" s="427"/>
      <c r="BW1651" s="427"/>
      <c r="BX1651" s="427"/>
      <c r="BY1651" s="427"/>
      <c r="BZ1651" s="427"/>
      <c r="CA1651" s="427"/>
      <c r="CB1651" s="427"/>
      <c r="CC1651" s="427"/>
      <c r="CD1651" s="427"/>
      <c r="CE1651" s="427"/>
      <c r="CF1651" s="427"/>
      <c r="CG1651" s="427"/>
      <c r="CH1651" s="427"/>
      <c r="CI1651" s="427"/>
    </row>
    <row r="1652" customFormat="false" ht="13.5" hidden="false" customHeight="false" outlineLevel="0" collapsed="false">
      <c r="A1652" s="424"/>
      <c r="B1652" s="424"/>
      <c r="C1652" s="424"/>
      <c r="D1652" s="424"/>
      <c r="E1652" s="424"/>
      <c r="F1652" s="424"/>
      <c r="G1652" s="424"/>
      <c r="H1652" s="424"/>
      <c r="I1652" s="424"/>
      <c r="J1652" s="424"/>
      <c r="K1652" s="424"/>
      <c r="L1652" s="424"/>
      <c r="M1652" s="424"/>
      <c r="N1652" s="424"/>
      <c r="O1652" s="424"/>
      <c r="P1652" s="424"/>
      <c r="Q1652" s="435" t="n">
        <v>65</v>
      </c>
      <c r="R1652" s="434" t="s">
        <v>607</v>
      </c>
      <c r="S1652" s="424"/>
      <c r="T1652" s="434" t="s">
        <v>608</v>
      </c>
      <c r="U1652" s="434" t="s">
        <v>609</v>
      </c>
      <c r="V1652" s="436" t="n">
        <f aca="false">AY1657</f>
        <v>0</v>
      </c>
      <c r="W1652" s="424"/>
      <c r="X1652" s="429"/>
      <c r="Y1652" s="427"/>
      <c r="AC1652" s="427"/>
      <c r="AD1652" s="427"/>
      <c r="AE1652" s="427"/>
      <c r="AF1652" s="427"/>
      <c r="AG1652" s="427"/>
      <c r="AH1652" s="427"/>
      <c r="AI1652" s="427"/>
      <c r="AJ1652" s="427"/>
      <c r="AK1652" s="427"/>
      <c r="AL1652" s="427"/>
      <c r="AM1652" s="427"/>
      <c r="AN1652" s="427"/>
      <c r="AO1652" s="428"/>
      <c r="AP1652" s="427"/>
      <c r="AQ1652" s="427"/>
      <c r="AR1652" s="427"/>
      <c r="AS1652" s="427"/>
      <c r="AT1652" s="427"/>
      <c r="AU1652" s="427"/>
      <c r="AV1652" s="427"/>
      <c r="AW1652" s="427"/>
      <c r="AX1652" s="427"/>
      <c r="AY1652" s="427"/>
      <c r="BC1652" s="428"/>
      <c r="BD1652" s="429"/>
      <c r="BE1652" s="429"/>
      <c r="BF1652" s="427"/>
      <c r="BG1652" s="437"/>
      <c r="BH1652" s="427"/>
      <c r="BJ1652" s="437"/>
      <c r="BK1652" s="427"/>
      <c r="BM1652" s="426"/>
      <c r="BN1652" s="427"/>
      <c r="BO1652" s="439"/>
      <c r="BP1652" s="427"/>
      <c r="BQ1652" s="427"/>
      <c r="BR1652" s="427"/>
      <c r="BS1652" s="431"/>
      <c r="BT1652" s="427"/>
      <c r="BU1652" s="427"/>
      <c r="BV1652" s="427"/>
      <c r="BW1652" s="427"/>
      <c r="BX1652" s="427"/>
      <c r="BY1652" s="427"/>
      <c r="BZ1652" s="427"/>
      <c r="CA1652" s="427"/>
      <c r="CB1652" s="427"/>
      <c r="CC1652" s="427"/>
      <c r="CD1652" s="427"/>
      <c r="CE1652" s="427"/>
      <c r="CF1652" s="427"/>
      <c r="CG1652" s="427"/>
      <c r="CH1652" s="427"/>
      <c r="CI1652" s="427"/>
    </row>
    <row r="1653" customFormat="false" ht="13.5" hidden="false" customHeight="false" outlineLevel="0" collapsed="false">
      <c r="A1653" s="424"/>
      <c r="B1653" s="424"/>
      <c r="C1653" s="424"/>
      <c r="D1653" s="424"/>
      <c r="E1653" s="424"/>
      <c r="F1653" s="424"/>
      <c r="G1653" s="424"/>
      <c r="H1653" s="424"/>
      <c r="I1653" s="424"/>
      <c r="J1653" s="424"/>
      <c r="K1653" s="424"/>
      <c r="L1653" s="424"/>
      <c r="M1653" s="424"/>
      <c r="N1653" s="424"/>
      <c r="O1653" s="424"/>
      <c r="P1653" s="424"/>
      <c r="Q1653" s="435" t="n">
        <v>66</v>
      </c>
      <c r="R1653" s="434" t="s">
        <v>610</v>
      </c>
      <c r="S1653" s="424"/>
      <c r="T1653" s="434" t="s">
        <v>611</v>
      </c>
      <c r="U1653" s="434" t="s">
        <v>612</v>
      </c>
      <c r="V1653" s="436" t="n">
        <f aca="false">AY1658</f>
        <v>0</v>
      </c>
      <c r="W1653" s="424"/>
      <c r="X1653" s="429"/>
      <c r="Y1653" s="427"/>
      <c r="AC1653" s="427"/>
      <c r="AD1653" s="427"/>
      <c r="AE1653" s="427"/>
      <c r="AF1653" s="427"/>
      <c r="AG1653" s="427"/>
      <c r="AH1653" s="427"/>
      <c r="AI1653" s="427"/>
      <c r="AJ1653" s="427"/>
      <c r="AK1653" s="427"/>
      <c r="AL1653" s="427"/>
      <c r="AM1653" s="427"/>
      <c r="AN1653" s="427"/>
      <c r="AO1653" s="428"/>
      <c r="AP1653" s="427"/>
      <c r="AQ1653" s="427"/>
      <c r="AR1653" s="427"/>
      <c r="AS1653" s="427"/>
      <c r="AT1653" s="427"/>
      <c r="AU1653" s="427"/>
      <c r="AV1653" s="427"/>
      <c r="AW1653" s="427"/>
      <c r="AX1653" s="427"/>
      <c r="AY1653" s="427"/>
      <c r="BC1653" s="428"/>
      <c r="BD1653" s="429"/>
      <c r="BE1653" s="429"/>
      <c r="BF1653" s="427"/>
      <c r="BG1653" s="437"/>
      <c r="BH1653" s="427"/>
      <c r="BJ1653" s="437"/>
      <c r="BK1653" s="427"/>
      <c r="BM1653" s="426"/>
      <c r="BN1653" s="427"/>
      <c r="BO1653" s="439"/>
      <c r="BP1653" s="427"/>
      <c r="BQ1653" s="427"/>
      <c r="BR1653" s="427"/>
      <c r="BS1653" s="431"/>
      <c r="BT1653" s="427"/>
      <c r="BU1653" s="427"/>
      <c r="BV1653" s="427"/>
      <c r="BW1653" s="427"/>
      <c r="BX1653" s="427"/>
      <c r="BY1653" s="427"/>
      <c r="BZ1653" s="427"/>
      <c r="CA1653" s="427"/>
      <c r="CB1653" s="427"/>
      <c r="CC1653" s="427"/>
      <c r="CD1653" s="427"/>
      <c r="CE1653" s="427"/>
      <c r="CF1653" s="427"/>
      <c r="CG1653" s="427"/>
      <c r="CH1653" s="427"/>
      <c r="CI1653" s="427"/>
    </row>
    <row r="1654" customFormat="false" ht="13.5" hidden="false" customHeight="false" outlineLevel="0" collapsed="false">
      <c r="A1654" s="424"/>
      <c r="B1654" s="424"/>
      <c r="C1654" s="424"/>
      <c r="D1654" s="424"/>
      <c r="E1654" s="424"/>
      <c r="F1654" s="424"/>
      <c r="G1654" s="424"/>
      <c r="H1654" s="424"/>
      <c r="I1654" s="424"/>
      <c r="J1654" s="424"/>
      <c r="K1654" s="424"/>
      <c r="L1654" s="424"/>
      <c r="M1654" s="424"/>
      <c r="N1654" s="424"/>
      <c r="O1654" s="424"/>
      <c r="P1654" s="424"/>
      <c r="Q1654" s="435" t="n">
        <v>67</v>
      </c>
      <c r="R1654" s="434" t="s">
        <v>613</v>
      </c>
      <c r="S1654" s="424"/>
      <c r="T1654" s="434" t="s">
        <v>614</v>
      </c>
      <c r="U1654" s="434" t="s">
        <v>615</v>
      </c>
      <c r="V1654" s="436" t="n">
        <f aca="false">AY1659</f>
        <v>0</v>
      </c>
      <c r="W1654" s="424"/>
      <c r="Y1654" s="427"/>
      <c r="AC1654" s="427"/>
      <c r="AD1654" s="427"/>
      <c r="AE1654" s="427"/>
      <c r="AF1654" s="427"/>
      <c r="AG1654" s="427"/>
      <c r="AH1654" s="427"/>
      <c r="AI1654" s="427"/>
      <c r="AJ1654" s="427"/>
      <c r="AK1654" s="427"/>
      <c r="AL1654" s="427"/>
      <c r="AM1654" s="427"/>
      <c r="AN1654" s="427"/>
      <c r="AO1654" s="428"/>
      <c r="AP1654" s="427"/>
      <c r="AQ1654" s="427"/>
      <c r="AR1654" s="427"/>
      <c r="AS1654" s="427"/>
      <c r="AT1654" s="427"/>
      <c r="AU1654" s="427"/>
      <c r="AV1654" s="427"/>
      <c r="AW1654" s="427"/>
      <c r="AX1654" s="427"/>
      <c r="AY1654" s="427"/>
      <c r="BC1654" s="428"/>
      <c r="BD1654" s="429"/>
      <c r="BF1654" s="427"/>
      <c r="BG1654" s="437"/>
      <c r="BH1654" s="427"/>
      <c r="BJ1654" s="437"/>
      <c r="BK1654" s="427"/>
      <c r="BN1654" s="427"/>
      <c r="BO1654" s="439"/>
      <c r="BP1654" s="427"/>
      <c r="BQ1654" s="427"/>
      <c r="BR1654" s="427"/>
      <c r="BS1654" s="431"/>
      <c r="BT1654" s="427"/>
      <c r="BU1654" s="427"/>
      <c r="BV1654" s="427"/>
      <c r="BW1654" s="427"/>
      <c r="BX1654" s="427"/>
      <c r="BY1654" s="427"/>
      <c r="BZ1654" s="427"/>
      <c r="CA1654" s="427"/>
      <c r="CB1654" s="427"/>
      <c r="CC1654" s="427"/>
      <c r="CD1654" s="427"/>
      <c r="CE1654" s="427"/>
      <c r="CF1654" s="427"/>
      <c r="CG1654" s="427"/>
      <c r="CH1654" s="427"/>
      <c r="CI1654" s="427"/>
    </row>
    <row r="1655" customFormat="false" ht="13.5" hidden="false" customHeight="false" outlineLevel="0" collapsed="false">
      <c r="A1655" s="424"/>
      <c r="B1655" s="424"/>
      <c r="C1655" s="424"/>
      <c r="D1655" s="424"/>
      <c r="E1655" s="424"/>
      <c r="F1655" s="424"/>
      <c r="G1655" s="424"/>
      <c r="H1655" s="424"/>
      <c r="I1655" s="424"/>
      <c r="J1655" s="424"/>
      <c r="K1655" s="424"/>
      <c r="L1655" s="424"/>
      <c r="M1655" s="424"/>
      <c r="N1655" s="424"/>
      <c r="O1655" s="424"/>
      <c r="P1655" s="424"/>
      <c r="Q1655" s="435" t="n">
        <v>68</v>
      </c>
      <c r="R1655" s="434" t="s">
        <v>616</v>
      </c>
      <c r="S1655" s="424"/>
      <c r="T1655" s="434" t="s">
        <v>617</v>
      </c>
      <c r="U1655" s="434" t="s">
        <v>618</v>
      </c>
      <c r="V1655" s="436" t="n">
        <f aca="false">AY1660</f>
        <v>0</v>
      </c>
      <c r="W1655" s="424"/>
      <c r="AC1655" s="427"/>
      <c r="AD1655" s="427"/>
      <c r="AE1655" s="427"/>
      <c r="AF1655" s="427"/>
      <c r="AG1655" s="427"/>
      <c r="AH1655" s="427"/>
      <c r="AI1655" s="427"/>
      <c r="AJ1655" s="427"/>
      <c r="AK1655" s="427"/>
      <c r="AL1655" s="427"/>
      <c r="AM1655" s="427"/>
      <c r="AN1655" s="427"/>
      <c r="AO1655" s="428"/>
      <c r="AP1655" s="427"/>
      <c r="AQ1655" s="427"/>
      <c r="AR1655" s="427"/>
      <c r="AS1655" s="427"/>
      <c r="AT1655" s="427"/>
      <c r="AU1655" s="427"/>
      <c r="AV1655" s="427"/>
      <c r="AW1655" s="427"/>
      <c r="AX1655" s="427"/>
      <c r="AY1655" s="427"/>
      <c r="BC1655" s="428"/>
      <c r="BD1655" s="429"/>
      <c r="BF1655" s="427"/>
      <c r="BG1655" s="437"/>
      <c r="BH1655" s="427"/>
      <c r="BJ1655" s="437"/>
      <c r="BK1655" s="427"/>
      <c r="BN1655" s="427"/>
      <c r="BO1655" s="439"/>
      <c r="BP1655" s="427"/>
      <c r="BQ1655" s="427"/>
      <c r="BR1655" s="427"/>
      <c r="BS1655" s="431"/>
      <c r="BT1655" s="427"/>
      <c r="BU1655" s="427"/>
      <c r="BV1655" s="427"/>
      <c r="BW1655" s="427"/>
      <c r="BX1655" s="427"/>
      <c r="BY1655" s="427"/>
      <c r="BZ1655" s="427"/>
      <c r="CA1655" s="427"/>
      <c r="CB1655" s="427"/>
      <c r="CC1655" s="427"/>
      <c r="CD1655" s="427"/>
      <c r="CE1655" s="427"/>
      <c r="CF1655" s="427"/>
      <c r="CG1655" s="427"/>
      <c r="CH1655" s="427"/>
      <c r="CI1655" s="427"/>
    </row>
    <row r="1656" customFormat="false" ht="13.5" hidden="false" customHeight="false" outlineLevel="0" collapsed="false">
      <c r="A1656" s="424"/>
      <c r="B1656" s="424"/>
      <c r="C1656" s="424"/>
      <c r="D1656" s="424"/>
      <c r="E1656" s="424"/>
      <c r="F1656" s="424"/>
      <c r="G1656" s="424"/>
      <c r="H1656" s="424"/>
      <c r="I1656" s="424"/>
      <c r="J1656" s="424"/>
      <c r="K1656" s="424"/>
      <c r="L1656" s="424"/>
      <c r="M1656" s="424"/>
      <c r="N1656" s="424"/>
      <c r="O1656" s="424"/>
      <c r="P1656" s="424"/>
      <c r="Q1656" s="435" t="n">
        <v>69</v>
      </c>
      <c r="R1656" s="434" t="s">
        <v>619</v>
      </c>
      <c r="S1656" s="424"/>
      <c r="T1656" s="434" t="s">
        <v>620</v>
      </c>
      <c r="U1656" s="434" t="s">
        <v>621</v>
      </c>
      <c r="V1656" s="436" t="n">
        <f aca="false">AY1661</f>
        <v>0</v>
      </c>
      <c r="W1656" s="424"/>
      <c r="AC1656" s="427"/>
      <c r="AD1656" s="427"/>
      <c r="AE1656" s="427"/>
      <c r="AF1656" s="427"/>
      <c r="AG1656" s="427"/>
      <c r="AH1656" s="427"/>
      <c r="AI1656" s="427"/>
      <c r="AJ1656" s="427"/>
      <c r="AK1656" s="427"/>
      <c r="AL1656" s="427"/>
      <c r="AM1656" s="427"/>
      <c r="AN1656" s="427"/>
      <c r="AO1656" s="428"/>
      <c r="AP1656" s="427"/>
      <c r="AQ1656" s="427"/>
      <c r="AR1656" s="427"/>
      <c r="AS1656" s="427"/>
      <c r="AT1656" s="427"/>
      <c r="AU1656" s="427"/>
      <c r="AV1656" s="427"/>
      <c r="AW1656" s="427"/>
      <c r="AX1656" s="427"/>
      <c r="AY1656" s="427"/>
      <c r="BC1656" s="428"/>
      <c r="BD1656" s="429"/>
      <c r="BF1656" s="427"/>
      <c r="BG1656" s="437"/>
      <c r="BH1656" s="427"/>
      <c r="BJ1656" s="437"/>
      <c r="BM1656" s="428"/>
      <c r="BN1656" s="439"/>
      <c r="BO1656" s="439"/>
      <c r="BP1656" s="427"/>
      <c r="BQ1656" s="427"/>
      <c r="BR1656" s="427"/>
      <c r="BS1656" s="431"/>
      <c r="BT1656" s="427"/>
      <c r="BU1656" s="427"/>
      <c r="BV1656" s="427"/>
      <c r="BW1656" s="427"/>
      <c r="BX1656" s="427"/>
      <c r="BY1656" s="427"/>
      <c r="BZ1656" s="427"/>
      <c r="CA1656" s="427"/>
      <c r="CB1656" s="427"/>
      <c r="CC1656" s="427"/>
      <c r="CD1656" s="427"/>
      <c r="CE1656" s="427"/>
      <c r="CF1656" s="427"/>
      <c r="CG1656" s="427"/>
      <c r="CH1656" s="427"/>
      <c r="CI1656" s="427"/>
    </row>
    <row r="1657" customFormat="false" ht="13.5" hidden="false" customHeight="false" outlineLevel="0" collapsed="false">
      <c r="A1657" s="424"/>
      <c r="B1657" s="424"/>
      <c r="C1657" s="424"/>
      <c r="D1657" s="424"/>
      <c r="E1657" s="424"/>
      <c r="F1657" s="424"/>
      <c r="G1657" s="424"/>
      <c r="H1657" s="424"/>
      <c r="I1657" s="424"/>
      <c r="J1657" s="424"/>
      <c r="K1657" s="424"/>
      <c r="L1657" s="424"/>
      <c r="M1657" s="424"/>
      <c r="N1657" s="424"/>
      <c r="O1657" s="424"/>
      <c r="P1657" s="424"/>
      <c r="Q1657" s="435" t="n">
        <v>70</v>
      </c>
      <c r="R1657" s="434" t="s">
        <v>622</v>
      </c>
      <c r="S1657" s="424"/>
      <c r="T1657" s="434" t="s">
        <v>623</v>
      </c>
      <c r="U1657" s="434" t="s">
        <v>624</v>
      </c>
      <c r="V1657" s="436" t="n">
        <f aca="false">AY1662</f>
        <v>0</v>
      </c>
      <c r="W1657" s="424"/>
      <c r="AC1657" s="427"/>
      <c r="AD1657" s="427"/>
      <c r="AE1657" s="427"/>
      <c r="AF1657" s="427"/>
      <c r="AG1657" s="427"/>
      <c r="AH1657" s="427"/>
      <c r="AI1657" s="427"/>
      <c r="AJ1657" s="427"/>
      <c r="AK1657" s="427"/>
      <c r="AL1657" s="427"/>
      <c r="AM1657" s="427"/>
      <c r="AN1657" s="427"/>
      <c r="AO1657" s="428"/>
      <c r="AP1657" s="427"/>
      <c r="AQ1657" s="427"/>
      <c r="AR1657" s="427"/>
      <c r="AS1657" s="427"/>
      <c r="AT1657" s="427"/>
      <c r="AU1657" s="427"/>
      <c r="AV1657" s="427"/>
      <c r="AW1657" s="427"/>
      <c r="AX1657" s="427"/>
      <c r="AY1657" s="427"/>
      <c r="BC1657" s="428"/>
      <c r="BD1657" s="429"/>
      <c r="BF1657" s="427"/>
      <c r="BG1657" s="437"/>
      <c r="BH1657" s="427"/>
      <c r="BJ1657" s="437"/>
      <c r="BK1657" s="430"/>
      <c r="BL1657" s="427"/>
      <c r="BM1657" s="426"/>
      <c r="BN1657" s="427"/>
      <c r="BO1657" s="439"/>
      <c r="BP1657" s="427"/>
      <c r="BQ1657" s="427"/>
      <c r="BR1657" s="427"/>
      <c r="BS1657" s="431"/>
      <c r="BT1657" s="427"/>
      <c r="BU1657" s="427"/>
      <c r="BV1657" s="427"/>
      <c r="BW1657" s="427"/>
      <c r="BX1657" s="427"/>
      <c r="BY1657" s="427"/>
      <c r="BZ1657" s="427"/>
      <c r="CA1657" s="427"/>
      <c r="CB1657" s="427"/>
      <c r="CC1657" s="427"/>
      <c r="CD1657" s="427"/>
      <c r="CE1657" s="427"/>
      <c r="CF1657" s="427"/>
      <c r="CG1657" s="427"/>
      <c r="CH1657" s="427"/>
      <c r="CI1657" s="427"/>
    </row>
    <row r="1658" customFormat="false" ht="13.5" hidden="false" customHeight="false" outlineLevel="0" collapsed="false">
      <c r="A1658" s="424"/>
      <c r="B1658" s="424"/>
      <c r="C1658" s="424"/>
      <c r="D1658" s="424"/>
      <c r="E1658" s="424"/>
      <c r="F1658" s="424"/>
      <c r="G1658" s="424"/>
      <c r="H1658" s="424"/>
      <c r="I1658" s="424"/>
      <c r="J1658" s="424"/>
      <c r="K1658" s="424"/>
      <c r="L1658" s="424"/>
      <c r="M1658" s="424"/>
      <c r="N1658" s="424"/>
      <c r="O1658" s="424"/>
      <c r="P1658" s="424"/>
      <c r="Q1658" s="435" t="n">
        <v>71</v>
      </c>
      <c r="R1658" s="434" t="s">
        <v>625</v>
      </c>
      <c r="S1658" s="424"/>
      <c r="T1658" s="434" t="s">
        <v>626</v>
      </c>
      <c r="U1658" s="434" t="s">
        <v>627</v>
      </c>
      <c r="V1658" s="436" t="n">
        <f aca="false">AY1663</f>
        <v>0</v>
      </c>
      <c r="W1658" s="424"/>
      <c r="AC1658" s="427"/>
      <c r="AD1658" s="427"/>
      <c r="AE1658" s="427"/>
      <c r="AF1658" s="427"/>
      <c r="AG1658" s="427"/>
      <c r="AH1658" s="427"/>
      <c r="AI1658" s="427"/>
      <c r="AJ1658" s="427"/>
      <c r="AK1658" s="427"/>
      <c r="AL1658" s="427"/>
      <c r="AM1658" s="427"/>
      <c r="AN1658" s="427"/>
      <c r="AO1658" s="428"/>
      <c r="AP1658" s="427"/>
      <c r="AQ1658" s="427"/>
      <c r="AR1658" s="427"/>
      <c r="AS1658" s="427"/>
      <c r="AT1658" s="427"/>
      <c r="AU1658" s="427"/>
      <c r="AV1658" s="427"/>
      <c r="AW1658" s="427"/>
      <c r="AX1658" s="427"/>
      <c r="AY1658" s="427"/>
      <c r="BC1658" s="428"/>
      <c r="BD1658" s="429"/>
      <c r="BF1658" s="427"/>
      <c r="BG1658" s="437"/>
      <c r="BH1658" s="427"/>
      <c r="BJ1658" s="437"/>
      <c r="BK1658" s="437"/>
      <c r="BM1658" s="428"/>
      <c r="BN1658" s="439"/>
      <c r="BO1658" s="439"/>
      <c r="BP1658" s="427"/>
      <c r="BQ1658" s="427"/>
      <c r="BR1658" s="427"/>
      <c r="BS1658" s="431"/>
      <c r="BT1658" s="427"/>
      <c r="BU1658" s="427"/>
      <c r="BV1658" s="427"/>
      <c r="BW1658" s="427"/>
      <c r="BX1658" s="427"/>
      <c r="BY1658" s="427"/>
      <c r="BZ1658" s="427"/>
      <c r="CA1658" s="427"/>
      <c r="CB1658" s="427"/>
      <c r="CC1658" s="427"/>
      <c r="CD1658" s="427"/>
      <c r="CE1658" s="427"/>
      <c r="CF1658" s="427"/>
      <c r="CG1658" s="427"/>
      <c r="CH1658" s="427"/>
      <c r="CI1658" s="427"/>
    </row>
    <row r="1659" customFormat="false" ht="13.5" hidden="false" customHeight="false" outlineLevel="0" collapsed="false">
      <c r="A1659" s="424"/>
      <c r="B1659" s="424"/>
      <c r="C1659" s="424"/>
      <c r="D1659" s="424"/>
      <c r="E1659" s="424"/>
      <c r="F1659" s="424"/>
      <c r="G1659" s="424"/>
      <c r="H1659" s="424"/>
      <c r="I1659" s="424"/>
      <c r="J1659" s="424"/>
      <c r="K1659" s="424"/>
      <c r="L1659" s="424"/>
      <c r="M1659" s="424"/>
      <c r="N1659" s="424"/>
      <c r="O1659" s="424"/>
      <c r="P1659" s="424"/>
      <c r="Q1659" s="435" t="n">
        <v>72</v>
      </c>
      <c r="R1659" s="434" t="s">
        <v>628</v>
      </c>
      <c r="S1659" s="424"/>
      <c r="T1659" s="434" t="s">
        <v>629</v>
      </c>
      <c r="U1659" s="434" t="s">
        <v>630</v>
      </c>
      <c r="V1659" s="436" t="n">
        <f aca="false">AY1664</f>
        <v>0</v>
      </c>
      <c r="W1659" s="424"/>
      <c r="AC1659" s="427"/>
      <c r="AD1659" s="427"/>
      <c r="AE1659" s="427"/>
      <c r="AF1659" s="427"/>
      <c r="AG1659" s="427"/>
      <c r="AH1659" s="427"/>
      <c r="AI1659" s="427"/>
      <c r="AJ1659" s="427"/>
      <c r="AK1659" s="427"/>
      <c r="AL1659" s="427"/>
      <c r="AM1659" s="427"/>
      <c r="AN1659" s="427"/>
      <c r="AO1659" s="428"/>
      <c r="AP1659" s="427"/>
      <c r="AQ1659" s="427"/>
      <c r="AR1659" s="427"/>
      <c r="AS1659" s="427"/>
      <c r="AT1659" s="427"/>
      <c r="AU1659" s="427"/>
      <c r="AV1659" s="427"/>
      <c r="AW1659" s="427"/>
      <c r="AX1659" s="427"/>
      <c r="AY1659" s="427"/>
      <c r="BC1659" s="428"/>
      <c r="BD1659" s="429"/>
      <c r="BF1659" s="427"/>
      <c r="BG1659" s="437"/>
      <c r="BH1659" s="427"/>
      <c r="BJ1659" s="437"/>
      <c r="BK1659" s="437"/>
      <c r="BN1659" s="427"/>
      <c r="BO1659" s="439"/>
      <c r="BP1659" s="427"/>
      <c r="BQ1659" s="427"/>
      <c r="BR1659" s="427"/>
      <c r="BS1659" s="431"/>
      <c r="BT1659" s="427"/>
      <c r="BU1659" s="427"/>
      <c r="BV1659" s="427"/>
      <c r="BW1659" s="427"/>
      <c r="BX1659" s="427"/>
      <c r="BY1659" s="427"/>
      <c r="BZ1659" s="427"/>
      <c r="CA1659" s="427"/>
      <c r="CB1659" s="427"/>
      <c r="CC1659" s="427"/>
      <c r="CD1659" s="427"/>
      <c r="CE1659" s="427"/>
      <c r="CF1659" s="427"/>
      <c r="CG1659" s="427"/>
      <c r="CH1659" s="427"/>
      <c r="CI1659" s="427"/>
    </row>
    <row r="1660" customFormat="false" ht="13.5" hidden="false" customHeight="false" outlineLevel="0" collapsed="false">
      <c r="A1660" s="424"/>
      <c r="B1660" s="424"/>
      <c r="C1660" s="424"/>
      <c r="D1660" s="424"/>
      <c r="E1660" s="424"/>
      <c r="F1660" s="424"/>
      <c r="G1660" s="424"/>
      <c r="H1660" s="424"/>
      <c r="I1660" s="424"/>
      <c r="J1660" s="424"/>
      <c r="K1660" s="424"/>
      <c r="L1660" s="424"/>
      <c r="M1660" s="424"/>
      <c r="N1660" s="424"/>
      <c r="O1660" s="424"/>
      <c r="P1660" s="424"/>
      <c r="Q1660" s="435" t="n">
        <v>73</v>
      </c>
      <c r="R1660" s="434" t="s">
        <v>631</v>
      </c>
      <c r="S1660" s="424"/>
      <c r="T1660" s="434" t="s">
        <v>632</v>
      </c>
      <c r="U1660" s="434" t="s">
        <v>633</v>
      </c>
      <c r="V1660" s="436" t="n">
        <f aca="false">AY1665</f>
        <v>0</v>
      </c>
      <c r="W1660" s="424"/>
      <c r="AC1660" s="427"/>
      <c r="AD1660" s="427"/>
      <c r="AE1660" s="427"/>
      <c r="AF1660" s="427"/>
      <c r="AG1660" s="427"/>
      <c r="AH1660" s="427"/>
      <c r="AI1660" s="427"/>
      <c r="AJ1660" s="427"/>
      <c r="AK1660" s="427"/>
      <c r="AL1660" s="427"/>
      <c r="AM1660" s="427"/>
      <c r="AN1660" s="427"/>
      <c r="AO1660" s="428"/>
      <c r="AP1660" s="427"/>
      <c r="AQ1660" s="427"/>
      <c r="AR1660" s="427"/>
      <c r="AS1660" s="427"/>
      <c r="AT1660" s="427"/>
      <c r="AU1660" s="427"/>
      <c r="AV1660" s="427"/>
      <c r="AW1660" s="427"/>
      <c r="AX1660" s="427"/>
      <c r="AY1660" s="427"/>
      <c r="BC1660" s="428"/>
      <c r="BD1660" s="429"/>
      <c r="BF1660" s="427"/>
      <c r="BG1660" s="437"/>
      <c r="BH1660" s="427"/>
      <c r="BJ1660" s="437"/>
      <c r="BK1660" s="431"/>
      <c r="BM1660" s="427"/>
      <c r="BN1660" s="427"/>
      <c r="BO1660" s="439"/>
      <c r="BP1660" s="427"/>
      <c r="BQ1660" s="427"/>
      <c r="BR1660" s="427"/>
      <c r="BS1660" s="431"/>
      <c r="BT1660" s="427"/>
      <c r="BU1660" s="427"/>
      <c r="BV1660" s="427"/>
      <c r="BW1660" s="427"/>
      <c r="BX1660" s="427"/>
      <c r="BY1660" s="427"/>
      <c r="BZ1660" s="427"/>
      <c r="CA1660" s="427"/>
      <c r="CB1660" s="427"/>
      <c r="CC1660" s="427"/>
      <c r="CD1660" s="427"/>
      <c r="CE1660" s="427"/>
      <c r="CF1660" s="427"/>
      <c r="CG1660" s="427"/>
      <c r="CH1660" s="427"/>
      <c r="CI1660" s="427"/>
    </row>
    <row r="1661" customFormat="false" ht="13.5" hidden="false" customHeight="false" outlineLevel="0" collapsed="false">
      <c r="A1661" s="424"/>
      <c r="B1661" s="424"/>
      <c r="C1661" s="424"/>
      <c r="D1661" s="424"/>
      <c r="E1661" s="424"/>
      <c r="F1661" s="424"/>
      <c r="G1661" s="424"/>
      <c r="H1661" s="424"/>
      <c r="I1661" s="424"/>
      <c r="J1661" s="424"/>
      <c r="K1661" s="424"/>
      <c r="L1661" s="424"/>
      <c r="M1661" s="424"/>
      <c r="N1661" s="424"/>
      <c r="O1661" s="424"/>
      <c r="P1661" s="424"/>
      <c r="Q1661" s="435" t="n">
        <v>74</v>
      </c>
      <c r="R1661" s="434" t="s">
        <v>634</v>
      </c>
      <c r="S1661" s="424"/>
      <c r="T1661" s="434" t="s">
        <v>635</v>
      </c>
      <c r="U1661" s="434" t="s">
        <v>636</v>
      </c>
      <c r="V1661" s="436" t="n">
        <f aca="false">AY1666</f>
        <v>0</v>
      </c>
      <c r="W1661" s="424"/>
      <c r="AC1661" s="427"/>
      <c r="AD1661" s="427"/>
      <c r="AE1661" s="427"/>
      <c r="AF1661" s="427"/>
      <c r="AG1661" s="427"/>
      <c r="AH1661" s="427"/>
      <c r="AI1661" s="427"/>
      <c r="AJ1661" s="427"/>
      <c r="AK1661" s="427"/>
      <c r="AL1661" s="427"/>
      <c r="AM1661" s="427"/>
      <c r="AN1661" s="427"/>
      <c r="AO1661" s="428"/>
      <c r="AP1661" s="427"/>
      <c r="AQ1661" s="427"/>
      <c r="AR1661" s="427"/>
      <c r="AS1661" s="427"/>
      <c r="AT1661" s="427"/>
      <c r="AU1661" s="427"/>
      <c r="AV1661" s="427"/>
      <c r="AW1661" s="427"/>
      <c r="AX1661" s="427"/>
      <c r="AY1661" s="427"/>
      <c r="BC1661" s="428"/>
      <c r="BD1661" s="429"/>
      <c r="BF1661" s="427"/>
      <c r="BG1661" s="437"/>
      <c r="BH1661" s="427"/>
      <c r="BJ1661" s="437"/>
      <c r="BM1661" s="427"/>
      <c r="BN1661" s="427"/>
      <c r="BO1661" s="439"/>
      <c r="BP1661" s="427"/>
      <c r="BQ1661" s="427"/>
      <c r="BR1661" s="431"/>
      <c r="BS1661" s="431"/>
      <c r="BT1661" s="427"/>
      <c r="BU1661" s="427"/>
      <c r="BV1661" s="427"/>
      <c r="BW1661" s="427"/>
      <c r="BX1661" s="427"/>
      <c r="BY1661" s="427"/>
      <c r="BZ1661" s="427"/>
      <c r="CA1661" s="427"/>
      <c r="CB1661" s="427"/>
      <c r="CC1661" s="427"/>
      <c r="CD1661" s="427"/>
      <c r="CE1661" s="427"/>
      <c r="CF1661" s="427"/>
      <c r="CG1661" s="427"/>
      <c r="CH1661" s="427"/>
      <c r="CI1661" s="427"/>
    </row>
    <row r="1662" customFormat="false" ht="13.5" hidden="false" customHeight="false" outlineLevel="0" collapsed="false">
      <c r="A1662" s="424"/>
      <c r="B1662" s="424"/>
      <c r="C1662" s="424"/>
      <c r="D1662" s="424"/>
      <c r="E1662" s="424"/>
      <c r="F1662" s="424"/>
      <c r="G1662" s="424"/>
      <c r="H1662" s="424"/>
      <c r="I1662" s="424"/>
      <c r="J1662" s="424"/>
      <c r="K1662" s="424"/>
      <c r="L1662" s="424"/>
      <c r="M1662" s="424"/>
      <c r="N1662" s="424"/>
      <c r="O1662" s="424"/>
      <c r="P1662" s="424"/>
      <c r="Q1662" s="435" t="n">
        <v>75</v>
      </c>
      <c r="R1662" s="434" t="s">
        <v>637</v>
      </c>
      <c r="S1662" s="424"/>
      <c r="T1662" s="434" t="s">
        <v>638</v>
      </c>
      <c r="U1662" s="434" t="s">
        <v>639</v>
      </c>
      <c r="V1662" s="436" t="n">
        <f aca="false">AY1667</f>
        <v>0</v>
      </c>
      <c r="W1662" s="424"/>
      <c r="AC1662" s="427"/>
      <c r="AD1662" s="427"/>
      <c r="AE1662" s="427"/>
      <c r="AF1662" s="427"/>
      <c r="AG1662" s="427"/>
      <c r="AH1662" s="427"/>
      <c r="AI1662" s="427"/>
      <c r="AJ1662" s="427"/>
      <c r="AK1662" s="427"/>
      <c r="AL1662" s="427"/>
      <c r="AM1662" s="427"/>
      <c r="AN1662" s="427"/>
      <c r="AO1662" s="428"/>
      <c r="AP1662" s="427"/>
      <c r="AQ1662" s="427"/>
      <c r="AR1662" s="427"/>
      <c r="AS1662" s="427"/>
      <c r="AT1662" s="427"/>
      <c r="AU1662" s="427"/>
      <c r="AV1662" s="427"/>
      <c r="AW1662" s="427"/>
      <c r="AX1662" s="427"/>
      <c r="AY1662" s="427"/>
      <c r="BC1662" s="428"/>
      <c r="BD1662" s="429"/>
      <c r="BF1662" s="427"/>
      <c r="BG1662" s="437"/>
      <c r="BH1662" s="427"/>
      <c r="BJ1662" s="437"/>
      <c r="BK1662" s="426"/>
      <c r="BN1662" s="427"/>
      <c r="BO1662" s="439"/>
      <c r="BP1662" s="427"/>
      <c r="BQ1662" s="427"/>
      <c r="BR1662" s="427"/>
      <c r="BS1662" s="431"/>
      <c r="BT1662" s="427"/>
      <c r="BU1662" s="427"/>
      <c r="BV1662" s="427"/>
      <c r="BW1662" s="427"/>
      <c r="BX1662" s="427"/>
      <c r="BY1662" s="427"/>
      <c r="BZ1662" s="427"/>
      <c r="CA1662" s="427"/>
      <c r="CB1662" s="427"/>
      <c r="CC1662" s="427"/>
      <c r="CD1662" s="427"/>
      <c r="CE1662" s="427"/>
      <c r="CF1662" s="427"/>
      <c r="CG1662" s="427"/>
      <c r="CH1662" s="427"/>
      <c r="CI1662" s="427"/>
    </row>
    <row r="1663" customFormat="false" ht="13.5" hidden="false" customHeight="false" outlineLevel="0" collapsed="false">
      <c r="A1663" s="424"/>
      <c r="B1663" s="424"/>
      <c r="C1663" s="424"/>
      <c r="D1663" s="424"/>
      <c r="E1663" s="424"/>
      <c r="F1663" s="424"/>
      <c r="G1663" s="424"/>
      <c r="H1663" s="424"/>
      <c r="I1663" s="424"/>
      <c r="J1663" s="424"/>
      <c r="K1663" s="424"/>
      <c r="L1663" s="424"/>
      <c r="M1663" s="424"/>
      <c r="N1663" s="424"/>
      <c r="O1663" s="424"/>
      <c r="P1663" s="424"/>
      <c r="Q1663" s="435" t="n">
        <v>76</v>
      </c>
      <c r="R1663" s="434" t="s">
        <v>640</v>
      </c>
      <c r="S1663" s="424"/>
      <c r="T1663" s="434" t="s">
        <v>641</v>
      </c>
      <c r="U1663" s="434" t="s">
        <v>642</v>
      </c>
      <c r="V1663" s="436" t="n">
        <f aca="false">AY1668</f>
        <v>0</v>
      </c>
      <c r="W1663" s="424"/>
      <c r="AC1663" s="427"/>
      <c r="AD1663" s="427"/>
      <c r="AE1663" s="427"/>
      <c r="AF1663" s="427"/>
      <c r="AG1663" s="427"/>
      <c r="AH1663" s="427"/>
      <c r="AI1663" s="427"/>
      <c r="AJ1663" s="427"/>
      <c r="AK1663" s="427"/>
      <c r="AL1663" s="427"/>
      <c r="AM1663" s="427"/>
      <c r="AN1663" s="427"/>
      <c r="AO1663" s="428"/>
      <c r="AP1663" s="427"/>
      <c r="AQ1663" s="427"/>
      <c r="AR1663" s="427"/>
      <c r="AS1663" s="427"/>
      <c r="AT1663" s="427"/>
      <c r="AU1663" s="427"/>
      <c r="AV1663" s="427"/>
      <c r="AW1663" s="427"/>
      <c r="AX1663" s="427"/>
      <c r="AY1663" s="427"/>
      <c r="BC1663" s="428"/>
      <c r="BD1663" s="429"/>
      <c r="BF1663" s="427"/>
      <c r="BG1663" s="437"/>
      <c r="BH1663" s="427"/>
      <c r="BJ1663" s="437"/>
      <c r="BK1663" s="426"/>
      <c r="BN1663" s="427"/>
      <c r="BO1663" s="439"/>
      <c r="BP1663" s="427"/>
      <c r="BQ1663" s="427"/>
      <c r="BR1663" s="427"/>
      <c r="BS1663" s="431"/>
      <c r="BT1663" s="427"/>
      <c r="BU1663" s="427"/>
      <c r="BV1663" s="427"/>
      <c r="BW1663" s="427"/>
      <c r="BX1663" s="427"/>
      <c r="BY1663" s="427"/>
      <c r="BZ1663" s="427"/>
      <c r="CA1663" s="427"/>
      <c r="CB1663" s="427"/>
      <c r="CC1663" s="427"/>
      <c r="CD1663" s="427"/>
      <c r="CE1663" s="427"/>
      <c r="CF1663" s="427"/>
      <c r="CG1663" s="427"/>
      <c r="CH1663" s="427"/>
      <c r="CI1663" s="427"/>
    </row>
    <row r="1664" customFormat="false" ht="13.5" hidden="false" customHeight="false" outlineLevel="0" collapsed="false">
      <c r="A1664" s="424"/>
      <c r="B1664" s="424"/>
      <c r="C1664" s="424"/>
      <c r="D1664" s="424"/>
      <c r="E1664" s="424"/>
      <c r="F1664" s="424"/>
      <c r="G1664" s="424"/>
      <c r="H1664" s="424"/>
      <c r="I1664" s="424"/>
      <c r="J1664" s="424"/>
      <c r="K1664" s="424"/>
      <c r="L1664" s="424"/>
      <c r="M1664" s="424"/>
      <c r="N1664" s="424"/>
      <c r="O1664" s="424"/>
      <c r="P1664" s="424"/>
      <c r="Q1664" s="435" t="n">
        <v>77</v>
      </c>
      <c r="R1664" s="434" t="s">
        <v>643</v>
      </c>
      <c r="S1664" s="424"/>
      <c r="T1664" s="434" t="s">
        <v>644</v>
      </c>
      <c r="U1664" s="434" t="s">
        <v>645</v>
      </c>
      <c r="V1664" s="436" t="n">
        <f aca="false">AY1669</f>
        <v>0</v>
      </c>
      <c r="W1664" s="424"/>
      <c r="AC1664" s="427"/>
      <c r="AD1664" s="427"/>
      <c r="AE1664" s="427"/>
      <c r="AF1664" s="427"/>
      <c r="AG1664" s="427"/>
      <c r="AH1664" s="427"/>
      <c r="AI1664" s="427"/>
      <c r="AJ1664" s="427"/>
      <c r="AK1664" s="427"/>
      <c r="AL1664" s="427"/>
      <c r="AM1664" s="427"/>
      <c r="AN1664" s="427"/>
      <c r="AO1664" s="428"/>
      <c r="AP1664" s="427"/>
      <c r="AQ1664" s="427"/>
      <c r="AR1664" s="427"/>
      <c r="AS1664" s="427"/>
      <c r="AT1664" s="427"/>
      <c r="AU1664" s="427"/>
      <c r="AV1664" s="427"/>
      <c r="AW1664" s="427"/>
      <c r="AX1664" s="427"/>
      <c r="AY1664" s="427"/>
      <c r="BC1664" s="428"/>
      <c r="BD1664" s="429"/>
      <c r="BF1664" s="427"/>
      <c r="BG1664" s="437"/>
      <c r="BH1664" s="427"/>
      <c r="BJ1664" s="437"/>
      <c r="BN1664" s="427"/>
      <c r="BO1664" s="439"/>
      <c r="BP1664" s="427"/>
      <c r="BQ1664" s="427"/>
      <c r="BR1664" s="427"/>
      <c r="BS1664" s="431"/>
      <c r="BT1664" s="427"/>
      <c r="BU1664" s="427"/>
      <c r="BV1664" s="427"/>
      <c r="BW1664" s="427"/>
      <c r="BX1664" s="427"/>
      <c r="BY1664" s="427"/>
      <c r="BZ1664" s="427"/>
      <c r="CA1664" s="427"/>
      <c r="CB1664" s="427"/>
      <c r="CC1664" s="427"/>
      <c r="CD1664" s="427"/>
      <c r="CE1664" s="427"/>
      <c r="CF1664" s="427"/>
      <c r="CG1664" s="427"/>
      <c r="CH1664" s="427"/>
      <c r="CI1664" s="427"/>
    </row>
    <row r="1665" customFormat="false" ht="13.5" hidden="false" customHeight="false" outlineLevel="0" collapsed="false">
      <c r="A1665" s="424"/>
      <c r="B1665" s="424"/>
      <c r="C1665" s="424"/>
      <c r="D1665" s="424"/>
      <c r="E1665" s="424"/>
      <c r="F1665" s="424"/>
      <c r="G1665" s="424"/>
      <c r="H1665" s="424"/>
      <c r="I1665" s="424"/>
      <c r="J1665" s="424"/>
      <c r="K1665" s="424"/>
      <c r="L1665" s="424"/>
      <c r="M1665" s="424"/>
      <c r="N1665" s="424"/>
      <c r="O1665" s="424"/>
      <c r="P1665" s="424"/>
      <c r="Q1665" s="435" t="n">
        <v>78</v>
      </c>
      <c r="R1665" s="434" t="s">
        <v>646</v>
      </c>
      <c r="S1665" s="424"/>
      <c r="T1665" s="434" t="s">
        <v>647</v>
      </c>
      <c r="U1665" s="434" t="s">
        <v>648</v>
      </c>
      <c r="V1665" s="436" t="n">
        <f aca="false">AY1670</f>
        <v>0</v>
      </c>
      <c r="W1665" s="424"/>
      <c r="X1665" s="429"/>
      <c r="AC1665" s="427"/>
      <c r="AD1665" s="427"/>
      <c r="AE1665" s="427"/>
      <c r="AF1665" s="427"/>
      <c r="AG1665" s="427"/>
      <c r="AH1665" s="427"/>
      <c r="AI1665" s="427"/>
      <c r="AJ1665" s="427"/>
      <c r="AK1665" s="427"/>
      <c r="AL1665" s="427"/>
      <c r="AM1665" s="427"/>
      <c r="AN1665" s="427"/>
      <c r="AO1665" s="428"/>
      <c r="AP1665" s="427"/>
      <c r="AQ1665" s="427"/>
      <c r="AR1665" s="427"/>
      <c r="AS1665" s="427"/>
      <c r="AT1665" s="427"/>
      <c r="AU1665" s="427"/>
      <c r="AV1665" s="427"/>
      <c r="AW1665" s="427"/>
      <c r="AX1665" s="427"/>
      <c r="AY1665" s="427"/>
      <c r="BC1665" s="428"/>
      <c r="BD1665" s="429"/>
      <c r="BE1665" s="429"/>
      <c r="BF1665" s="427"/>
      <c r="BG1665" s="437"/>
      <c r="BH1665" s="427"/>
      <c r="BJ1665" s="437"/>
      <c r="BK1665" s="437"/>
      <c r="BL1665" s="427"/>
      <c r="BM1665" s="429"/>
      <c r="BN1665" s="427"/>
      <c r="BO1665" s="439"/>
      <c r="BP1665" s="427"/>
      <c r="BQ1665" s="427"/>
      <c r="BR1665" s="427"/>
      <c r="BS1665" s="431"/>
      <c r="BT1665" s="427"/>
      <c r="BU1665" s="427"/>
      <c r="BV1665" s="427"/>
      <c r="BW1665" s="427"/>
      <c r="BX1665" s="427"/>
      <c r="BY1665" s="427"/>
      <c r="BZ1665" s="427"/>
      <c r="CA1665" s="427"/>
      <c r="CB1665" s="427"/>
      <c r="CC1665" s="427"/>
      <c r="CD1665" s="427"/>
      <c r="CE1665" s="427"/>
      <c r="CF1665" s="427"/>
      <c r="CG1665" s="427"/>
      <c r="CH1665" s="427"/>
      <c r="CI1665" s="427"/>
    </row>
    <row r="1666" customFormat="false" ht="13.5" hidden="false" customHeight="false" outlineLevel="0" collapsed="false">
      <c r="A1666" s="424"/>
      <c r="B1666" s="424"/>
      <c r="C1666" s="424"/>
      <c r="D1666" s="424"/>
      <c r="E1666" s="424"/>
      <c r="F1666" s="424"/>
      <c r="G1666" s="424"/>
      <c r="H1666" s="424"/>
      <c r="I1666" s="424"/>
      <c r="J1666" s="424"/>
      <c r="K1666" s="424"/>
      <c r="L1666" s="424"/>
      <c r="M1666" s="424"/>
      <c r="N1666" s="424"/>
      <c r="O1666" s="424"/>
      <c r="P1666" s="424"/>
      <c r="Q1666" s="435" t="n">
        <v>79</v>
      </c>
      <c r="R1666" s="434" t="s">
        <v>649</v>
      </c>
      <c r="S1666" s="424"/>
      <c r="T1666" s="434" t="s">
        <v>650</v>
      </c>
      <c r="U1666" s="434" t="s">
        <v>651</v>
      </c>
      <c r="V1666" s="436" t="n">
        <f aca="false">AY1671</f>
        <v>0</v>
      </c>
      <c r="W1666" s="424"/>
      <c r="AC1666" s="427"/>
      <c r="AD1666" s="427"/>
      <c r="AE1666" s="427"/>
      <c r="AF1666" s="427"/>
      <c r="AG1666" s="427"/>
      <c r="AH1666" s="427"/>
      <c r="AI1666" s="427"/>
      <c r="AJ1666" s="427"/>
      <c r="AK1666" s="427"/>
      <c r="AL1666" s="427"/>
      <c r="AM1666" s="427"/>
      <c r="AN1666" s="427"/>
      <c r="AO1666" s="428"/>
      <c r="AP1666" s="427"/>
      <c r="AQ1666" s="427"/>
      <c r="AR1666" s="427"/>
      <c r="AS1666" s="427"/>
      <c r="AT1666" s="427"/>
      <c r="AU1666" s="427"/>
      <c r="AV1666" s="427"/>
      <c r="AW1666" s="427"/>
      <c r="AX1666" s="427"/>
      <c r="AY1666" s="427"/>
      <c r="BC1666" s="428"/>
      <c r="BD1666" s="429"/>
      <c r="BF1666" s="427"/>
      <c r="BG1666" s="437"/>
      <c r="BH1666" s="427"/>
      <c r="BJ1666" s="437"/>
      <c r="BK1666" s="437"/>
      <c r="BL1666" s="427"/>
      <c r="BM1666" s="429"/>
      <c r="BN1666" s="427"/>
      <c r="BO1666" s="439"/>
      <c r="BP1666" s="427"/>
      <c r="BQ1666" s="427"/>
      <c r="BR1666" s="427"/>
      <c r="BS1666" s="431"/>
      <c r="BT1666" s="427"/>
      <c r="BU1666" s="427"/>
      <c r="BV1666" s="427"/>
      <c r="BW1666" s="427"/>
      <c r="BX1666" s="427"/>
      <c r="BY1666" s="427"/>
      <c r="BZ1666" s="427"/>
      <c r="CA1666" s="427"/>
      <c r="CB1666" s="427"/>
      <c r="CC1666" s="427"/>
      <c r="CD1666" s="427"/>
      <c r="CE1666" s="427"/>
      <c r="CF1666" s="427"/>
      <c r="CG1666" s="427"/>
      <c r="CH1666" s="427"/>
      <c r="CI1666" s="427"/>
    </row>
    <row r="1667" customFormat="false" ht="13.5" hidden="false" customHeight="false" outlineLevel="0" collapsed="false">
      <c r="A1667" s="424"/>
      <c r="B1667" s="424"/>
      <c r="C1667" s="424"/>
      <c r="D1667" s="424"/>
      <c r="E1667" s="424"/>
      <c r="F1667" s="424"/>
      <c r="G1667" s="424"/>
      <c r="H1667" s="424"/>
      <c r="I1667" s="424"/>
      <c r="J1667" s="424"/>
      <c r="K1667" s="424"/>
      <c r="L1667" s="424"/>
      <c r="M1667" s="424"/>
      <c r="N1667" s="424"/>
      <c r="O1667" s="424"/>
      <c r="P1667" s="424"/>
      <c r="Q1667" s="435" t="n">
        <v>80</v>
      </c>
      <c r="R1667" s="434" t="s">
        <v>652</v>
      </c>
      <c r="S1667" s="424"/>
      <c r="T1667" s="434" t="s">
        <v>653</v>
      </c>
      <c r="U1667" s="434" t="s">
        <v>654</v>
      </c>
      <c r="V1667" s="436" t="n">
        <f aca="false">AY1672</f>
        <v>0</v>
      </c>
      <c r="W1667" s="424"/>
      <c r="AC1667" s="427"/>
      <c r="AD1667" s="427"/>
      <c r="AE1667" s="427"/>
      <c r="AF1667" s="427"/>
      <c r="AG1667" s="427"/>
      <c r="AH1667" s="427"/>
      <c r="AI1667" s="427"/>
      <c r="AJ1667" s="427"/>
      <c r="AK1667" s="427"/>
      <c r="AL1667" s="427"/>
      <c r="AM1667" s="427"/>
      <c r="AN1667" s="427"/>
      <c r="AO1667" s="428"/>
      <c r="AP1667" s="427"/>
      <c r="AQ1667" s="427"/>
      <c r="AR1667" s="427"/>
      <c r="AS1667" s="427"/>
      <c r="AT1667" s="427"/>
      <c r="AU1667" s="427"/>
      <c r="AV1667" s="427"/>
      <c r="AW1667" s="427"/>
      <c r="AX1667" s="427"/>
      <c r="AY1667" s="427"/>
      <c r="BC1667" s="428"/>
      <c r="BD1667" s="429"/>
      <c r="BF1667" s="427"/>
      <c r="BG1667" s="437"/>
      <c r="BH1667" s="427"/>
      <c r="BJ1667" s="437"/>
      <c r="BK1667" s="431"/>
      <c r="BN1667" s="427"/>
      <c r="BO1667" s="439"/>
      <c r="BP1667" s="427"/>
      <c r="BQ1667" s="427"/>
      <c r="BR1667" s="427"/>
      <c r="BS1667" s="431"/>
      <c r="BT1667" s="427"/>
      <c r="BU1667" s="427"/>
      <c r="BV1667" s="427"/>
      <c r="BW1667" s="427"/>
      <c r="BX1667" s="427"/>
      <c r="BY1667" s="427"/>
      <c r="BZ1667" s="427"/>
      <c r="CA1667" s="427"/>
      <c r="CB1667" s="427"/>
      <c r="CC1667" s="427"/>
      <c r="CD1667" s="427"/>
      <c r="CE1667" s="427"/>
      <c r="CF1667" s="427"/>
      <c r="CG1667" s="427"/>
      <c r="CH1667" s="427"/>
      <c r="CI1667" s="427"/>
    </row>
    <row r="1668" customFormat="false" ht="13.5" hidden="false" customHeight="false" outlineLevel="0" collapsed="false">
      <c r="A1668" s="424"/>
      <c r="B1668" s="424"/>
      <c r="C1668" s="424"/>
      <c r="D1668" s="424"/>
      <c r="E1668" s="424"/>
      <c r="F1668" s="424"/>
      <c r="G1668" s="424"/>
      <c r="H1668" s="424"/>
      <c r="I1668" s="424"/>
      <c r="J1668" s="424"/>
      <c r="K1668" s="424"/>
      <c r="L1668" s="424"/>
      <c r="M1668" s="424"/>
      <c r="N1668" s="424"/>
      <c r="O1668" s="424"/>
      <c r="P1668" s="424"/>
      <c r="Q1668" s="435" t="n">
        <v>81</v>
      </c>
      <c r="R1668" s="434" t="s">
        <v>655</v>
      </c>
      <c r="S1668" s="424"/>
      <c r="T1668" s="434" t="s">
        <v>656</v>
      </c>
      <c r="U1668" s="434" t="s">
        <v>657</v>
      </c>
      <c r="V1668" s="436" t="n">
        <f aca="false">AY1673</f>
        <v>0</v>
      </c>
      <c r="W1668" s="424"/>
      <c r="X1668" s="437"/>
      <c r="AC1668" s="427"/>
      <c r="AD1668" s="427"/>
      <c r="AE1668" s="427"/>
      <c r="AF1668" s="427"/>
      <c r="AG1668" s="427"/>
      <c r="AH1668" s="427"/>
      <c r="AI1668" s="427"/>
      <c r="AJ1668" s="427"/>
      <c r="AK1668" s="427"/>
      <c r="AL1668" s="427"/>
      <c r="AM1668" s="427"/>
      <c r="AN1668" s="427"/>
      <c r="AO1668" s="428"/>
      <c r="AP1668" s="427"/>
      <c r="AQ1668" s="427"/>
      <c r="AR1668" s="427"/>
      <c r="AS1668" s="427"/>
      <c r="AT1668" s="427"/>
      <c r="AU1668" s="427"/>
      <c r="AV1668" s="427"/>
      <c r="AW1668" s="427"/>
      <c r="AX1668" s="427"/>
      <c r="AY1668" s="427"/>
      <c r="BC1668" s="428"/>
      <c r="BD1668" s="429"/>
      <c r="BF1668" s="427"/>
      <c r="BG1668" s="437"/>
      <c r="BH1668" s="427"/>
      <c r="BJ1668" s="437"/>
      <c r="BK1668" s="431"/>
      <c r="BN1668" s="427"/>
      <c r="BO1668" s="439"/>
      <c r="BP1668" s="427"/>
      <c r="BQ1668" s="427"/>
      <c r="BR1668" s="427"/>
      <c r="BS1668" s="431"/>
      <c r="BT1668" s="427"/>
      <c r="BU1668" s="427"/>
      <c r="BV1668" s="427"/>
      <c r="BW1668" s="427"/>
      <c r="BX1668" s="427"/>
      <c r="BY1668" s="427"/>
      <c r="BZ1668" s="427"/>
      <c r="CA1668" s="427"/>
      <c r="CB1668" s="427"/>
      <c r="CC1668" s="427"/>
      <c r="CD1668" s="427"/>
      <c r="CE1668" s="427"/>
      <c r="CF1668" s="427"/>
      <c r="CG1668" s="427"/>
      <c r="CH1668" s="427"/>
      <c r="CI1668" s="427"/>
    </row>
    <row r="1669" customFormat="false" ht="13.5" hidden="false" customHeight="false" outlineLevel="0" collapsed="false">
      <c r="A1669" s="424"/>
      <c r="B1669" s="424"/>
      <c r="C1669" s="424"/>
      <c r="D1669" s="424"/>
      <c r="E1669" s="424"/>
      <c r="F1669" s="424"/>
      <c r="G1669" s="424"/>
      <c r="H1669" s="424"/>
      <c r="I1669" s="424"/>
      <c r="J1669" s="424"/>
      <c r="K1669" s="424"/>
      <c r="L1669" s="424"/>
      <c r="M1669" s="424"/>
      <c r="N1669" s="424"/>
      <c r="O1669" s="424"/>
      <c r="P1669" s="424"/>
      <c r="Q1669" s="435" t="n">
        <v>82</v>
      </c>
      <c r="R1669" s="434" t="s">
        <v>658</v>
      </c>
      <c r="S1669" s="424"/>
      <c r="T1669" s="434" t="s">
        <v>659</v>
      </c>
      <c r="U1669" s="434" t="s">
        <v>660</v>
      </c>
      <c r="V1669" s="436" t="n">
        <f aca="false">AY1674</f>
        <v>0</v>
      </c>
      <c r="W1669" s="424"/>
      <c r="AC1669" s="427"/>
      <c r="AD1669" s="427"/>
      <c r="AE1669" s="427"/>
      <c r="AF1669" s="427"/>
      <c r="AG1669" s="427"/>
      <c r="AH1669" s="427"/>
      <c r="AI1669" s="427"/>
      <c r="AJ1669" s="427"/>
      <c r="AK1669" s="427"/>
      <c r="AL1669" s="427"/>
      <c r="AM1669" s="427"/>
      <c r="AN1669" s="427"/>
      <c r="AO1669" s="428"/>
      <c r="AP1669" s="427"/>
      <c r="AQ1669" s="427"/>
      <c r="AR1669" s="427"/>
      <c r="AS1669" s="427"/>
      <c r="AT1669" s="427"/>
      <c r="AU1669" s="427"/>
      <c r="AV1669" s="427"/>
      <c r="AW1669" s="427"/>
      <c r="AX1669" s="427"/>
      <c r="AY1669" s="427"/>
      <c r="BC1669" s="428"/>
      <c r="BD1669" s="429"/>
      <c r="BF1669" s="427"/>
      <c r="BG1669" s="437"/>
      <c r="BH1669" s="427"/>
      <c r="BJ1669" s="437"/>
      <c r="BO1669" s="439"/>
      <c r="BP1669" s="427"/>
      <c r="BQ1669" s="427"/>
      <c r="BR1669" s="427"/>
      <c r="BS1669" s="431"/>
      <c r="BT1669" s="427"/>
      <c r="BU1669" s="427"/>
      <c r="BV1669" s="427"/>
      <c r="BW1669" s="427"/>
      <c r="BX1669" s="427"/>
      <c r="BY1669" s="427"/>
      <c r="BZ1669" s="427"/>
      <c r="CA1669" s="427"/>
      <c r="CB1669" s="427"/>
      <c r="CC1669" s="427"/>
      <c r="CD1669" s="427"/>
      <c r="CE1669" s="427"/>
      <c r="CF1669" s="427"/>
      <c r="CG1669" s="427"/>
      <c r="CH1669" s="427"/>
      <c r="CI1669" s="427"/>
    </row>
    <row r="1670" customFormat="false" ht="13.5" hidden="false" customHeight="false" outlineLevel="0" collapsed="false">
      <c r="A1670" s="424"/>
      <c r="B1670" s="424"/>
      <c r="C1670" s="424"/>
      <c r="D1670" s="424"/>
      <c r="E1670" s="424"/>
      <c r="F1670" s="424"/>
      <c r="G1670" s="424"/>
      <c r="H1670" s="424"/>
      <c r="I1670" s="424"/>
      <c r="J1670" s="424"/>
      <c r="K1670" s="424"/>
      <c r="L1670" s="424"/>
      <c r="M1670" s="424"/>
      <c r="N1670" s="424"/>
      <c r="O1670" s="424"/>
      <c r="P1670" s="424"/>
      <c r="Q1670" s="435" t="n">
        <v>83</v>
      </c>
      <c r="R1670" s="434" t="s">
        <v>661</v>
      </c>
      <c r="S1670" s="424"/>
      <c r="T1670" s="434" t="s">
        <v>662</v>
      </c>
      <c r="U1670" s="434" t="s">
        <v>663</v>
      </c>
      <c r="V1670" s="436" t="n">
        <f aca="false">AY1675</f>
        <v>0</v>
      </c>
      <c r="W1670" s="424"/>
      <c r="X1670" s="437"/>
      <c r="AC1670" s="427"/>
      <c r="AD1670" s="427"/>
      <c r="AE1670" s="427"/>
      <c r="AF1670" s="427"/>
      <c r="AG1670" s="427"/>
      <c r="AH1670" s="427"/>
      <c r="AI1670" s="427"/>
      <c r="AJ1670" s="427"/>
      <c r="AK1670" s="427"/>
      <c r="AL1670" s="427"/>
      <c r="AM1670" s="427"/>
      <c r="AN1670" s="427"/>
      <c r="AO1670" s="428"/>
      <c r="AP1670" s="427"/>
      <c r="AQ1670" s="427"/>
      <c r="AR1670" s="427"/>
      <c r="AS1670" s="427"/>
      <c r="AT1670" s="427"/>
      <c r="AU1670" s="427"/>
      <c r="AV1670" s="427"/>
      <c r="AW1670" s="427"/>
      <c r="AX1670" s="427"/>
      <c r="AY1670" s="427"/>
      <c r="BC1670" s="428"/>
      <c r="BD1670" s="429"/>
      <c r="BF1670" s="427"/>
      <c r="BG1670" s="437"/>
      <c r="BH1670" s="427"/>
      <c r="BJ1670" s="437"/>
      <c r="BO1670" s="439"/>
      <c r="BP1670" s="427"/>
      <c r="BQ1670" s="427"/>
      <c r="BR1670" s="427"/>
      <c r="BS1670" s="431"/>
      <c r="BT1670" s="427"/>
      <c r="BU1670" s="427"/>
      <c r="BV1670" s="427"/>
      <c r="BW1670" s="427"/>
      <c r="BX1670" s="427"/>
      <c r="BY1670" s="427"/>
      <c r="BZ1670" s="427"/>
      <c r="CA1670" s="427"/>
      <c r="CB1670" s="427"/>
      <c r="CC1670" s="427"/>
      <c r="CD1670" s="427"/>
      <c r="CE1670" s="427"/>
      <c r="CF1670" s="427"/>
      <c r="CG1670" s="427"/>
      <c r="CH1670" s="427"/>
      <c r="CI1670" s="427"/>
    </row>
    <row r="1671" customFormat="false" ht="13.5" hidden="false" customHeight="false" outlineLevel="0" collapsed="false">
      <c r="A1671" s="424"/>
      <c r="B1671" s="424"/>
      <c r="C1671" s="424"/>
      <c r="D1671" s="424"/>
      <c r="E1671" s="424"/>
      <c r="F1671" s="424"/>
      <c r="G1671" s="424"/>
      <c r="H1671" s="424"/>
      <c r="I1671" s="424"/>
      <c r="J1671" s="424"/>
      <c r="K1671" s="424"/>
      <c r="L1671" s="424"/>
      <c r="M1671" s="424"/>
      <c r="N1671" s="424"/>
      <c r="O1671" s="424"/>
      <c r="P1671" s="424"/>
      <c r="Q1671" s="435" t="n">
        <v>84</v>
      </c>
      <c r="R1671" s="434" t="s">
        <v>664</v>
      </c>
      <c r="S1671" s="424"/>
      <c r="T1671" s="434" t="s">
        <v>665</v>
      </c>
      <c r="U1671" s="434" t="s">
        <v>666</v>
      </c>
      <c r="V1671" s="436" t="n">
        <f aca="false">AY1676</f>
        <v>0</v>
      </c>
      <c r="W1671" s="424"/>
      <c r="AC1671" s="427"/>
      <c r="AD1671" s="427"/>
      <c r="AE1671" s="427"/>
      <c r="AF1671" s="427"/>
      <c r="AG1671" s="427"/>
      <c r="AH1671" s="427"/>
      <c r="AI1671" s="427"/>
      <c r="AJ1671" s="427"/>
      <c r="AK1671" s="427"/>
      <c r="AL1671" s="427"/>
      <c r="AM1671" s="427"/>
      <c r="AN1671" s="427"/>
      <c r="AO1671" s="428"/>
      <c r="AP1671" s="427"/>
      <c r="AQ1671" s="427"/>
      <c r="AR1671" s="427"/>
      <c r="AS1671" s="427"/>
      <c r="AT1671" s="427"/>
      <c r="AU1671" s="427"/>
      <c r="AV1671" s="427"/>
      <c r="AW1671" s="427"/>
      <c r="AX1671" s="427"/>
      <c r="AY1671" s="427"/>
      <c r="BC1671" s="428"/>
      <c r="BD1671" s="429"/>
      <c r="BF1671" s="427"/>
      <c r="BG1671" s="437"/>
      <c r="BH1671" s="427"/>
      <c r="BJ1671" s="437"/>
      <c r="BO1671" s="439"/>
      <c r="BP1671" s="427"/>
      <c r="BQ1671" s="427"/>
      <c r="BR1671" s="431"/>
      <c r="BS1671" s="431"/>
      <c r="BT1671" s="427"/>
      <c r="BU1671" s="427"/>
      <c r="BV1671" s="427"/>
      <c r="BW1671" s="427"/>
      <c r="BX1671" s="427"/>
      <c r="BY1671" s="427"/>
      <c r="BZ1671" s="427"/>
      <c r="CA1671" s="427"/>
      <c r="CB1671" s="427"/>
      <c r="CC1671" s="427"/>
      <c r="CD1671" s="427"/>
      <c r="CE1671" s="427"/>
      <c r="CF1671" s="427"/>
      <c r="CG1671" s="427"/>
      <c r="CH1671" s="427"/>
      <c r="CI1671" s="427"/>
    </row>
    <row r="1672" customFormat="false" ht="13.5" hidden="false" customHeight="false" outlineLevel="0" collapsed="false">
      <c r="A1672" s="424"/>
      <c r="B1672" s="424"/>
      <c r="C1672" s="424"/>
      <c r="D1672" s="424"/>
      <c r="E1672" s="424"/>
      <c r="F1672" s="424"/>
      <c r="G1672" s="424"/>
      <c r="H1672" s="424"/>
      <c r="I1672" s="424"/>
      <c r="J1672" s="424"/>
      <c r="K1672" s="424"/>
      <c r="L1672" s="424"/>
      <c r="M1672" s="424"/>
      <c r="N1672" s="424"/>
      <c r="O1672" s="424"/>
      <c r="P1672" s="424"/>
      <c r="Q1672" s="435" t="n">
        <v>85</v>
      </c>
      <c r="R1672" s="434" t="s">
        <v>667</v>
      </c>
      <c r="S1672" s="424"/>
      <c r="T1672" s="434" t="s">
        <v>668</v>
      </c>
      <c r="U1672" s="434" t="s">
        <v>669</v>
      </c>
      <c r="V1672" s="436" t="n">
        <f aca="false">AY1677</f>
        <v>0</v>
      </c>
      <c r="W1672" s="424"/>
      <c r="X1672" s="437"/>
      <c r="AC1672" s="427"/>
      <c r="AD1672" s="427"/>
      <c r="AE1672" s="427"/>
      <c r="AF1672" s="427"/>
      <c r="AG1672" s="427"/>
      <c r="AH1672" s="427"/>
      <c r="AI1672" s="427"/>
      <c r="AJ1672" s="427"/>
      <c r="AK1672" s="427"/>
      <c r="AL1672" s="427"/>
      <c r="AM1672" s="427"/>
      <c r="AN1672" s="427"/>
      <c r="AO1672" s="428"/>
      <c r="AP1672" s="427"/>
      <c r="AQ1672" s="427"/>
      <c r="AR1672" s="427"/>
      <c r="AS1672" s="427"/>
      <c r="AT1672" s="427"/>
      <c r="AU1672" s="427"/>
      <c r="AV1672" s="427"/>
      <c r="AW1672" s="427"/>
      <c r="AX1672" s="427"/>
      <c r="AY1672" s="427"/>
      <c r="BC1672" s="428"/>
      <c r="BD1672" s="429"/>
      <c r="BF1672" s="427"/>
      <c r="BG1672" s="437"/>
      <c r="BH1672" s="427"/>
      <c r="BJ1672" s="437"/>
      <c r="BO1672" s="439"/>
      <c r="BP1672" s="427"/>
      <c r="BQ1672" s="427"/>
      <c r="BR1672" s="427"/>
      <c r="BS1672" s="431"/>
      <c r="BT1672" s="427"/>
      <c r="BU1672" s="427"/>
      <c r="BV1672" s="427"/>
      <c r="BW1672" s="427"/>
      <c r="BX1672" s="427"/>
      <c r="BY1672" s="427"/>
      <c r="BZ1672" s="427"/>
      <c r="CA1672" s="427"/>
      <c r="CB1672" s="427"/>
      <c r="CC1672" s="427"/>
      <c r="CD1672" s="427"/>
      <c r="CE1672" s="427"/>
      <c r="CF1672" s="427"/>
      <c r="CG1672" s="439"/>
      <c r="CH1672" s="427"/>
      <c r="CI1672" s="427"/>
    </row>
    <row r="1673" customFormat="false" ht="13.5" hidden="false" customHeight="false" outlineLevel="0" collapsed="false">
      <c r="A1673" s="424"/>
      <c r="B1673" s="424"/>
      <c r="C1673" s="424"/>
      <c r="D1673" s="424"/>
      <c r="E1673" s="424"/>
      <c r="F1673" s="424"/>
      <c r="G1673" s="424"/>
      <c r="H1673" s="424"/>
      <c r="I1673" s="424"/>
      <c r="J1673" s="424"/>
      <c r="K1673" s="424"/>
      <c r="L1673" s="424"/>
      <c r="M1673" s="424"/>
      <c r="N1673" s="424"/>
      <c r="O1673" s="424"/>
      <c r="P1673" s="424"/>
      <c r="Q1673" s="435" t="n">
        <v>86</v>
      </c>
      <c r="R1673" s="434" t="s">
        <v>670</v>
      </c>
      <c r="S1673" s="424"/>
      <c r="T1673" s="434" t="s">
        <v>671</v>
      </c>
      <c r="U1673" s="434" t="s">
        <v>672</v>
      </c>
      <c r="V1673" s="436" t="n">
        <f aca="false">AY1678</f>
        <v>0</v>
      </c>
      <c r="W1673" s="424"/>
      <c r="X1673" s="437"/>
      <c r="AC1673" s="427"/>
      <c r="AD1673" s="427"/>
      <c r="AE1673" s="427"/>
      <c r="AF1673" s="427"/>
      <c r="AG1673" s="427"/>
      <c r="AH1673" s="427"/>
      <c r="AI1673" s="427"/>
      <c r="AJ1673" s="427"/>
      <c r="AK1673" s="427"/>
      <c r="AL1673" s="427"/>
      <c r="AM1673" s="427"/>
      <c r="AN1673" s="427"/>
      <c r="AO1673" s="428"/>
      <c r="AP1673" s="427"/>
      <c r="AQ1673" s="427"/>
      <c r="AR1673" s="427"/>
      <c r="AS1673" s="427"/>
      <c r="AT1673" s="427"/>
      <c r="AU1673" s="427"/>
      <c r="AV1673" s="427"/>
      <c r="AW1673" s="427"/>
      <c r="AX1673" s="427"/>
      <c r="AY1673" s="427"/>
      <c r="BC1673" s="428"/>
      <c r="BF1673" s="437"/>
      <c r="BG1673" s="427"/>
      <c r="BH1673" s="437"/>
      <c r="BI1673" s="427"/>
      <c r="BJ1673" s="427"/>
      <c r="BO1673" s="439"/>
      <c r="BP1673" s="427"/>
      <c r="BQ1673" s="427"/>
      <c r="BR1673" s="427"/>
      <c r="BS1673" s="431"/>
      <c r="BT1673" s="427"/>
      <c r="BU1673" s="427"/>
      <c r="BV1673" s="427"/>
      <c r="BW1673" s="427"/>
      <c r="BX1673" s="427"/>
      <c r="BY1673" s="427"/>
      <c r="BZ1673" s="427"/>
      <c r="CA1673" s="427"/>
      <c r="CB1673" s="427"/>
      <c r="CC1673" s="427"/>
      <c r="CD1673" s="427"/>
      <c r="CE1673" s="427"/>
      <c r="CF1673" s="427"/>
      <c r="CG1673" s="439"/>
      <c r="CH1673" s="427"/>
      <c r="CI1673" s="427"/>
    </row>
    <row r="1674" customFormat="false" ht="13.5" hidden="false" customHeight="false" outlineLevel="0" collapsed="false">
      <c r="A1674" s="424"/>
      <c r="B1674" s="424"/>
      <c r="C1674" s="424"/>
      <c r="D1674" s="424"/>
      <c r="E1674" s="424"/>
      <c r="F1674" s="424"/>
      <c r="G1674" s="424"/>
      <c r="H1674" s="424"/>
      <c r="I1674" s="424"/>
      <c r="J1674" s="424"/>
      <c r="K1674" s="424"/>
      <c r="L1674" s="424"/>
      <c r="M1674" s="424"/>
      <c r="N1674" s="424"/>
      <c r="O1674" s="424"/>
      <c r="P1674" s="424"/>
      <c r="Q1674" s="435" t="n">
        <v>87</v>
      </c>
      <c r="R1674" s="434" t="s">
        <v>673</v>
      </c>
      <c r="S1674" s="424"/>
      <c r="T1674" s="434" t="s">
        <v>674</v>
      </c>
      <c r="U1674" s="434" t="s">
        <v>675</v>
      </c>
      <c r="V1674" s="436" t="n">
        <f aca="false">AY1679</f>
        <v>0</v>
      </c>
      <c r="W1674" s="424"/>
      <c r="AC1674" s="427"/>
      <c r="AD1674" s="427"/>
      <c r="AE1674" s="427"/>
      <c r="AF1674" s="427"/>
      <c r="AG1674" s="427"/>
      <c r="AH1674" s="427"/>
      <c r="AI1674" s="427"/>
      <c r="AJ1674" s="427"/>
      <c r="AK1674" s="427"/>
      <c r="AL1674" s="427"/>
      <c r="AM1674" s="427"/>
      <c r="AN1674" s="427"/>
      <c r="AO1674" s="428"/>
      <c r="AP1674" s="427"/>
      <c r="AQ1674" s="427"/>
      <c r="AR1674" s="427"/>
      <c r="AS1674" s="427"/>
      <c r="AT1674" s="427"/>
      <c r="AU1674" s="427"/>
      <c r="AV1674" s="427"/>
      <c r="AW1674" s="427"/>
      <c r="AX1674" s="427"/>
      <c r="AY1674" s="427"/>
      <c r="BC1674" s="428"/>
      <c r="BF1674" s="437"/>
      <c r="BG1674" s="427"/>
      <c r="BH1674" s="437"/>
      <c r="BI1674" s="427"/>
      <c r="BJ1674" s="427"/>
      <c r="BO1674" s="439"/>
      <c r="BP1674" s="427"/>
      <c r="BQ1674" s="427"/>
      <c r="BR1674" s="427"/>
      <c r="BS1674" s="431"/>
      <c r="BT1674" s="427"/>
      <c r="BU1674" s="427"/>
      <c r="BV1674" s="427"/>
      <c r="BW1674" s="427"/>
      <c r="BX1674" s="427"/>
      <c r="BY1674" s="427"/>
      <c r="BZ1674" s="427"/>
      <c r="CA1674" s="427"/>
      <c r="CB1674" s="427"/>
      <c r="CC1674" s="427"/>
      <c r="CD1674" s="427"/>
      <c r="CE1674" s="427"/>
      <c r="CF1674" s="427"/>
      <c r="CG1674" s="439"/>
      <c r="CH1674" s="427"/>
      <c r="CI1674" s="427"/>
    </row>
    <row r="1675" customFormat="false" ht="13.5" hidden="false" customHeight="false" outlineLevel="0" collapsed="false">
      <c r="A1675" s="424"/>
      <c r="B1675" s="424"/>
      <c r="C1675" s="424"/>
      <c r="D1675" s="424"/>
      <c r="E1675" s="424"/>
      <c r="F1675" s="424"/>
      <c r="G1675" s="424"/>
      <c r="H1675" s="424"/>
      <c r="I1675" s="424"/>
      <c r="J1675" s="424"/>
      <c r="K1675" s="424"/>
      <c r="L1675" s="424"/>
      <c r="M1675" s="424"/>
      <c r="N1675" s="424"/>
      <c r="O1675" s="424"/>
      <c r="P1675" s="424"/>
      <c r="Q1675" s="435" t="n">
        <v>88</v>
      </c>
      <c r="R1675" s="434" t="s">
        <v>676</v>
      </c>
      <c r="S1675" s="424"/>
      <c r="T1675" s="434" t="s">
        <v>677</v>
      </c>
      <c r="U1675" s="434" t="s">
        <v>678</v>
      </c>
      <c r="V1675" s="436" t="n">
        <f aca="false">AY1680</f>
        <v>0</v>
      </c>
      <c r="W1675" s="424"/>
      <c r="AC1675" s="427"/>
      <c r="AD1675" s="427"/>
      <c r="AE1675" s="427"/>
      <c r="AF1675" s="427"/>
      <c r="AG1675" s="427"/>
      <c r="AH1675" s="427"/>
      <c r="AI1675" s="427"/>
      <c r="AJ1675" s="427"/>
      <c r="AK1675" s="427"/>
      <c r="AL1675" s="427"/>
      <c r="AM1675" s="427"/>
      <c r="AN1675" s="427"/>
      <c r="AO1675" s="428"/>
      <c r="AP1675" s="427"/>
      <c r="AQ1675" s="427"/>
      <c r="AR1675" s="427"/>
      <c r="AS1675" s="427"/>
      <c r="AT1675" s="427"/>
      <c r="AU1675" s="427"/>
      <c r="AV1675" s="427"/>
      <c r="AW1675" s="427"/>
      <c r="AX1675" s="427"/>
      <c r="AY1675" s="427"/>
      <c r="BC1675" s="428"/>
      <c r="BO1675" s="439"/>
      <c r="BP1675" s="427"/>
      <c r="BQ1675" s="427"/>
      <c r="BR1675" s="427"/>
      <c r="BS1675" s="431"/>
      <c r="BT1675" s="427"/>
      <c r="BU1675" s="427"/>
      <c r="BV1675" s="427"/>
      <c r="BW1675" s="427"/>
      <c r="BX1675" s="427"/>
      <c r="BY1675" s="427"/>
      <c r="BZ1675" s="427"/>
      <c r="CA1675" s="427"/>
      <c r="CB1675" s="427"/>
      <c r="CC1675" s="427"/>
      <c r="CD1675" s="427"/>
      <c r="CE1675" s="427"/>
      <c r="CF1675" s="427"/>
      <c r="CG1675" s="439"/>
      <c r="CH1675" s="427"/>
      <c r="CI1675" s="427"/>
    </row>
    <row r="1676" customFormat="false" ht="13.5" hidden="false" customHeight="false" outlineLevel="0" collapsed="false">
      <c r="A1676" s="424"/>
      <c r="B1676" s="424"/>
      <c r="C1676" s="424"/>
      <c r="D1676" s="424"/>
      <c r="E1676" s="424"/>
      <c r="F1676" s="424"/>
      <c r="G1676" s="424"/>
      <c r="H1676" s="424"/>
      <c r="I1676" s="424"/>
      <c r="J1676" s="424"/>
      <c r="K1676" s="424"/>
      <c r="L1676" s="424"/>
      <c r="M1676" s="424"/>
      <c r="N1676" s="424"/>
      <c r="O1676" s="424"/>
      <c r="P1676" s="424"/>
      <c r="Q1676" s="435" t="n">
        <v>89</v>
      </c>
      <c r="R1676" s="434" t="s">
        <v>679</v>
      </c>
      <c r="S1676" s="424"/>
      <c r="T1676" s="434" t="s">
        <v>680</v>
      </c>
      <c r="U1676" s="434" t="s">
        <v>681</v>
      </c>
      <c r="V1676" s="436" t="n">
        <f aca="false">AY1681</f>
        <v>0</v>
      </c>
      <c r="W1676" s="424"/>
      <c r="X1676" s="437"/>
      <c r="AC1676" s="427"/>
      <c r="AD1676" s="427"/>
      <c r="AE1676" s="427"/>
      <c r="AF1676" s="427"/>
      <c r="AG1676" s="427"/>
      <c r="AH1676" s="427"/>
      <c r="AI1676" s="427"/>
      <c r="AJ1676" s="427"/>
      <c r="AK1676" s="427"/>
      <c r="AL1676" s="427"/>
      <c r="AM1676" s="427"/>
      <c r="AN1676" s="427"/>
      <c r="AO1676" s="428"/>
      <c r="AP1676" s="427"/>
      <c r="AQ1676" s="427"/>
      <c r="AR1676" s="427"/>
      <c r="AS1676" s="427"/>
      <c r="AT1676" s="427"/>
      <c r="AU1676" s="427"/>
      <c r="AV1676" s="427"/>
      <c r="AW1676" s="427"/>
      <c r="AX1676" s="427"/>
      <c r="AY1676" s="427"/>
      <c r="BC1676" s="428"/>
      <c r="BJ1676" s="427"/>
      <c r="BO1676" s="439"/>
      <c r="BP1676" s="427"/>
      <c r="BQ1676" s="427"/>
      <c r="BR1676" s="427"/>
      <c r="BS1676" s="431"/>
      <c r="BT1676" s="427"/>
      <c r="BU1676" s="427"/>
      <c r="BV1676" s="427"/>
      <c r="BW1676" s="427"/>
      <c r="BX1676" s="427"/>
      <c r="BY1676" s="427"/>
      <c r="BZ1676" s="427"/>
      <c r="CA1676" s="427"/>
      <c r="CB1676" s="427"/>
      <c r="CC1676" s="427"/>
      <c r="CD1676" s="427"/>
      <c r="CE1676" s="427"/>
      <c r="CF1676" s="427"/>
      <c r="CG1676" s="439"/>
      <c r="CH1676" s="427"/>
      <c r="CI1676" s="427"/>
    </row>
    <row r="1677" customFormat="false" ht="13.5" hidden="false" customHeight="false" outlineLevel="0" collapsed="false">
      <c r="A1677" s="424"/>
      <c r="B1677" s="424"/>
      <c r="C1677" s="424"/>
      <c r="D1677" s="424"/>
      <c r="E1677" s="424"/>
      <c r="F1677" s="424"/>
      <c r="G1677" s="424"/>
      <c r="H1677" s="424"/>
      <c r="I1677" s="424"/>
      <c r="J1677" s="424"/>
      <c r="K1677" s="424"/>
      <c r="L1677" s="424"/>
      <c r="M1677" s="424"/>
      <c r="N1677" s="424"/>
      <c r="O1677" s="424"/>
      <c r="P1677" s="424"/>
      <c r="Q1677" s="435" t="n">
        <v>90</v>
      </c>
      <c r="R1677" s="434" t="s">
        <v>682</v>
      </c>
      <c r="S1677" s="424"/>
      <c r="T1677" s="434" t="s">
        <v>683</v>
      </c>
      <c r="U1677" s="434" t="s">
        <v>684</v>
      </c>
      <c r="V1677" s="436" t="n">
        <f aca="false">AY1682</f>
        <v>0</v>
      </c>
      <c r="W1677" s="424"/>
      <c r="X1677" s="437"/>
      <c r="AC1677" s="427"/>
      <c r="AD1677" s="427"/>
      <c r="AE1677" s="427"/>
      <c r="AF1677" s="427"/>
      <c r="AG1677" s="427"/>
      <c r="AH1677" s="427"/>
      <c r="AI1677" s="427"/>
      <c r="AJ1677" s="427"/>
      <c r="AK1677" s="427"/>
      <c r="AL1677" s="427"/>
      <c r="AM1677" s="427"/>
      <c r="AN1677" s="427"/>
      <c r="AO1677" s="428"/>
      <c r="AP1677" s="427"/>
      <c r="AQ1677" s="427"/>
      <c r="AR1677" s="427"/>
      <c r="AS1677" s="427"/>
      <c r="AT1677" s="427"/>
      <c r="AU1677" s="427"/>
      <c r="AV1677" s="427"/>
      <c r="AW1677" s="427"/>
      <c r="AX1677" s="427"/>
      <c r="AY1677" s="427"/>
      <c r="BC1677" s="428"/>
      <c r="BG1677" s="427"/>
      <c r="BH1677" s="437"/>
      <c r="BJ1677" s="427"/>
      <c r="BO1677" s="439"/>
      <c r="BP1677" s="427"/>
      <c r="BQ1677" s="427"/>
      <c r="BR1677" s="427"/>
      <c r="BS1677" s="431"/>
      <c r="BT1677" s="427"/>
      <c r="BU1677" s="427"/>
      <c r="BV1677" s="427"/>
      <c r="BW1677" s="427"/>
      <c r="BX1677" s="427"/>
      <c r="BY1677" s="427"/>
      <c r="BZ1677" s="427"/>
      <c r="CA1677" s="427"/>
      <c r="CB1677" s="427"/>
      <c r="CC1677" s="427"/>
      <c r="CD1677" s="427"/>
      <c r="CE1677" s="427"/>
      <c r="CF1677" s="427"/>
      <c r="CG1677" s="439"/>
      <c r="CH1677" s="427"/>
      <c r="CI1677" s="427"/>
    </row>
    <row r="1678" customFormat="false" ht="13.5" hidden="false" customHeight="false" outlineLevel="0" collapsed="false">
      <c r="A1678" s="424"/>
      <c r="B1678" s="424"/>
      <c r="C1678" s="424"/>
      <c r="D1678" s="424"/>
      <c r="E1678" s="424"/>
      <c r="F1678" s="424"/>
      <c r="G1678" s="424"/>
      <c r="H1678" s="424"/>
      <c r="I1678" s="424"/>
      <c r="J1678" s="424"/>
      <c r="K1678" s="424"/>
      <c r="L1678" s="424"/>
      <c r="M1678" s="424"/>
      <c r="N1678" s="424"/>
      <c r="O1678" s="424"/>
      <c r="P1678" s="424"/>
      <c r="Q1678" s="435" t="n">
        <v>91</v>
      </c>
      <c r="R1678" s="434" t="s">
        <v>685</v>
      </c>
      <c r="S1678" s="424"/>
      <c r="T1678" s="434" t="s">
        <v>686</v>
      </c>
      <c r="U1678" s="434" t="s">
        <v>687</v>
      </c>
      <c r="V1678" s="436" t="n">
        <f aca="false">AY1683</f>
        <v>0</v>
      </c>
      <c r="W1678" s="424"/>
      <c r="AC1678" s="427"/>
      <c r="AD1678" s="427"/>
      <c r="AE1678" s="427"/>
      <c r="AF1678" s="427"/>
      <c r="AG1678" s="427"/>
      <c r="AH1678" s="427"/>
      <c r="AI1678" s="427"/>
      <c r="AJ1678" s="427"/>
      <c r="AK1678" s="427"/>
      <c r="AL1678" s="427"/>
      <c r="AM1678" s="427"/>
      <c r="AN1678" s="427"/>
      <c r="AO1678" s="428"/>
      <c r="AP1678" s="427"/>
      <c r="AQ1678" s="427"/>
      <c r="AR1678" s="427"/>
      <c r="AS1678" s="427"/>
      <c r="AT1678" s="427"/>
      <c r="AU1678" s="427"/>
      <c r="AV1678" s="427"/>
      <c r="AW1678" s="427"/>
      <c r="AX1678" s="427"/>
      <c r="AY1678" s="427"/>
      <c r="BC1678" s="428"/>
      <c r="BG1678" s="427"/>
      <c r="BH1678" s="437"/>
      <c r="BJ1678" s="427"/>
      <c r="BO1678" s="439"/>
      <c r="BP1678" s="427"/>
      <c r="BQ1678" s="427"/>
      <c r="BR1678" s="427"/>
      <c r="BS1678" s="431"/>
      <c r="BT1678" s="427"/>
      <c r="BU1678" s="427"/>
      <c r="BV1678" s="427"/>
      <c r="BW1678" s="427"/>
      <c r="BX1678" s="427"/>
      <c r="BY1678" s="427"/>
      <c r="BZ1678" s="427"/>
      <c r="CA1678" s="427"/>
      <c r="CB1678" s="427"/>
      <c r="CC1678" s="427"/>
      <c r="CD1678" s="427"/>
      <c r="CE1678" s="427"/>
      <c r="CF1678" s="427"/>
      <c r="CG1678" s="439"/>
      <c r="CH1678" s="427"/>
      <c r="CI1678" s="427"/>
    </row>
    <row r="1679" customFormat="false" ht="13.5" hidden="false" customHeight="false" outlineLevel="0" collapsed="false">
      <c r="A1679" s="424"/>
      <c r="B1679" s="424"/>
      <c r="C1679" s="424"/>
      <c r="D1679" s="424"/>
      <c r="E1679" s="424"/>
      <c r="F1679" s="424"/>
      <c r="G1679" s="424"/>
      <c r="H1679" s="424"/>
      <c r="I1679" s="424"/>
      <c r="J1679" s="424"/>
      <c r="K1679" s="424"/>
      <c r="L1679" s="424"/>
      <c r="M1679" s="424"/>
      <c r="N1679" s="424"/>
      <c r="O1679" s="424"/>
      <c r="P1679" s="424"/>
      <c r="Q1679" s="435" t="n">
        <v>92</v>
      </c>
      <c r="R1679" s="434" t="s">
        <v>688</v>
      </c>
      <c r="S1679" s="424"/>
      <c r="T1679" s="434" t="s">
        <v>689</v>
      </c>
      <c r="U1679" s="434" t="s">
        <v>690</v>
      </c>
      <c r="V1679" s="436" t="n">
        <f aca="false">AY1684</f>
        <v>0</v>
      </c>
      <c r="W1679" s="424"/>
      <c r="X1679" s="437"/>
      <c r="AC1679" s="427"/>
      <c r="AD1679" s="427"/>
      <c r="AE1679" s="427"/>
      <c r="AF1679" s="427"/>
      <c r="AG1679" s="427"/>
      <c r="AH1679" s="427"/>
      <c r="AI1679" s="427"/>
      <c r="AJ1679" s="427"/>
      <c r="AK1679" s="427"/>
      <c r="AL1679" s="427"/>
      <c r="AM1679" s="427"/>
      <c r="AN1679" s="427"/>
      <c r="AO1679" s="428"/>
      <c r="AP1679" s="427"/>
      <c r="AQ1679" s="427"/>
      <c r="AR1679" s="427"/>
      <c r="AS1679" s="427"/>
      <c r="AT1679" s="427"/>
      <c r="AU1679" s="427"/>
      <c r="AV1679" s="427"/>
      <c r="AW1679" s="427"/>
      <c r="AX1679" s="427"/>
      <c r="AY1679" s="427"/>
      <c r="BC1679" s="428"/>
      <c r="BG1679" s="427"/>
      <c r="BH1679" s="437"/>
      <c r="BJ1679" s="427"/>
      <c r="BO1679" s="439"/>
      <c r="BP1679" s="427"/>
      <c r="BQ1679" s="427"/>
      <c r="BR1679" s="427"/>
      <c r="BS1679" s="431"/>
      <c r="BT1679" s="427"/>
      <c r="BU1679" s="427"/>
      <c r="BV1679" s="427"/>
      <c r="BW1679" s="427"/>
      <c r="BX1679" s="427"/>
      <c r="BY1679" s="427"/>
      <c r="BZ1679" s="427"/>
      <c r="CA1679" s="427"/>
      <c r="CB1679" s="427"/>
      <c r="CC1679" s="427"/>
      <c r="CD1679" s="427"/>
      <c r="CE1679" s="427"/>
      <c r="CF1679" s="427"/>
      <c r="CG1679" s="439"/>
      <c r="CH1679" s="427"/>
      <c r="CI1679" s="427"/>
    </row>
    <row r="1680" customFormat="false" ht="13.5" hidden="false" customHeight="false" outlineLevel="0" collapsed="false">
      <c r="A1680" s="424"/>
      <c r="B1680" s="424"/>
      <c r="C1680" s="424"/>
      <c r="D1680" s="424"/>
      <c r="E1680" s="424"/>
      <c r="F1680" s="424"/>
      <c r="G1680" s="424"/>
      <c r="H1680" s="424"/>
      <c r="I1680" s="424"/>
      <c r="J1680" s="424"/>
      <c r="K1680" s="424"/>
      <c r="L1680" s="424"/>
      <c r="M1680" s="424"/>
      <c r="N1680" s="424"/>
      <c r="O1680" s="424"/>
      <c r="P1680" s="424"/>
      <c r="Q1680" s="435" t="n">
        <v>93</v>
      </c>
      <c r="R1680" s="434" t="s">
        <v>691</v>
      </c>
      <c r="S1680" s="424"/>
      <c r="T1680" s="434" t="s">
        <v>692</v>
      </c>
      <c r="U1680" s="434" t="s">
        <v>693</v>
      </c>
      <c r="V1680" s="436" t="n">
        <f aca="false">AY1685</f>
        <v>0</v>
      </c>
      <c r="W1680" s="424"/>
      <c r="AC1680" s="427"/>
      <c r="AD1680" s="427"/>
      <c r="AE1680" s="427"/>
      <c r="AF1680" s="427"/>
      <c r="AG1680" s="427"/>
      <c r="AH1680" s="427"/>
      <c r="AI1680" s="427"/>
      <c r="AJ1680" s="427"/>
      <c r="AK1680" s="427"/>
      <c r="AL1680" s="427"/>
      <c r="AM1680" s="427"/>
      <c r="AN1680" s="427"/>
      <c r="AO1680" s="428"/>
      <c r="AP1680" s="427"/>
      <c r="AQ1680" s="427"/>
      <c r="AR1680" s="427"/>
      <c r="AS1680" s="427"/>
      <c r="AT1680" s="427"/>
      <c r="AU1680" s="427"/>
      <c r="AV1680" s="427"/>
      <c r="AW1680" s="427"/>
      <c r="AX1680" s="427"/>
      <c r="AY1680" s="427"/>
      <c r="BC1680" s="428"/>
      <c r="BG1680" s="427"/>
      <c r="BH1680" s="437"/>
      <c r="BN1680" s="427"/>
      <c r="BO1680" s="439"/>
      <c r="BP1680" s="427"/>
      <c r="BQ1680" s="427"/>
      <c r="BR1680" s="427"/>
      <c r="BS1680" s="431"/>
      <c r="BT1680" s="427"/>
      <c r="BU1680" s="427"/>
      <c r="BV1680" s="427"/>
      <c r="BW1680" s="427"/>
      <c r="BX1680" s="427"/>
      <c r="BY1680" s="427"/>
      <c r="BZ1680" s="427"/>
      <c r="CA1680" s="427"/>
      <c r="CB1680" s="427"/>
      <c r="CC1680" s="427"/>
      <c r="CD1680" s="427"/>
      <c r="CE1680" s="427"/>
      <c r="CF1680" s="427"/>
      <c r="CG1680" s="439"/>
      <c r="CH1680" s="427"/>
      <c r="CI1680" s="427"/>
    </row>
    <row r="1681" customFormat="false" ht="13.5" hidden="false" customHeight="false" outlineLevel="0" collapsed="false">
      <c r="A1681" s="424"/>
      <c r="B1681" s="424"/>
      <c r="C1681" s="424"/>
      <c r="D1681" s="424"/>
      <c r="E1681" s="424"/>
      <c r="F1681" s="424"/>
      <c r="G1681" s="424"/>
      <c r="H1681" s="424"/>
      <c r="I1681" s="424"/>
      <c r="J1681" s="424"/>
      <c r="K1681" s="424"/>
      <c r="L1681" s="424"/>
      <c r="M1681" s="424"/>
      <c r="N1681" s="424"/>
      <c r="O1681" s="424"/>
      <c r="P1681" s="424"/>
      <c r="Q1681" s="435" t="n">
        <v>94</v>
      </c>
      <c r="R1681" s="434" t="s">
        <v>694</v>
      </c>
      <c r="S1681" s="424"/>
      <c r="T1681" s="434" t="s">
        <v>695</v>
      </c>
      <c r="U1681" s="434" t="s">
        <v>696</v>
      </c>
      <c r="V1681" s="436" t="n">
        <f aca="false">AY1686</f>
        <v>0</v>
      </c>
      <c r="W1681" s="424"/>
      <c r="AC1681" s="427"/>
      <c r="AD1681" s="427"/>
      <c r="AE1681" s="427"/>
      <c r="AF1681" s="427"/>
      <c r="AG1681" s="427"/>
      <c r="AH1681" s="427"/>
      <c r="AI1681" s="427"/>
      <c r="AJ1681" s="427"/>
      <c r="AK1681" s="427"/>
      <c r="AL1681" s="427"/>
      <c r="AM1681" s="427"/>
      <c r="AN1681" s="427"/>
      <c r="AO1681" s="428"/>
      <c r="AP1681" s="427"/>
      <c r="AQ1681" s="427"/>
      <c r="AR1681" s="427"/>
      <c r="AS1681" s="427"/>
      <c r="AT1681" s="427"/>
      <c r="AU1681" s="427"/>
      <c r="AV1681" s="427"/>
      <c r="AW1681" s="427"/>
      <c r="AX1681" s="427"/>
      <c r="AY1681" s="427"/>
      <c r="BC1681" s="428"/>
      <c r="BJ1681" s="437"/>
      <c r="BO1681" s="439"/>
      <c r="BP1681" s="427"/>
      <c r="BQ1681" s="427"/>
      <c r="BR1681" s="431"/>
      <c r="BS1681" s="431"/>
      <c r="BT1681" s="427"/>
      <c r="BU1681" s="427"/>
      <c r="BV1681" s="427"/>
      <c r="BW1681" s="427"/>
      <c r="BX1681" s="427"/>
      <c r="BY1681" s="427"/>
      <c r="BZ1681" s="427"/>
      <c r="CA1681" s="427"/>
      <c r="CB1681" s="427"/>
      <c r="CC1681" s="427"/>
      <c r="CD1681" s="427"/>
      <c r="CE1681" s="427"/>
      <c r="CF1681" s="427"/>
      <c r="CG1681" s="439"/>
      <c r="CH1681" s="427"/>
      <c r="CI1681" s="427"/>
    </row>
    <row r="1682" customFormat="false" ht="13.5" hidden="false" customHeight="false" outlineLevel="0" collapsed="false">
      <c r="A1682" s="424"/>
      <c r="B1682" s="424"/>
      <c r="C1682" s="424"/>
      <c r="D1682" s="424"/>
      <c r="E1682" s="424"/>
      <c r="F1682" s="424"/>
      <c r="G1682" s="424"/>
      <c r="H1682" s="424"/>
      <c r="I1682" s="424"/>
      <c r="J1682" s="424"/>
      <c r="K1682" s="424"/>
      <c r="L1682" s="424"/>
      <c r="M1682" s="424"/>
      <c r="N1682" s="424"/>
      <c r="O1682" s="424"/>
      <c r="P1682" s="424"/>
      <c r="Q1682" s="435" t="n">
        <v>95</v>
      </c>
      <c r="R1682" s="434" t="s">
        <v>697</v>
      </c>
      <c r="S1682" s="424"/>
      <c r="T1682" s="434" t="s">
        <v>698</v>
      </c>
      <c r="U1682" s="434" t="s">
        <v>699</v>
      </c>
      <c r="V1682" s="436" t="n">
        <f aca="false">AY1687</f>
        <v>0</v>
      </c>
      <c r="W1682" s="424"/>
      <c r="X1682" s="437"/>
      <c r="AC1682" s="427"/>
      <c r="AD1682" s="427"/>
      <c r="AE1682" s="427"/>
      <c r="AF1682" s="427"/>
      <c r="AG1682" s="427"/>
      <c r="AH1682" s="427"/>
      <c r="AI1682" s="427"/>
      <c r="AJ1682" s="427"/>
      <c r="AK1682" s="427"/>
      <c r="AL1682" s="427"/>
      <c r="AM1682" s="427"/>
      <c r="AN1682" s="427"/>
      <c r="AP1682" s="427"/>
      <c r="AQ1682" s="427"/>
      <c r="AR1682" s="427"/>
      <c r="AS1682" s="427"/>
      <c r="AT1682" s="427"/>
      <c r="AU1682" s="427"/>
      <c r="AV1682" s="427"/>
      <c r="AW1682" s="427"/>
      <c r="AX1682" s="427"/>
      <c r="AY1682" s="427"/>
      <c r="BC1682" s="428"/>
      <c r="BO1682" s="439"/>
      <c r="BP1682" s="427"/>
      <c r="BQ1682" s="427"/>
      <c r="BR1682" s="427"/>
      <c r="BS1682" s="431"/>
      <c r="BT1682" s="427"/>
      <c r="BU1682" s="427"/>
      <c r="BV1682" s="427"/>
      <c r="BW1682" s="427"/>
      <c r="BX1682" s="427"/>
      <c r="BY1682" s="427"/>
      <c r="BZ1682" s="427"/>
      <c r="CA1682" s="427"/>
      <c r="CB1682" s="427"/>
      <c r="CC1682" s="427"/>
      <c r="CD1682" s="427"/>
      <c r="CE1682" s="427"/>
      <c r="CF1682" s="427"/>
      <c r="CG1682" s="439"/>
      <c r="CH1682" s="427"/>
      <c r="CI1682" s="427"/>
    </row>
    <row r="1683" customFormat="false" ht="13.5" hidden="false" customHeight="false" outlineLevel="0" collapsed="false">
      <c r="A1683" s="424"/>
      <c r="B1683" s="424"/>
      <c r="C1683" s="424"/>
      <c r="D1683" s="424"/>
      <c r="E1683" s="424"/>
      <c r="F1683" s="424"/>
      <c r="G1683" s="424"/>
      <c r="H1683" s="424"/>
      <c r="I1683" s="424"/>
      <c r="J1683" s="424"/>
      <c r="K1683" s="424"/>
      <c r="L1683" s="424"/>
      <c r="M1683" s="424"/>
      <c r="N1683" s="424"/>
      <c r="O1683" s="424"/>
      <c r="P1683" s="424"/>
      <c r="Q1683" s="435" t="n">
        <v>96</v>
      </c>
      <c r="R1683" s="434" t="s">
        <v>700</v>
      </c>
      <c r="S1683" s="424"/>
      <c r="T1683" s="434" t="s">
        <v>701</v>
      </c>
      <c r="U1683" s="434" t="s">
        <v>702</v>
      </c>
      <c r="V1683" s="436" t="n">
        <f aca="false">AY1688</f>
        <v>0</v>
      </c>
      <c r="W1683" s="424"/>
      <c r="X1683" s="437"/>
      <c r="AC1683" s="427"/>
      <c r="AD1683" s="427"/>
      <c r="AE1683" s="427"/>
      <c r="AF1683" s="427"/>
      <c r="AG1683" s="427"/>
      <c r="AH1683" s="427"/>
      <c r="AI1683" s="427"/>
      <c r="AJ1683" s="427"/>
      <c r="AK1683" s="427"/>
      <c r="AL1683" s="427"/>
      <c r="AM1683" s="427"/>
      <c r="AN1683" s="427"/>
      <c r="AP1683" s="427"/>
      <c r="AQ1683" s="427"/>
      <c r="AR1683" s="427"/>
      <c r="AS1683" s="427"/>
      <c r="AT1683" s="427"/>
      <c r="AU1683" s="427"/>
      <c r="AV1683" s="427"/>
      <c r="AW1683" s="427"/>
      <c r="AX1683" s="427"/>
      <c r="AY1683" s="427"/>
      <c r="BC1683" s="428"/>
      <c r="BJ1683" s="427"/>
      <c r="BO1683" s="439"/>
      <c r="BP1683" s="427"/>
      <c r="BQ1683" s="427"/>
      <c r="BR1683" s="427"/>
      <c r="BS1683" s="431"/>
      <c r="BT1683" s="427"/>
      <c r="BU1683" s="427"/>
      <c r="BV1683" s="427"/>
      <c r="BW1683" s="427"/>
      <c r="BX1683" s="427"/>
      <c r="BY1683" s="427"/>
      <c r="BZ1683" s="427"/>
      <c r="CA1683" s="427"/>
      <c r="CB1683" s="427"/>
      <c r="CC1683" s="427"/>
      <c r="CD1683" s="427"/>
      <c r="CE1683" s="427"/>
      <c r="CF1683" s="427"/>
      <c r="CG1683" s="439"/>
      <c r="CH1683" s="427"/>
      <c r="CI1683" s="427"/>
    </row>
    <row r="1684" customFormat="false" ht="13.5" hidden="false" customHeight="false" outlineLevel="0" collapsed="false">
      <c r="A1684" s="424"/>
      <c r="B1684" s="424"/>
      <c r="C1684" s="424"/>
      <c r="D1684" s="424"/>
      <c r="E1684" s="424"/>
      <c r="F1684" s="424"/>
      <c r="G1684" s="424"/>
      <c r="H1684" s="424"/>
      <c r="I1684" s="424"/>
      <c r="J1684" s="424"/>
      <c r="K1684" s="424"/>
      <c r="L1684" s="424"/>
      <c r="M1684" s="424"/>
      <c r="N1684" s="424"/>
      <c r="O1684" s="424"/>
      <c r="P1684" s="424"/>
      <c r="Q1684" s="435" t="n">
        <v>97</v>
      </c>
      <c r="R1684" s="434" t="s">
        <v>703</v>
      </c>
      <c r="S1684" s="424"/>
      <c r="T1684" s="434" t="s">
        <v>704</v>
      </c>
      <c r="U1684" s="434" t="s">
        <v>705</v>
      </c>
      <c r="V1684" s="436" t="n">
        <f aca="false">AY1689</f>
        <v>0</v>
      </c>
      <c r="W1684" s="424"/>
      <c r="AC1684" s="427"/>
      <c r="AD1684" s="427"/>
      <c r="AE1684" s="427"/>
      <c r="AF1684" s="427"/>
      <c r="AG1684" s="427"/>
      <c r="AH1684" s="427"/>
      <c r="AI1684" s="427"/>
      <c r="AJ1684" s="427"/>
      <c r="AK1684" s="427"/>
      <c r="AL1684" s="427"/>
      <c r="AM1684" s="427"/>
      <c r="AN1684" s="427"/>
      <c r="AP1684" s="427"/>
      <c r="AQ1684" s="427"/>
      <c r="AR1684" s="427"/>
      <c r="AS1684" s="427"/>
      <c r="AT1684" s="427"/>
      <c r="AU1684" s="427"/>
      <c r="AV1684" s="427"/>
      <c r="AW1684" s="427"/>
      <c r="AX1684" s="427"/>
      <c r="AY1684" s="427"/>
      <c r="BC1684" s="428"/>
      <c r="BO1684" s="439"/>
      <c r="BP1684" s="427"/>
      <c r="BQ1684" s="427"/>
      <c r="BR1684" s="427"/>
      <c r="BS1684" s="431"/>
      <c r="BT1684" s="427"/>
      <c r="BU1684" s="427"/>
      <c r="BV1684" s="427"/>
      <c r="BW1684" s="427"/>
      <c r="BX1684" s="427"/>
      <c r="BY1684" s="427"/>
      <c r="BZ1684" s="427"/>
      <c r="CA1684" s="427"/>
      <c r="CB1684" s="427"/>
      <c r="CC1684" s="427"/>
      <c r="CD1684" s="427"/>
      <c r="CE1684" s="427"/>
      <c r="CF1684" s="427"/>
      <c r="CG1684" s="439"/>
      <c r="CH1684" s="427"/>
      <c r="CI1684" s="427"/>
    </row>
    <row r="1685" customFormat="false" ht="13.5" hidden="false" customHeight="false" outlineLevel="0" collapsed="false">
      <c r="A1685" s="424"/>
      <c r="B1685" s="424"/>
      <c r="C1685" s="424"/>
      <c r="D1685" s="424"/>
      <c r="E1685" s="424"/>
      <c r="F1685" s="424"/>
      <c r="G1685" s="424"/>
      <c r="H1685" s="424"/>
      <c r="I1685" s="424"/>
      <c r="J1685" s="424"/>
      <c r="K1685" s="424"/>
      <c r="L1685" s="424"/>
      <c r="M1685" s="424"/>
      <c r="N1685" s="424"/>
      <c r="O1685" s="424"/>
      <c r="P1685" s="424"/>
      <c r="Q1685" s="435" t="n">
        <v>98</v>
      </c>
      <c r="R1685" s="434" t="s">
        <v>706</v>
      </c>
      <c r="S1685" s="424"/>
      <c r="T1685" s="434" t="s">
        <v>707</v>
      </c>
      <c r="U1685" s="434" t="s">
        <v>708</v>
      </c>
      <c r="V1685" s="436" t="n">
        <f aca="false">AY1690</f>
        <v>0</v>
      </c>
      <c r="W1685" s="424"/>
      <c r="X1685" s="437"/>
      <c r="AC1685" s="427"/>
      <c r="AD1685" s="427"/>
      <c r="AE1685" s="427"/>
      <c r="AF1685" s="427"/>
      <c r="AG1685" s="427"/>
      <c r="AH1685" s="427"/>
      <c r="AI1685" s="427"/>
      <c r="AJ1685" s="427"/>
      <c r="AK1685" s="427"/>
      <c r="AL1685" s="427"/>
      <c r="AM1685" s="427"/>
      <c r="AN1685" s="427"/>
      <c r="AP1685" s="427"/>
      <c r="AQ1685" s="427"/>
      <c r="AR1685" s="427"/>
      <c r="AS1685" s="427"/>
      <c r="AT1685" s="427"/>
      <c r="AU1685" s="427"/>
      <c r="AV1685" s="427"/>
      <c r="AW1685" s="427"/>
      <c r="AX1685" s="427"/>
      <c r="AY1685" s="427"/>
      <c r="BC1685" s="428"/>
      <c r="BO1685" s="439"/>
      <c r="BP1685" s="427"/>
      <c r="BQ1685" s="427"/>
      <c r="BR1685" s="427"/>
      <c r="BS1685" s="431"/>
      <c r="BT1685" s="427"/>
      <c r="BU1685" s="427"/>
      <c r="BV1685" s="427"/>
      <c r="BW1685" s="427"/>
      <c r="BX1685" s="427"/>
      <c r="BY1685" s="427"/>
      <c r="BZ1685" s="427"/>
      <c r="CA1685" s="427"/>
      <c r="CB1685" s="427"/>
      <c r="CC1685" s="427"/>
      <c r="CD1685" s="427"/>
      <c r="CE1685" s="427"/>
      <c r="CF1685" s="427"/>
      <c r="CG1685" s="439"/>
      <c r="CH1685" s="427"/>
      <c r="CI1685" s="427"/>
    </row>
    <row r="1686" customFormat="false" ht="13.5" hidden="false" customHeight="false" outlineLevel="0" collapsed="false">
      <c r="A1686" s="424"/>
      <c r="B1686" s="424"/>
      <c r="C1686" s="424"/>
      <c r="D1686" s="424"/>
      <c r="E1686" s="424"/>
      <c r="F1686" s="424"/>
      <c r="G1686" s="424"/>
      <c r="H1686" s="424"/>
      <c r="I1686" s="424"/>
      <c r="J1686" s="424"/>
      <c r="K1686" s="424"/>
      <c r="L1686" s="424"/>
      <c r="M1686" s="424"/>
      <c r="N1686" s="424"/>
      <c r="O1686" s="424"/>
      <c r="P1686" s="424"/>
      <c r="Q1686" s="435" t="n">
        <v>99</v>
      </c>
      <c r="R1686" s="434" t="s">
        <v>709</v>
      </c>
      <c r="S1686" s="424"/>
      <c r="T1686" s="434" t="s">
        <v>710</v>
      </c>
      <c r="U1686" s="434" t="s">
        <v>711</v>
      </c>
      <c r="V1686" s="436" t="n">
        <f aca="false">AY1691</f>
        <v>0</v>
      </c>
      <c r="W1686" s="424"/>
      <c r="AC1686" s="427"/>
      <c r="AD1686" s="427"/>
      <c r="AE1686" s="427"/>
      <c r="AF1686" s="427"/>
      <c r="AG1686" s="427"/>
      <c r="AH1686" s="427"/>
      <c r="AI1686" s="427"/>
      <c r="AJ1686" s="427"/>
      <c r="AK1686" s="427"/>
      <c r="AL1686" s="427"/>
      <c r="AM1686" s="427"/>
      <c r="AN1686" s="427"/>
      <c r="AP1686" s="427"/>
      <c r="AQ1686" s="427"/>
      <c r="AR1686" s="427"/>
      <c r="AS1686" s="427"/>
      <c r="AT1686" s="427"/>
      <c r="AU1686" s="427"/>
      <c r="AV1686" s="427"/>
      <c r="AW1686" s="427"/>
      <c r="AX1686" s="427"/>
      <c r="AY1686" s="427"/>
      <c r="BC1686" s="428"/>
      <c r="BO1686" s="439"/>
      <c r="BP1686" s="427"/>
      <c r="BQ1686" s="427"/>
      <c r="BR1686" s="427"/>
      <c r="BS1686" s="431"/>
      <c r="BT1686" s="427"/>
      <c r="BU1686" s="427"/>
      <c r="BV1686" s="427"/>
      <c r="BW1686" s="427"/>
      <c r="BX1686" s="427"/>
      <c r="BY1686" s="427"/>
      <c r="BZ1686" s="427"/>
      <c r="CA1686" s="427"/>
      <c r="CB1686" s="427"/>
      <c r="CC1686" s="427"/>
      <c r="CD1686" s="427"/>
      <c r="CE1686" s="427"/>
      <c r="CF1686" s="427"/>
      <c r="CG1686" s="439"/>
      <c r="CH1686" s="427"/>
      <c r="CI1686" s="427"/>
    </row>
    <row r="1687" customFormat="false" ht="13.5" hidden="false" customHeight="false" outlineLevel="0" collapsed="false">
      <c r="A1687" s="424"/>
      <c r="B1687" s="424"/>
      <c r="C1687" s="424"/>
      <c r="D1687" s="424"/>
      <c r="E1687" s="424"/>
      <c r="F1687" s="424"/>
      <c r="G1687" s="424"/>
      <c r="H1687" s="424"/>
      <c r="I1687" s="424"/>
      <c r="J1687" s="424"/>
      <c r="K1687" s="424"/>
      <c r="L1687" s="424"/>
      <c r="M1687" s="424"/>
      <c r="N1687" s="424"/>
      <c r="O1687" s="424"/>
      <c r="P1687" s="424"/>
      <c r="Q1687" s="424"/>
      <c r="R1687" s="424"/>
      <c r="S1687" s="424"/>
      <c r="T1687" s="424"/>
      <c r="U1687" s="424"/>
      <c r="V1687" s="436" t="n">
        <f aca="false">AY1692</f>
        <v>0</v>
      </c>
      <c r="W1687" s="424"/>
      <c r="X1687" s="437"/>
      <c r="AC1687" s="427"/>
      <c r="AD1687" s="427"/>
      <c r="AE1687" s="427"/>
      <c r="AF1687" s="427"/>
      <c r="AG1687" s="427"/>
      <c r="AH1687" s="427"/>
      <c r="AI1687" s="427"/>
      <c r="AJ1687" s="427"/>
      <c r="AK1687" s="427"/>
      <c r="AL1687" s="427"/>
      <c r="AM1687" s="427"/>
      <c r="AN1687" s="427"/>
      <c r="AP1687" s="427"/>
      <c r="AQ1687" s="427"/>
      <c r="AR1687" s="427"/>
      <c r="AS1687" s="427"/>
      <c r="AT1687" s="427"/>
      <c r="AU1687" s="427"/>
      <c r="AV1687" s="427"/>
      <c r="AW1687" s="427"/>
      <c r="AX1687" s="427"/>
      <c r="AY1687" s="427"/>
      <c r="BC1687" s="428"/>
      <c r="BN1687" s="427"/>
      <c r="BO1687" s="439"/>
      <c r="BP1687" s="427"/>
      <c r="BQ1687" s="427"/>
      <c r="BR1687" s="427"/>
      <c r="BS1687" s="431"/>
      <c r="BT1687" s="427"/>
      <c r="BU1687" s="427"/>
      <c r="BV1687" s="427"/>
      <c r="BW1687" s="427"/>
      <c r="BX1687" s="427"/>
      <c r="BY1687" s="427"/>
      <c r="BZ1687" s="427"/>
      <c r="CA1687" s="427"/>
      <c r="CB1687" s="427"/>
      <c r="CC1687" s="427"/>
      <c r="CD1687" s="427"/>
      <c r="CE1687" s="427"/>
      <c r="CF1687" s="427"/>
      <c r="CG1687" s="439"/>
      <c r="CH1687" s="427"/>
      <c r="CI1687" s="427"/>
    </row>
    <row r="1688" customFormat="false" ht="13.5" hidden="false" customHeight="false" outlineLevel="0" collapsed="false">
      <c r="A1688" s="424"/>
      <c r="B1688" s="424"/>
      <c r="C1688" s="424"/>
      <c r="D1688" s="424"/>
      <c r="E1688" s="424"/>
      <c r="F1688" s="424"/>
      <c r="G1688" s="424"/>
      <c r="H1688" s="424"/>
      <c r="I1688" s="424"/>
      <c r="J1688" s="424"/>
      <c r="K1688" s="424"/>
      <c r="L1688" s="424"/>
      <c r="M1688" s="424"/>
      <c r="N1688" s="424"/>
      <c r="O1688" s="424"/>
      <c r="P1688" s="424"/>
      <c r="Q1688" s="424"/>
      <c r="R1688" s="424"/>
      <c r="S1688" s="424"/>
      <c r="T1688" s="424"/>
      <c r="U1688" s="424"/>
      <c r="V1688" s="436" t="n">
        <f aca="false">AY1693</f>
        <v>0</v>
      </c>
      <c r="W1688" s="424"/>
      <c r="AC1688" s="427"/>
      <c r="AD1688" s="427"/>
      <c r="AE1688" s="427"/>
      <c r="AG1688" s="427"/>
      <c r="AH1688" s="427"/>
      <c r="AI1688" s="427"/>
      <c r="AJ1688" s="427"/>
      <c r="AK1688" s="427"/>
      <c r="AL1688" s="427"/>
      <c r="AM1688" s="427"/>
      <c r="AN1688" s="427"/>
      <c r="AP1688" s="427"/>
      <c r="AQ1688" s="427"/>
      <c r="AR1688" s="427"/>
      <c r="AS1688" s="427"/>
      <c r="AT1688" s="427"/>
      <c r="AU1688" s="427"/>
      <c r="AV1688" s="427"/>
      <c r="AW1688" s="427"/>
      <c r="AX1688" s="427"/>
      <c r="AY1688" s="427"/>
      <c r="BC1688" s="428"/>
      <c r="BN1688" s="427"/>
      <c r="BO1688" s="439"/>
      <c r="BP1688" s="427"/>
      <c r="BQ1688" s="427"/>
      <c r="BR1688" s="427"/>
      <c r="BS1688" s="431"/>
      <c r="BT1688" s="427"/>
      <c r="BU1688" s="427"/>
      <c r="BV1688" s="427"/>
      <c r="BW1688" s="427"/>
      <c r="BX1688" s="427"/>
      <c r="BY1688" s="427"/>
      <c r="BZ1688" s="427"/>
      <c r="CA1688" s="427"/>
      <c r="CB1688" s="427"/>
      <c r="CC1688" s="427"/>
      <c r="CD1688" s="427"/>
      <c r="CE1688" s="427"/>
      <c r="CF1688" s="427"/>
      <c r="CG1688" s="439"/>
      <c r="CH1688" s="427"/>
      <c r="CI1688" s="427"/>
    </row>
    <row r="1689" customFormat="false" ht="13.5" hidden="false" customHeight="false" outlineLevel="0" collapsed="false">
      <c r="A1689" s="424"/>
      <c r="B1689" s="424"/>
      <c r="C1689" s="424"/>
      <c r="D1689" s="424"/>
      <c r="E1689" s="424"/>
      <c r="F1689" s="424"/>
      <c r="G1689" s="424"/>
      <c r="H1689" s="424"/>
      <c r="I1689" s="424"/>
      <c r="J1689" s="424"/>
      <c r="K1689" s="424"/>
      <c r="L1689" s="424"/>
      <c r="M1689" s="424"/>
      <c r="N1689" s="424"/>
      <c r="O1689" s="424"/>
      <c r="P1689" s="424"/>
      <c r="Q1689" s="424"/>
      <c r="R1689" s="424"/>
      <c r="S1689" s="424"/>
      <c r="T1689" s="424"/>
      <c r="U1689" s="424"/>
      <c r="V1689" s="436" t="n">
        <f aca="false">AY1694</f>
        <v>0</v>
      </c>
      <c r="W1689" s="424"/>
      <c r="X1689" s="437"/>
      <c r="AC1689" s="427"/>
      <c r="AD1689" s="427"/>
      <c r="AE1689" s="427"/>
      <c r="AG1689" s="427"/>
      <c r="AH1689" s="427"/>
      <c r="AI1689" s="427"/>
      <c r="AJ1689" s="427"/>
      <c r="AK1689" s="427"/>
      <c r="AL1689" s="427"/>
      <c r="AM1689" s="427"/>
      <c r="AN1689" s="427"/>
      <c r="AP1689" s="427"/>
      <c r="AQ1689" s="427"/>
      <c r="AR1689" s="427"/>
      <c r="AS1689" s="427"/>
      <c r="AT1689" s="427"/>
      <c r="AU1689" s="427"/>
      <c r="AV1689" s="427"/>
      <c r="AW1689" s="427"/>
      <c r="AX1689" s="427"/>
      <c r="AY1689" s="427"/>
      <c r="BC1689" s="428"/>
      <c r="BN1689" s="427"/>
      <c r="BO1689" s="439"/>
      <c r="BP1689" s="427"/>
      <c r="BQ1689" s="427"/>
      <c r="BR1689" s="427"/>
      <c r="BS1689" s="431"/>
      <c r="BT1689" s="427"/>
      <c r="BU1689" s="427"/>
      <c r="BV1689" s="427"/>
      <c r="BW1689" s="427"/>
      <c r="BX1689" s="427"/>
      <c r="BY1689" s="427"/>
      <c r="BZ1689" s="427"/>
      <c r="CA1689" s="427"/>
      <c r="CB1689" s="427"/>
      <c r="CC1689" s="427"/>
      <c r="CD1689" s="427"/>
      <c r="CE1689" s="427"/>
      <c r="CF1689" s="427"/>
      <c r="CG1689" s="439"/>
      <c r="CH1689" s="427"/>
      <c r="CI1689" s="427"/>
    </row>
    <row r="1690" customFormat="false" ht="13.5" hidden="false" customHeight="false" outlineLevel="0" collapsed="false">
      <c r="A1690" s="424"/>
      <c r="B1690" s="424"/>
      <c r="C1690" s="424"/>
      <c r="D1690" s="424"/>
      <c r="E1690" s="424"/>
      <c r="F1690" s="424"/>
      <c r="G1690" s="424"/>
      <c r="H1690" s="424"/>
      <c r="I1690" s="424"/>
      <c r="J1690" s="424"/>
      <c r="K1690" s="424"/>
      <c r="L1690" s="424"/>
      <c r="M1690" s="424"/>
      <c r="N1690" s="424"/>
      <c r="O1690" s="424"/>
      <c r="P1690" s="424"/>
      <c r="Q1690" s="424"/>
      <c r="R1690" s="424"/>
      <c r="S1690" s="424"/>
      <c r="T1690" s="424"/>
      <c r="U1690" s="424"/>
      <c r="V1690" s="436" t="n">
        <f aca="false">AY1695</f>
        <v>0</v>
      </c>
      <c r="W1690" s="424"/>
      <c r="AC1690" s="427"/>
      <c r="AD1690" s="427"/>
      <c r="AE1690" s="427"/>
      <c r="AG1690" s="427"/>
      <c r="AH1690" s="427"/>
      <c r="AI1690" s="427"/>
      <c r="AJ1690" s="427"/>
      <c r="AK1690" s="427"/>
      <c r="AL1690" s="427"/>
      <c r="AM1690" s="427"/>
      <c r="AN1690" s="427"/>
      <c r="AP1690" s="427"/>
      <c r="AQ1690" s="427"/>
      <c r="AR1690" s="427"/>
      <c r="AS1690" s="427"/>
      <c r="AT1690" s="427"/>
      <c r="AU1690" s="427"/>
      <c r="AV1690" s="427"/>
      <c r="AW1690" s="427"/>
      <c r="AX1690" s="427"/>
      <c r="AY1690" s="427"/>
      <c r="BC1690" s="428"/>
      <c r="BN1690" s="427"/>
      <c r="BO1690" s="439"/>
      <c r="BP1690" s="427"/>
      <c r="BQ1690" s="427"/>
      <c r="BR1690" s="427"/>
      <c r="BS1690" s="431"/>
      <c r="BT1690" s="427"/>
      <c r="BU1690" s="427"/>
      <c r="BV1690" s="427"/>
      <c r="BW1690" s="427"/>
      <c r="BX1690" s="427"/>
      <c r="BY1690" s="427"/>
      <c r="BZ1690" s="427"/>
      <c r="CA1690" s="427"/>
      <c r="CB1690" s="427"/>
      <c r="CC1690" s="427"/>
      <c r="CD1690" s="427"/>
      <c r="CE1690" s="427"/>
      <c r="CF1690" s="427"/>
      <c r="CG1690" s="439"/>
      <c r="CH1690" s="427"/>
      <c r="CI1690" s="427"/>
    </row>
    <row r="1691" customFormat="false" ht="13.5" hidden="false" customHeight="false" outlineLevel="0" collapsed="false">
      <c r="A1691" s="424"/>
      <c r="B1691" s="424"/>
      <c r="C1691" s="424"/>
      <c r="D1691" s="424"/>
      <c r="E1691" s="424"/>
      <c r="F1691" s="424"/>
      <c r="G1691" s="424"/>
      <c r="H1691" s="424"/>
      <c r="I1691" s="424"/>
      <c r="J1691" s="424"/>
      <c r="K1691" s="424"/>
      <c r="L1691" s="424"/>
      <c r="M1691" s="424"/>
      <c r="N1691" s="424"/>
      <c r="O1691" s="424"/>
      <c r="P1691" s="424"/>
      <c r="Q1691" s="424"/>
      <c r="R1691" s="424"/>
      <c r="S1691" s="424"/>
      <c r="T1691" s="424"/>
      <c r="U1691" s="424"/>
      <c r="V1691" s="436" t="n">
        <f aca="false">AY1696</f>
        <v>0</v>
      </c>
      <c r="W1691" s="424"/>
      <c r="X1691" s="437"/>
      <c r="AC1691" s="427"/>
      <c r="AD1691" s="427"/>
      <c r="AE1691" s="427"/>
      <c r="AG1691" s="427"/>
      <c r="AH1691" s="427"/>
      <c r="AI1691" s="427"/>
      <c r="AJ1691" s="427"/>
      <c r="AK1691" s="427"/>
      <c r="AL1691" s="427"/>
      <c r="AM1691" s="427"/>
      <c r="AN1691" s="427"/>
      <c r="AP1691" s="427"/>
      <c r="AQ1691" s="427"/>
      <c r="AR1691" s="427"/>
      <c r="AS1691" s="427"/>
      <c r="AT1691" s="427"/>
      <c r="AU1691" s="427"/>
      <c r="AV1691" s="427"/>
      <c r="AW1691" s="427"/>
      <c r="AX1691" s="427"/>
      <c r="AY1691" s="427"/>
      <c r="BC1691" s="428"/>
      <c r="BN1691" s="427"/>
      <c r="BO1691" s="428"/>
      <c r="BQ1691" s="429"/>
      <c r="BR1691" s="426"/>
      <c r="BS1691" s="426"/>
      <c r="CG1691" s="428"/>
    </row>
    <row r="1692" customFormat="false" ht="13.5" hidden="false" customHeight="false" outlineLevel="0" collapsed="false">
      <c r="A1692" s="424"/>
      <c r="B1692" s="424"/>
      <c r="C1692" s="424"/>
      <c r="D1692" s="424"/>
      <c r="E1692" s="424"/>
      <c r="F1692" s="424"/>
      <c r="G1692" s="424"/>
      <c r="H1692" s="424"/>
      <c r="I1692" s="424"/>
      <c r="J1692" s="424"/>
      <c r="K1692" s="424"/>
      <c r="L1692" s="424"/>
      <c r="M1692" s="424"/>
      <c r="N1692" s="424"/>
      <c r="O1692" s="424"/>
      <c r="P1692" s="424"/>
      <c r="Q1692" s="424"/>
      <c r="R1692" s="424"/>
      <c r="S1692" s="424"/>
      <c r="T1692" s="424"/>
      <c r="U1692" s="424"/>
      <c r="V1692" s="436" t="n">
        <f aca="false">AY1697</f>
        <v>0</v>
      </c>
      <c r="W1692" s="424"/>
      <c r="X1692" s="437"/>
      <c r="AC1692" s="427"/>
      <c r="AD1692" s="427"/>
      <c r="AE1692" s="427"/>
      <c r="AG1692" s="427"/>
      <c r="AH1692" s="427"/>
      <c r="AI1692" s="427"/>
      <c r="AJ1692" s="427"/>
      <c r="AK1692" s="427"/>
      <c r="AL1692" s="427"/>
      <c r="AM1692" s="427"/>
      <c r="AN1692" s="427"/>
      <c r="AP1692" s="427"/>
      <c r="AQ1692" s="427"/>
      <c r="AR1692" s="427"/>
      <c r="AS1692" s="427"/>
      <c r="AT1692" s="427"/>
      <c r="AU1692" s="427"/>
      <c r="AV1692" s="427"/>
      <c r="AW1692" s="427"/>
      <c r="AX1692" s="427"/>
      <c r="AY1692" s="427"/>
      <c r="BC1692" s="428"/>
      <c r="BN1692" s="427"/>
      <c r="BO1692" s="428"/>
      <c r="BQ1692" s="429"/>
      <c r="BR1692" s="429"/>
      <c r="BS1692" s="426"/>
      <c r="CG1692" s="428"/>
    </row>
    <row r="1693" customFormat="false" ht="13.5" hidden="false" customHeight="false" outlineLevel="0" collapsed="false">
      <c r="A1693" s="424"/>
      <c r="B1693" s="424"/>
      <c r="C1693" s="424"/>
      <c r="D1693" s="424"/>
      <c r="E1693" s="424"/>
      <c r="F1693" s="424"/>
      <c r="G1693" s="424"/>
      <c r="H1693" s="424"/>
      <c r="I1693" s="424"/>
      <c r="J1693" s="424"/>
      <c r="K1693" s="424"/>
      <c r="L1693" s="424"/>
      <c r="M1693" s="424"/>
      <c r="N1693" s="424"/>
      <c r="O1693" s="424"/>
      <c r="P1693" s="424"/>
      <c r="Q1693" s="424"/>
      <c r="R1693" s="424"/>
      <c r="S1693" s="424"/>
      <c r="T1693" s="424"/>
      <c r="U1693" s="424"/>
      <c r="V1693" s="436" t="n">
        <f aca="false">AY1698</f>
        <v>0</v>
      </c>
      <c r="W1693" s="424"/>
      <c r="AC1693" s="427"/>
      <c r="AD1693" s="427"/>
      <c r="AE1693" s="427"/>
      <c r="AG1693" s="427"/>
      <c r="AH1693" s="427"/>
      <c r="AI1693" s="427"/>
      <c r="AJ1693" s="427"/>
      <c r="AK1693" s="427"/>
      <c r="AL1693" s="427"/>
      <c r="AM1693" s="427"/>
      <c r="AN1693" s="427"/>
      <c r="AP1693" s="427"/>
      <c r="AQ1693" s="427"/>
      <c r="AR1693" s="427"/>
      <c r="AS1693" s="427"/>
      <c r="AT1693" s="427"/>
      <c r="AU1693" s="427"/>
      <c r="AV1693" s="427"/>
      <c r="AW1693" s="427"/>
      <c r="AX1693" s="427"/>
      <c r="AY1693" s="427"/>
      <c r="BC1693" s="428"/>
      <c r="BN1693" s="427"/>
      <c r="BO1693" s="428"/>
      <c r="BQ1693" s="429"/>
      <c r="BR1693" s="429"/>
      <c r="BS1693" s="426"/>
    </row>
    <row r="1694" customFormat="false" ht="13.5" hidden="false" customHeight="false" outlineLevel="0" collapsed="false">
      <c r="A1694" s="424"/>
      <c r="B1694" s="424"/>
      <c r="C1694" s="424"/>
      <c r="D1694" s="424"/>
      <c r="E1694" s="424"/>
      <c r="F1694" s="424"/>
      <c r="G1694" s="424"/>
      <c r="H1694" s="424"/>
      <c r="I1694" s="424"/>
      <c r="J1694" s="424"/>
      <c r="K1694" s="424"/>
      <c r="L1694" s="424"/>
      <c r="M1694" s="424"/>
      <c r="N1694" s="424"/>
      <c r="O1694" s="424"/>
      <c r="P1694" s="424"/>
      <c r="Q1694" s="424"/>
      <c r="R1694" s="424"/>
      <c r="S1694" s="424"/>
      <c r="T1694" s="424"/>
      <c r="U1694" s="424"/>
      <c r="V1694" s="436" t="n">
        <f aca="false">AY1699</f>
        <v>0</v>
      </c>
      <c r="W1694" s="424"/>
      <c r="AC1694" s="427"/>
      <c r="AD1694" s="427"/>
      <c r="AE1694" s="427"/>
      <c r="AG1694" s="427"/>
      <c r="AH1694" s="427"/>
      <c r="AI1694" s="427"/>
      <c r="AJ1694" s="427"/>
      <c r="AK1694" s="427"/>
      <c r="AL1694" s="427"/>
      <c r="AM1694" s="427"/>
      <c r="AN1694" s="427"/>
      <c r="AP1694" s="427"/>
      <c r="AQ1694" s="427"/>
      <c r="AR1694" s="427"/>
      <c r="AS1694" s="427"/>
      <c r="AT1694" s="427"/>
      <c r="AU1694" s="427"/>
      <c r="AV1694" s="427"/>
      <c r="AW1694" s="427"/>
      <c r="AX1694" s="427"/>
      <c r="AY1694" s="427"/>
      <c r="BC1694" s="428"/>
      <c r="BN1694" s="427"/>
      <c r="BO1694" s="428"/>
      <c r="BQ1694" s="429"/>
      <c r="BR1694" s="429"/>
      <c r="BS1694" s="426"/>
    </row>
    <row r="1695" customFormat="false" ht="13.5" hidden="false" customHeight="false" outlineLevel="0" collapsed="false">
      <c r="A1695" s="424"/>
      <c r="B1695" s="424"/>
      <c r="C1695" s="424"/>
      <c r="D1695" s="424"/>
      <c r="E1695" s="424"/>
      <c r="F1695" s="424"/>
      <c r="G1695" s="424"/>
      <c r="H1695" s="424"/>
      <c r="I1695" s="424"/>
      <c r="J1695" s="424"/>
      <c r="K1695" s="424"/>
      <c r="L1695" s="424"/>
      <c r="M1695" s="424"/>
      <c r="N1695" s="424"/>
      <c r="O1695" s="424"/>
      <c r="P1695" s="424"/>
      <c r="Q1695" s="424"/>
      <c r="R1695" s="424"/>
      <c r="S1695" s="424"/>
      <c r="T1695" s="424"/>
      <c r="U1695" s="424"/>
      <c r="V1695" s="436" t="n">
        <f aca="false">AY1700</f>
        <v>0</v>
      </c>
      <c r="W1695" s="424"/>
      <c r="X1695" s="437"/>
      <c r="AC1695" s="427"/>
      <c r="AD1695" s="427"/>
      <c r="AE1695" s="427"/>
      <c r="AG1695" s="427"/>
      <c r="AH1695" s="427"/>
      <c r="AI1695" s="427"/>
      <c r="AJ1695" s="427"/>
      <c r="AK1695" s="427"/>
      <c r="AL1695" s="427"/>
      <c r="AM1695" s="427"/>
      <c r="AN1695" s="427"/>
      <c r="AP1695" s="427"/>
      <c r="AQ1695" s="427"/>
      <c r="AR1695" s="427"/>
      <c r="AS1695" s="427"/>
      <c r="AT1695" s="427"/>
      <c r="AU1695" s="427"/>
      <c r="AV1695" s="427"/>
      <c r="AW1695" s="427"/>
      <c r="AX1695" s="427"/>
      <c r="AY1695" s="427"/>
      <c r="BC1695" s="428"/>
      <c r="BN1695" s="427"/>
      <c r="BO1695" s="428"/>
      <c r="BQ1695" s="429"/>
      <c r="BR1695" s="429"/>
      <c r="BS1695" s="426"/>
    </row>
    <row r="1696" customFormat="false" ht="13.5" hidden="false" customHeight="false" outlineLevel="0" collapsed="false">
      <c r="A1696" s="424"/>
      <c r="B1696" s="424"/>
      <c r="C1696" s="424"/>
      <c r="D1696" s="424"/>
      <c r="E1696" s="424"/>
      <c r="F1696" s="424"/>
      <c r="G1696" s="424"/>
      <c r="H1696" s="424"/>
      <c r="I1696" s="424"/>
      <c r="J1696" s="424"/>
      <c r="K1696" s="424"/>
      <c r="L1696" s="424"/>
      <c r="M1696" s="424"/>
      <c r="N1696" s="424"/>
      <c r="O1696" s="424"/>
      <c r="P1696" s="424"/>
      <c r="Q1696" s="424"/>
      <c r="R1696" s="424"/>
      <c r="S1696" s="424"/>
      <c r="T1696" s="424"/>
      <c r="U1696" s="424"/>
      <c r="V1696" s="436" t="n">
        <f aca="false">AY1701</f>
        <v>0</v>
      </c>
      <c r="W1696" s="424"/>
      <c r="AC1696" s="427"/>
      <c r="AD1696" s="427"/>
      <c r="AE1696" s="427"/>
      <c r="AG1696" s="427"/>
      <c r="AH1696" s="427"/>
      <c r="AI1696" s="427"/>
      <c r="AJ1696" s="427"/>
      <c r="AK1696" s="427"/>
      <c r="AL1696" s="427"/>
      <c r="AM1696" s="427"/>
      <c r="AN1696" s="427"/>
      <c r="AP1696" s="427"/>
      <c r="AQ1696" s="427"/>
      <c r="AR1696" s="427"/>
      <c r="AS1696" s="427"/>
      <c r="AT1696" s="427"/>
      <c r="AU1696" s="427"/>
      <c r="AV1696" s="427"/>
      <c r="AW1696" s="427"/>
      <c r="AX1696" s="427"/>
      <c r="AY1696" s="427"/>
      <c r="BC1696" s="428"/>
      <c r="BN1696" s="427"/>
      <c r="BO1696" s="428"/>
      <c r="BQ1696" s="429"/>
      <c r="BR1696" s="429"/>
      <c r="BS1696" s="426"/>
    </row>
    <row r="1697" customFormat="false" ht="13.5" hidden="false" customHeight="false" outlineLevel="0" collapsed="false">
      <c r="A1697" s="424"/>
      <c r="B1697" s="424"/>
      <c r="C1697" s="424"/>
      <c r="D1697" s="424"/>
      <c r="E1697" s="424"/>
      <c r="F1697" s="424"/>
      <c r="G1697" s="424"/>
      <c r="H1697" s="424"/>
      <c r="I1697" s="424"/>
      <c r="J1697" s="424"/>
      <c r="K1697" s="424"/>
      <c r="L1697" s="424"/>
      <c r="M1697" s="424"/>
      <c r="N1697" s="424"/>
      <c r="O1697" s="424"/>
      <c r="P1697" s="424"/>
      <c r="Q1697" s="424"/>
      <c r="R1697" s="424"/>
      <c r="S1697" s="424"/>
      <c r="T1697" s="424"/>
      <c r="U1697" s="424"/>
      <c r="V1697" s="436" t="n">
        <f aca="false">AY1702</f>
        <v>0</v>
      </c>
      <c r="W1697" s="424"/>
      <c r="X1697" s="437"/>
      <c r="AC1697" s="427"/>
      <c r="AD1697" s="427"/>
      <c r="AE1697" s="427"/>
      <c r="AG1697" s="427"/>
      <c r="AH1697" s="427"/>
      <c r="AI1697" s="427"/>
      <c r="AJ1697" s="427"/>
      <c r="AK1697" s="427"/>
      <c r="AL1697" s="427"/>
      <c r="AM1697" s="427"/>
      <c r="AN1697" s="427"/>
      <c r="AP1697" s="427"/>
      <c r="AQ1697" s="427"/>
      <c r="AR1697" s="427"/>
      <c r="AS1697" s="427"/>
      <c r="AT1697" s="427"/>
      <c r="AU1697" s="427"/>
      <c r="AV1697" s="427"/>
      <c r="AW1697" s="427"/>
      <c r="AX1697" s="427"/>
      <c r="AY1697" s="427"/>
      <c r="BC1697" s="428"/>
      <c r="BN1697" s="427"/>
      <c r="BO1697" s="428"/>
      <c r="BQ1697" s="429"/>
      <c r="BR1697" s="429"/>
      <c r="BS1697" s="426"/>
    </row>
    <row r="1698" customFormat="false" ht="13.5" hidden="false" customHeight="false" outlineLevel="0" collapsed="false">
      <c r="A1698" s="424"/>
      <c r="B1698" s="424"/>
      <c r="C1698" s="424"/>
      <c r="D1698" s="424"/>
      <c r="E1698" s="424"/>
      <c r="F1698" s="424"/>
      <c r="G1698" s="424"/>
      <c r="H1698" s="424"/>
      <c r="I1698" s="424"/>
      <c r="J1698" s="424"/>
      <c r="K1698" s="424"/>
      <c r="L1698" s="424"/>
      <c r="M1698" s="424"/>
      <c r="N1698" s="424"/>
      <c r="O1698" s="424"/>
      <c r="P1698" s="424"/>
      <c r="Q1698" s="424"/>
      <c r="R1698" s="424"/>
      <c r="S1698" s="424"/>
      <c r="T1698" s="424"/>
      <c r="U1698" s="424"/>
      <c r="V1698" s="436" t="n">
        <f aca="false">AY1703</f>
        <v>0</v>
      </c>
      <c r="W1698" s="424"/>
      <c r="AC1698" s="427"/>
      <c r="AD1698" s="427"/>
      <c r="AE1698" s="427"/>
      <c r="AG1698" s="427"/>
      <c r="AH1698" s="427"/>
      <c r="AI1698" s="427"/>
      <c r="AJ1698" s="427"/>
      <c r="AK1698" s="427"/>
      <c r="AL1698" s="427"/>
      <c r="AM1698" s="427"/>
      <c r="AN1698" s="427"/>
      <c r="AP1698" s="427"/>
      <c r="AQ1698" s="427"/>
      <c r="AR1698" s="427"/>
      <c r="AS1698" s="427"/>
      <c r="AT1698" s="427"/>
      <c r="AU1698" s="427"/>
      <c r="AV1698" s="427"/>
      <c r="AW1698" s="427"/>
      <c r="AX1698" s="427"/>
      <c r="AY1698" s="427"/>
      <c r="BC1698" s="428"/>
      <c r="BN1698" s="427"/>
      <c r="BO1698" s="428"/>
      <c r="BQ1698" s="429"/>
      <c r="BR1698" s="429"/>
      <c r="BS1698" s="426"/>
    </row>
    <row r="1699" customFormat="false" ht="13.5" hidden="false" customHeight="false" outlineLevel="0" collapsed="false">
      <c r="A1699" s="424"/>
      <c r="B1699" s="424"/>
      <c r="C1699" s="424"/>
      <c r="D1699" s="424"/>
      <c r="E1699" s="424"/>
      <c r="F1699" s="424"/>
      <c r="G1699" s="424"/>
      <c r="H1699" s="424"/>
      <c r="I1699" s="424"/>
      <c r="J1699" s="424"/>
      <c r="K1699" s="424"/>
      <c r="L1699" s="424"/>
      <c r="M1699" s="424"/>
      <c r="N1699" s="424"/>
      <c r="O1699" s="424"/>
      <c r="P1699" s="424"/>
      <c r="Q1699" s="424"/>
      <c r="R1699" s="424"/>
      <c r="S1699" s="424"/>
      <c r="T1699" s="424"/>
      <c r="U1699" s="424"/>
      <c r="V1699" s="436" t="n">
        <f aca="false">AY1704</f>
        <v>0</v>
      </c>
      <c r="W1699" s="424"/>
      <c r="X1699" s="437"/>
      <c r="AC1699" s="427"/>
      <c r="AD1699" s="427"/>
      <c r="AE1699" s="427"/>
      <c r="AG1699" s="427"/>
      <c r="AH1699" s="427"/>
      <c r="AI1699" s="427"/>
      <c r="AJ1699" s="427"/>
      <c r="AK1699" s="427"/>
      <c r="AL1699" s="427"/>
      <c r="AM1699" s="427"/>
      <c r="AN1699" s="427"/>
      <c r="AP1699" s="427"/>
      <c r="AQ1699" s="427"/>
      <c r="AR1699" s="427"/>
      <c r="AS1699" s="427"/>
      <c r="AT1699" s="427"/>
      <c r="AU1699" s="427"/>
      <c r="AV1699" s="427"/>
      <c r="AW1699" s="427"/>
      <c r="AX1699" s="427"/>
      <c r="AY1699" s="427"/>
      <c r="BC1699" s="428"/>
      <c r="BN1699" s="427"/>
      <c r="BO1699" s="428"/>
      <c r="BQ1699" s="429"/>
      <c r="BR1699" s="429"/>
      <c r="BS1699" s="426"/>
    </row>
    <row r="1700" customFormat="false" ht="13.5" hidden="false" customHeight="false" outlineLevel="0" collapsed="false">
      <c r="A1700" s="424"/>
      <c r="B1700" s="424"/>
      <c r="C1700" s="424"/>
      <c r="D1700" s="424"/>
      <c r="E1700" s="424"/>
      <c r="F1700" s="424"/>
      <c r="G1700" s="424"/>
      <c r="H1700" s="424"/>
      <c r="I1700" s="424"/>
      <c r="J1700" s="424"/>
      <c r="K1700" s="424"/>
      <c r="L1700" s="424"/>
      <c r="M1700" s="424"/>
      <c r="N1700" s="424"/>
      <c r="O1700" s="424"/>
      <c r="P1700" s="424"/>
      <c r="Q1700" s="424"/>
      <c r="R1700" s="424"/>
      <c r="S1700" s="424"/>
      <c r="T1700" s="424"/>
      <c r="U1700" s="424"/>
      <c r="V1700" s="436" t="n">
        <f aca="false">AY1705</f>
        <v>0</v>
      </c>
      <c r="W1700" s="424"/>
      <c r="X1700" s="437"/>
      <c r="AC1700" s="427"/>
      <c r="AD1700" s="427"/>
      <c r="AE1700" s="427"/>
      <c r="AG1700" s="427"/>
      <c r="AH1700" s="427"/>
      <c r="AI1700" s="427"/>
      <c r="AJ1700" s="427"/>
      <c r="AK1700" s="427"/>
      <c r="AL1700" s="427"/>
      <c r="AM1700" s="427"/>
      <c r="AN1700" s="427"/>
      <c r="AP1700" s="427"/>
      <c r="AQ1700" s="427"/>
      <c r="AR1700" s="427"/>
      <c r="AS1700" s="427"/>
      <c r="AT1700" s="427"/>
      <c r="AU1700" s="427"/>
      <c r="AV1700" s="427"/>
      <c r="AW1700" s="427"/>
      <c r="AX1700" s="427"/>
      <c r="AY1700" s="427"/>
      <c r="BC1700" s="428"/>
      <c r="BN1700" s="427"/>
      <c r="BO1700" s="428"/>
      <c r="BQ1700" s="429"/>
      <c r="BR1700" s="429"/>
      <c r="BS1700" s="426"/>
    </row>
    <row r="1701" customFormat="false" ht="13.5" hidden="false" customHeight="false" outlineLevel="0" collapsed="false">
      <c r="A1701" s="424"/>
      <c r="B1701" s="424"/>
      <c r="C1701" s="424"/>
      <c r="D1701" s="424"/>
      <c r="E1701" s="424"/>
      <c r="F1701" s="424"/>
      <c r="G1701" s="424"/>
      <c r="H1701" s="424"/>
      <c r="I1701" s="424"/>
      <c r="J1701" s="424"/>
      <c r="K1701" s="424"/>
      <c r="L1701" s="424"/>
      <c r="M1701" s="424"/>
      <c r="N1701" s="424"/>
      <c r="O1701" s="424"/>
      <c r="P1701" s="424"/>
      <c r="Q1701" s="424"/>
      <c r="R1701" s="424"/>
      <c r="S1701" s="424"/>
      <c r="T1701" s="424"/>
      <c r="U1701" s="424"/>
      <c r="V1701" s="436" t="n">
        <f aca="false">AY1706</f>
        <v>0</v>
      </c>
      <c r="W1701" s="424"/>
      <c r="AC1701" s="427"/>
      <c r="AD1701" s="427"/>
      <c r="AE1701" s="427"/>
      <c r="AG1701" s="427"/>
      <c r="AH1701" s="427"/>
      <c r="AI1701" s="427"/>
      <c r="AJ1701" s="427"/>
      <c r="AK1701" s="427"/>
      <c r="AL1701" s="427"/>
      <c r="AM1701" s="427"/>
      <c r="AN1701" s="427"/>
      <c r="AP1701" s="427"/>
      <c r="AQ1701" s="427"/>
      <c r="AR1701" s="427"/>
      <c r="AS1701" s="427"/>
      <c r="AT1701" s="427"/>
      <c r="AU1701" s="427"/>
      <c r="AV1701" s="427"/>
      <c r="AW1701" s="427"/>
      <c r="AX1701" s="427"/>
      <c r="AY1701" s="427"/>
      <c r="BC1701" s="428"/>
      <c r="BN1701" s="427"/>
      <c r="BO1701" s="428"/>
      <c r="BQ1701" s="429"/>
    </row>
    <row r="1702" customFormat="false" ht="13.5" hidden="false" customHeight="false" outlineLevel="0" collapsed="false">
      <c r="A1702" s="424"/>
      <c r="B1702" s="424"/>
      <c r="C1702" s="424"/>
      <c r="D1702" s="424"/>
      <c r="E1702" s="424"/>
      <c r="F1702" s="424"/>
      <c r="G1702" s="424"/>
      <c r="H1702" s="424"/>
      <c r="I1702" s="424"/>
      <c r="J1702" s="424"/>
      <c r="K1702" s="424"/>
      <c r="L1702" s="424"/>
      <c r="M1702" s="424"/>
      <c r="N1702" s="424"/>
      <c r="O1702" s="424"/>
      <c r="P1702" s="424"/>
      <c r="Q1702" s="424"/>
      <c r="R1702" s="424"/>
      <c r="S1702" s="424"/>
      <c r="T1702" s="424"/>
      <c r="U1702" s="424"/>
      <c r="V1702" s="436" t="n">
        <f aca="false">AY1707</f>
        <v>0</v>
      </c>
      <c r="W1702" s="424"/>
      <c r="AC1702" s="427"/>
      <c r="AD1702" s="427"/>
      <c r="AE1702" s="427"/>
      <c r="AG1702" s="427"/>
      <c r="AH1702" s="427"/>
      <c r="AI1702" s="427"/>
      <c r="AJ1702" s="427"/>
      <c r="AK1702" s="427"/>
      <c r="AL1702" s="427"/>
      <c r="AM1702" s="427"/>
      <c r="AN1702" s="427"/>
      <c r="AP1702" s="427"/>
      <c r="AQ1702" s="427"/>
      <c r="AR1702" s="427"/>
      <c r="AS1702" s="427"/>
      <c r="AT1702" s="427"/>
      <c r="AU1702" s="427"/>
      <c r="AV1702" s="427"/>
      <c r="AW1702" s="427"/>
      <c r="AX1702" s="427"/>
      <c r="AY1702" s="427"/>
      <c r="BC1702" s="428"/>
      <c r="BN1702" s="427"/>
    </row>
    <row r="1703" customFormat="false" ht="13.5" hidden="false" customHeight="false" outlineLevel="0" collapsed="false">
      <c r="A1703" s="424"/>
      <c r="B1703" s="424"/>
      <c r="C1703" s="424"/>
      <c r="D1703" s="424"/>
      <c r="E1703" s="424"/>
      <c r="F1703" s="424"/>
      <c r="G1703" s="424"/>
      <c r="H1703" s="424"/>
      <c r="I1703" s="424"/>
      <c r="J1703" s="424"/>
      <c r="K1703" s="424"/>
      <c r="L1703" s="424"/>
      <c r="M1703" s="424"/>
      <c r="N1703" s="424"/>
      <c r="O1703" s="424"/>
      <c r="P1703" s="424"/>
      <c r="Q1703" s="424"/>
      <c r="R1703" s="424"/>
      <c r="S1703" s="424"/>
      <c r="T1703" s="424"/>
      <c r="U1703" s="424"/>
      <c r="V1703" s="436" t="n">
        <f aca="false">AY1708</f>
        <v>0</v>
      </c>
      <c r="W1703" s="424"/>
      <c r="X1703" s="437"/>
      <c r="AC1703" s="427"/>
      <c r="AD1703" s="427"/>
      <c r="AE1703" s="427"/>
      <c r="AG1703" s="427"/>
      <c r="AH1703" s="427"/>
      <c r="AI1703" s="427"/>
      <c r="AJ1703" s="427"/>
      <c r="AK1703" s="427"/>
      <c r="AL1703" s="427"/>
      <c r="AM1703" s="427"/>
      <c r="AN1703" s="427"/>
      <c r="AP1703" s="427"/>
      <c r="AQ1703" s="427"/>
      <c r="AR1703" s="427"/>
      <c r="AS1703" s="427"/>
      <c r="AT1703" s="427"/>
      <c r="AU1703" s="427"/>
      <c r="AV1703" s="427"/>
      <c r="AW1703" s="427"/>
      <c r="AX1703" s="427"/>
      <c r="AY1703" s="427"/>
      <c r="BC1703" s="428"/>
      <c r="BN1703" s="427"/>
    </row>
    <row r="1704" customFormat="false" ht="13.5" hidden="false" customHeight="false" outlineLevel="0" collapsed="false">
      <c r="A1704" s="424"/>
      <c r="B1704" s="424"/>
      <c r="C1704" s="424"/>
      <c r="D1704" s="424"/>
      <c r="E1704" s="424"/>
      <c r="F1704" s="424"/>
      <c r="G1704" s="424"/>
      <c r="H1704" s="424"/>
      <c r="I1704" s="424"/>
      <c r="J1704" s="424"/>
      <c r="K1704" s="424"/>
      <c r="L1704" s="424"/>
      <c r="M1704" s="424"/>
      <c r="N1704" s="424"/>
      <c r="O1704" s="424"/>
      <c r="P1704" s="424"/>
      <c r="Q1704" s="424"/>
      <c r="R1704" s="424"/>
      <c r="S1704" s="424"/>
      <c r="T1704" s="424"/>
      <c r="U1704" s="424"/>
      <c r="V1704" s="436" t="n">
        <f aca="false">AY1709</f>
        <v>0</v>
      </c>
      <c r="W1704" s="424"/>
      <c r="X1704" s="437"/>
      <c r="AC1704" s="427"/>
      <c r="AD1704" s="427"/>
      <c r="AE1704" s="427"/>
      <c r="AG1704" s="427"/>
      <c r="AH1704" s="427"/>
      <c r="AI1704" s="427"/>
      <c r="AJ1704" s="427"/>
      <c r="AK1704" s="427"/>
      <c r="AL1704" s="427"/>
      <c r="AM1704" s="427"/>
      <c r="AN1704" s="427"/>
      <c r="AP1704" s="427"/>
      <c r="AQ1704" s="427"/>
      <c r="AR1704" s="427"/>
      <c r="AS1704" s="427"/>
      <c r="AT1704" s="427"/>
      <c r="AU1704" s="427"/>
      <c r="AV1704" s="427"/>
      <c r="AW1704" s="427"/>
      <c r="AX1704" s="427"/>
      <c r="AY1704" s="427"/>
      <c r="BC1704" s="428"/>
      <c r="BN1704" s="4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:H8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3" min="3" style="0" width="9.14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2024-12-30T07:06:36Z</dcterms:created>
  <dc:creator>FREDI YULIANTO</dc:creator>
  <dc:description/>
  <dc:language>en-US</dc:language>
  <cp:lastModifiedBy>2094732021</cp:lastModifiedBy>
  <cp:lastPrinted>2026-09-22T07:12:47Z</cp:lastPrinted>
  <dcterms:modified xsi:type="dcterms:W3CDTF">2026-09-22T07:19:49Z</dcterms:modified>
  <cp:revision>0</cp:revision>
  <dc:subject/>
  <dc:title/>
</cp:coreProperties>
</file>